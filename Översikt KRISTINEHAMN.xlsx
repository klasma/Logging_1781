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46230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46230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46230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46230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46230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46230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46230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46230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46230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46230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46230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46230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46230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46230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46230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46230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46230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46230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46230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46230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8714-2024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46230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8714-2024 artfynd.xlsx", "A 8714-2024")</f>
        <v/>
      </c>
      <c r="X22">
        <f>HYPERLINK("https://klasma.github.io/Logging_1781/kartor/A 8714-2024 karta.png", "A 8714-2024")</f>
        <v/>
      </c>
      <c r="Y22">
        <f>HYPERLINK("https://klasma.github.io/Logging_1781/kartor_geotiff/A 8714-2024 georefererad karta.tif", "A 8714-2024")</f>
        <v/>
      </c>
      <c r="AA22">
        <f>HYPERLINK("https://klasma.github.io/Logging_1781/klagomål/A 8714-2024 FSC-klagomål.docx", "A 8714-2024")</f>
        <v/>
      </c>
      <c r="AB22">
        <f>HYPERLINK("https://klasma.github.io/Logging_1781/klagomålsmail/A 8714-2024 FSC-klagomål mail.docx", "A 8714-2024")</f>
        <v/>
      </c>
      <c r="AC22">
        <f>HYPERLINK("https://klasma.github.io/Logging_1781/tillsyn/A 8714-2024 tillsynsbegäran.docx", "A 8714-2024")</f>
        <v/>
      </c>
      <c r="AD22">
        <f>HYPERLINK("https://klasma.github.io/Logging_1781/tillsynsmail/A 8714-2024 tillsynsbegäran mail.docx", "A 8714-2024")</f>
        <v/>
      </c>
    </row>
    <row r="23" ht="15" customHeight="1">
      <c r="A23" t="inlineStr">
        <is>
          <t>A 54771-2022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44883</v>
      </c>
      <c r="E23" s="1" t="n">
        <v>46230</v>
      </c>
      <c r="F23" t="inlineStr">
        <is>
          <t>VÄRMLANDS LÄN</t>
        </is>
      </c>
      <c r="G23" t="inlineStr">
        <is>
          <t>KRISTINEHAMN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Röd glada</t>
        </is>
      </c>
      <c r="W23">
        <f>HYPERLINK("https://klasma.github.io/Logging_1781/artfynd/A 54771-2022 artfynd.xlsx", "A 54771-2022")</f>
        <v/>
      </c>
      <c r="X23">
        <f>HYPERLINK("https://klasma.github.io/Logging_1781/kartor/A 54771-2022 karta.png", "A 54771-2022")</f>
        <v/>
      </c>
      <c r="Y23">
        <f>HYPERLINK("https://klasma.github.io/Logging_1781/kartor_geotiff/A 54771-2022 georefererad karta.tif", "A 54771-2022")</f>
        <v/>
      </c>
      <c r="AA23">
        <f>HYPERLINK("https://klasma.github.io/Logging_1781/klagomål/A 54771-2022 FSC-klagomål.docx", "A 54771-2022")</f>
        <v/>
      </c>
      <c r="AB23">
        <f>HYPERLINK("https://klasma.github.io/Logging_1781/klagomålsmail/A 54771-2022 FSC-klagomål mail.docx", "A 54771-2022")</f>
        <v/>
      </c>
      <c r="AC23">
        <f>HYPERLINK("https://klasma.github.io/Logging_1781/tillsyn/A 54771-2022 tillsynsbegäran.docx", "A 54771-2022")</f>
        <v/>
      </c>
      <c r="AD23">
        <f>HYPERLINK("https://klasma.github.io/Logging_1781/tillsynsmail/A 54771-2022 tillsynsbegäran mail.docx", "A 54771-2022")</f>
        <v/>
      </c>
      <c r="AE23">
        <f>HYPERLINK("https://klasma.github.io/Logging_1781/fåglar/A 54771-2022 prioriterade fågelarter.docx", "A 54771-2022")</f>
        <v/>
      </c>
    </row>
    <row r="24" ht="15" customHeight="1">
      <c r="A24" t="inlineStr">
        <is>
          <t>A 20746-2026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46230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6.3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20746-2026 artfynd.xlsx", "A 20746-2026")</f>
        <v/>
      </c>
      <c r="X24">
        <f>HYPERLINK("https://klasma.github.io/Logging_1781/kartor/A 20746-2026 karta.png", "A 20746-2026")</f>
        <v/>
      </c>
      <c r="Y24">
        <f>HYPERLINK("https://klasma.github.io/Logging_1781/kartor_geotiff/A 20746-2026 georefererad karta.tif", "A 20746-2026")</f>
        <v/>
      </c>
      <c r="AA24">
        <f>HYPERLINK("https://klasma.github.io/Logging_1781/klagomål/A 20746-2026 FSC-klagomål.docx", "A 20746-2026")</f>
        <v/>
      </c>
      <c r="AB24">
        <f>HYPERLINK("https://klasma.github.io/Logging_1781/klagomålsmail/A 20746-2026 FSC-klagomål mail.docx", "A 20746-2026")</f>
        <v/>
      </c>
      <c r="AC24">
        <f>HYPERLINK("https://klasma.github.io/Logging_1781/tillsyn/A 20746-2026 tillsynsbegäran.docx", "A 20746-2026")</f>
        <v/>
      </c>
      <c r="AD24">
        <f>HYPERLINK("https://klasma.github.io/Logging_1781/tillsynsmail/A 20746-2026 tillsynsbegäran mail.docx", "A 20746-2026")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46230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46230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12593-2024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45380</v>
      </c>
      <c r="E27" s="1" t="n">
        <v>46230</v>
      </c>
      <c r="F27" t="inlineStr">
        <is>
          <t>VÄRMLANDS LÄN</t>
        </is>
      </c>
      <c r="G27" t="inlineStr">
        <is>
          <t>KRISTINEHAMN</t>
        </is>
      </c>
      <c r="I27" t="n">
        <v>5.9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Bombmurkla</t>
        </is>
      </c>
      <c r="W27">
        <f>HYPERLINK("https://klasma.github.io/Logging_1781/artfynd/A 12593-2024 artfynd.xlsx", "A 12593-2024")</f>
        <v/>
      </c>
      <c r="X27">
        <f>HYPERLINK("https://klasma.github.io/Logging_1781/kartor/A 12593-2024 karta.png", "A 12593-2024")</f>
        <v/>
      </c>
      <c r="Y27">
        <f>HYPERLINK("https://klasma.github.io/Logging_1781/kartor_geotiff/A 12593-2024 georefererad karta.tif", "A 12593-2024")</f>
        <v/>
      </c>
      <c r="AA27">
        <f>HYPERLINK("https://klasma.github.io/Logging_1781/klagomål/A 12593-2024 FSC-klagomål.docx", "A 12593-2024")</f>
        <v/>
      </c>
      <c r="AB27">
        <f>HYPERLINK("https://klasma.github.io/Logging_1781/klagomålsmail/A 12593-2024 FSC-klagomål mail.docx", "A 12593-2024")</f>
        <v/>
      </c>
      <c r="AC27">
        <f>HYPERLINK("https://klasma.github.io/Logging_1781/tillsyn/A 12593-2024 tillsynsbegäran.docx", "A 12593-2024")</f>
        <v/>
      </c>
      <c r="AD27">
        <f>HYPERLINK("https://klasma.github.io/Logging_1781/tillsynsmail/A 12593-2024 tillsynsbegäran mail.docx", "A 12593-2024")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46230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46230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45122-2022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44843</v>
      </c>
      <c r="E30" s="1" t="n">
        <v>46230</v>
      </c>
      <c r="F30" t="inlineStr">
        <is>
          <t>VÄRMLANDS LÄN</t>
        </is>
      </c>
      <c r="G30" t="inlineStr">
        <is>
          <t>KRISTINEHAMN</t>
        </is>
      </c>
      <c r="I30" t="n">
        <v>3.3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Dvärglin</t>
        </is>
      </c>
      <c r="W30">
        <f>HYPERLINK("https://klasma.github.io/Logging_1781/artfynd/A 45122-2022 artfynd.xlsx", "A 45122-2022")</f>
        <v/>
      </c>
      <c r="X30">
        <f>HYPERLINK("https://klasma.github.io/Logging_1781/kartor/A 45122-2022 karta.png", "A 45122-2022")</f>
        <v/>
      </c>
      <c r="Y30">
        <f>HYPERLINK("https://klasma.github.io/Logging_1781/kartor_geotiff/A 45122-2022 georefererad karta.tif", "A 45122-2022")</f>
        <v/>
      </c>
      <c r="AA30">
        <f>HYPERLINK("https://klasma.github.io/Logging_1781/klagomål/A 45122-2022 FSC-klagomål.docx", "A 45122-2022")</f>
        <v/>
      </c>
      <c r="AB30">
        <f>HYPERLINK("https://klasma.github.io/Logging_1781/klagomålsmail/A 45122-2022 FSC-klagomål mail.docx", "A 45122-2022")</f>
        <v/>
      </c>
      <c r="AC30">
        <f>HYPERLINK("https://klasma.github.io/Logging_1781/tillsyn/A 45122-2022 tillsynsbegäran.docx", "A 45122-2022")</f>
        <v/>
      </c>
      <c r="AD30">
        <f>HYPERLINK("https://klasma.github.io/Logging_1781/tillsynsmail/A 45122-2022 tillsynsbegäran mail.docx", "A 45122-2022")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46230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46230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46230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25888-2025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45804</v>
      </c>
      <c r="E34" s="1" t="n">
        <v>46230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Trana</t>
        </is>
      </c>
      <c r="W34">
        <f>HYPERLINK("https://klasma.github.io/Logging_1781/artfynd/A 25888-2025 artfynd.xlsx", "A 25888-2025")</f>
        <v/>
      </c>
      <c r="X34">
        <f>HYPERLINK("https://klasma.github.io/Logging_1781/kartor/A 25888-2025 karta.png", "A 25888-2025")</f>
        <v/>
      </c>
      <c r="Y34">
        <f>HYPERLINK("https://klasma.github.io/Logging_1781/kartor_geotiff/A 25888-2025 georefererad karta.tif", "A 25888-2025")</f>
        <v/>
      </c>
      <c r="AA34">
        <f>HYPERLINK("https://klasma.github.io/Logging_1781/klagomål/A 25888-2025 FSC-klagomål.docx", "A 25888-2025")</f>
        <v/>
      </c>
      <c r="AB34">
        <f>HYPERLINK("https://klasma.github.io/Logging_1781/klagomålsmail/A 25888-2025 FSC-klagomål mail.docx", "A 25888-2025")</f>
        <v/>
      </c>
      <c r="AC34">
        <f>HYPERLINK("https://klasma.github.io/Logging_1781/tillsyn/A 25888-2025 tillsynsbegäran.docx", "A 25888-2025")</f>
        <v/>
      </c>
      <c r="AD34">
        <f>HYPERLINK("https://klasma.github.io/Logging_1781/tillsynsmail/A 25888-2025 tillsynsbegäran mail.docx", "A 25888-2025")</f>
        <v/>
      </c>
      <c r="AE34">
        <f>HYPERLINK("https://klasma.github.io/Logging_1781/fåglar/A 25888-2025 prioriterade fågelarter.docx", "A 25888-2025")</f>
        <v/>
      </c>
    </row>
    <row r="35" ht="15" customHeight="1">
      <c r="A35" t="inlineStr">
        <is>
          <t>A 28394-2025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46230</v>
      </c>
      <c r="F35" t="inlineStr">
        <is>
          <t>VÄRMLANDS LÄN</t>
        </is>
      </c>
      <c r="G35" t="inlineStr">
        <is>
          <t>KRISTINEHAMN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vårtrattskivling</t>
        </is>
      </c>
      <c r="W35">
        <f>HYPERLINK("https://klasma.github.io/Logging_1781/artfynd/A 28394-2025 artfynd.xlsx", "A 28394-2025")</f>
        <v/>
      </c>
      <c r="X35">
        <f>HYPERLINK("https://klasma.github.io/Logging_1781/kartor/A 28394-2025 karta.png", "A 28394-2025")</f>
        <v/>
      </c>
      <c r="Y35">
        <f>HYPERLINK("https://klasma.github.io/Logging_1781/kartor_geotiff/A 28394-2025 georefererad karta.tif", "A 28394-2025")</f>
        <v/>
      </c>
      <c r="AA35">
        <f>HYPERLINK("https://klasma.github.io/Logging_1781/klagomål/A 28394-2025 FSC-klagomål.docx", "A 28394-2025")</f>
        <v/>
      </c>
      <c r="AB35">
        <f>HYPERLINK("https://klasma.github.io/Logging_1781/klagomålsmail/A 28394-2025 FSC-klagomål mail.docx", "A 28394-2025")</f>
        <v/>
      </c>
      <c r="AC35">
        <f>HYPERLINK("https://klasma.github.io/Logging_1781/tillsyn/A 28394-2025 tillsynsbegäran.docx", "A 28394-2025")</f>
        <v/>
      </c>
      <c r="AD35">
        <f>HYPERLINK("https://klasma.github.io/Logging_1781/tillsynsmail/A 28394-2025 tillsynsbegäran mail.docx", "A 28394-2025")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46230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46230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46230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46230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46230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46230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46230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46230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46230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46230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46230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46230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46230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46230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46230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46230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46230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46230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46230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46230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46230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46230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52853-2021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46230</v>
      </c>
      <c r="F58" t="inlineStr">
        <is>
          <t>VÄRMLANDS LÄN</t>
        </is>
      </c>
      <c r="G58" t="inlineStr">
        <is>
          <t>KRISTINEHAMN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45662-2021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46230</v>
      </c>
      <c r="F59" t="inlineStr">
        <is>
          <t>VÄRMLANDS LÄN</t>
        </is>
      </c>
      <c r="G59" t="inlineStr">
        <is>
          <t>KRISTINEHAMN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46230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46230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31114-2022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44769</v>
      </c>
      <c r="E62" s="1" t="n">
        <v>46230</v>
      </c>
      <c r="F62" t="inlineStr">
        <is>
          <t>VÄRMLANDS LÄN</t>
        </is>
      </c>
      <c r="G62" t="inlineStr">
        <is>
          <t>KRISTINEHAMN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46230</v>
      </c>
      <c r="F63" t="inlineStr">
        <is>
          <t>VÄRMLANDS LÄN</t>
        </is>
      </c>
      <c r="G63" t="inlineStr">
        <is>
          <t>KRISTINEHAMN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46230</v>
      </c>
      <c r="F64" t="inlineStr">
        <is>
          <t>VÄRMLANDS LÄN</t>
        </is>
      </c>
      <c r="G64" t="inlineStr">
        <is>
          <t>KRISTINEHAMN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46230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46230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46230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46230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46230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46230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46230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46230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46230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46230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46230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46230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46230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46230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46230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46230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46230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46230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46230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46230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46230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46230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46230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46230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46230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46230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46230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46230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46230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46230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46230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46230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46230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46230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45563-2022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44841</v>
      </c>
      <c r="E99" s="1" t="n">
        <v>46230</v>
      </c>
      <c r="F99" t="inlineStr">
        <is>
          <t>VÄRMLANDS LÄN</t>
        </is>
      </c>
      <c r="G99" t="inlineStr">
        <is>
          <t>KRISTINEHAMN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21702-2024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45442</v>
      </c>
      <c r="E100" s="1" t="n">
        <v>46230</v>
      </c>
      <c r="F100" t="inlineStr">
        <is>
          <t>VÄRMLANDS LÄN</t>
        </is>
      </c>
      <c r="G100" t="inlineStr">
        <is>
          <t>KRISTINEHAMN</t>
        </is>
      </c>
      <c r="I100" t="n">
        <v>14.9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45081</v>
      </c>
      <c r="E101" s="1" t="n">
        <v>46230</v>
      </c>
      <c r="F101" t="inlineStr">
        <is>
          <t>VÄRMLANDS LÄN</t>
        </is>
      </c>
      <c r="G101" t="inlineStr">
        <is>
          <t>KRISTINEHAMN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48416-2021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46230</v>
      </c>
      <c r="F102" t="inlineStr">
        <is>
          <t>VÄRMLANDS LÄN</t>
        </is>
      </c>
      <c r="G102" t="inlineStr">
        <is>
          <t>KRISTINEHAMN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45141</v>
      </c>
      <c r="E103" s="1" t="n">
        <v>46230</v>
      </c>
      <c r="F103" t="inlineStr">
        <is>
          <t>VÄRMLANDS LÄN</t>
        </is>
      </c>
      <c r="G103" t="inlineStr">
        <is>
          <t>KRISTINEHAMN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68505-2021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46230</v>
      </c>
      <c r="F104" t="inlineStr">
        <is>
          <t>VÄRMLANDS LÄN</t>
        </is>
      </c>
      <c r="G104" t="inlineStr">
        <is>
          <t>KRISTINEHAMN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46230</v>
      </c>
      <c r="F105" t="inlineStr">
        <is>
          <t>VÄRMLANDS LÄN</t>
        </is>
      </c>
      <c r="G105" t="inlineStr">
        <is>
          <t>KRISTINEHAMN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45095</v>
      </c>
      <c r="E106" s="1" t="n">
        <v>46230</v>
      </c>
      <c r="F106" t="inlineStr">
        <is>
          <t>VÄRMLANDS LÄN</t>
        </is>
      </c>
      <c r="G106" t="inlineStr">
        <is>
          <t>KRISTINEHAMN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46230</v>
      </c>
      <c r="F107" t="inlineStr">
        <is>
          <t>VÄRMLANDS LÄN</t>
        </is>
      </c>
      <c r="G107" t="inlineStr">
        <is>
          <t>KRISTINEHAMN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46230</v>
      </c>
      <c r="F108" t="inlineStr">
        <is>
          <t>VÄRMLANDS LÄN</t>
        </is>
      </c>
      <c r="G108" t="inlineStr">
        <is>
          <t>KRISTINEHAMN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46230</v>
      </c>
      <c r="F109" t="inlineStr">
        <is>
          <t>VÄRMLANDS LÄN</t>
        </is>
      </c>
      <c r="G109" t="inlineStr">
        <is>
          <t>KRISTINEHAMN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46230</v>
      </c>
      <c r="F110" t="inlineStr">
        <is>
          <t>VÄRMLANDS LÄN</t>
        </is>
      </c>
      <c r="G110" t="inlineStr">
        <is>
          <t>KRISTINEHAMN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45324</v>
      </c>
      <c r="E111" s="1" t="n">
        <v>46230</v>
      </c>
      <c r="F111" t="inlineStr">
        <is>
          <t>VÄRMLANDS LÄN</t>
        </is>
      </c>
      <c r="G111" t="inlineStr">
        <is>
          <t>KRISTINEHAMN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45238</v>
      </c>
      <c r="E112" s="1" t="n">
        <v>46230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Kommuner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46230</v>
      </c>
      <c r="F113" t="inlineStr">
        <is>
          <t>VÄRMLANDS LÄN</t>
        </is>
      </c>
      <c r="G113" t="inlineStr">
        <is>
          <t>KRISTINEHAMN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45202</v>
      </c>
      <c r="E114" s="1" t="n">
        <v>46230</v>
      </c>
      <c r="F114" t="inlineStr">
        <is>
          <t>VÄRMLANDS LÄN</t>
        </is>
      </c>
      <c r="G114" t="inlineStr">
        <is>
          <t>KRISTINEHAMN</t>
        </is>
      </c>
      <c r="I114" t="n">
        <v>10.4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45693</v>
      </c>
      <c r="E115" s="1" t="n">
        <v>46230</v>
      </c>
      <c r="F115" t="inlineStr">
        <is>
          <t>VÄRMLANDS LÄN</t>
        </is>
      </c>
      <c r="G115" t="inlineStr">
        <is>
          <t>KRISTINEHAMN</t>
        </is>
      </c>
      <c r="I115" t="n">
        <v>8.699999999999999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44959</v>
      </c>
      <c r="E116" s="1" t="n">
        <v>46230</v>
      </c>
      <c r="F116" t="inlineStr">
        <is>
          <t>VÄRMLANDS LÄN</t>
        </is>
      </c>
      <c r="G116" t="inlineStr">
        <is>
          <t>KRISTINEHAMN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51700-2023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46230</v>
      </c>
      <c r="F117" t="inlineStr">
        <is>
          <t>VÄRMLANDS LÄN</t>
        </is>
      </c>
      <c r="G117" t="inlineStr">
        <is>
          <t>KRISTINEHAMN</t>
        </is>
      </c>
      <c r="H117" t="inlineStr">
        <is>
          <t>Bergvik skog väst AB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22637-2024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45447</v>
      </c>
      <c r="E118" s="1" t="n">
        <v>46230</v>
      </c>
      <c r="F118" t="inlineStr">
        <is>
          <t>VÄRMLANDS LÄN</t>
        </is>
      </c>
      <c r="G118" t="inlineStr">
        <is>
          <t>KRISTINEHAMN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32404-2023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46230</v>
      </c>
      <c r="F119" t="inlineStr">
        <is>
          <t>VÄRMLANDS LÄN</t>
        </is>
      </c>
      <c r="G119" t="inlineStr">
        <is>
          <t>KRISTINEHAMN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45662</v>
      </c>
      <c r="E120" s="1" t="n">
        <v>46230</v>
      </c>
      <c r="F120" t="inlineStr">
        <is>
          <t>VÄRMLANDS LÄN</t>
        </is>
      </c>
      <c r="G120" t="inlineStr">
        <is>
          <t>KRISTINEHAMN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46230</v>
      </c>
      <c r="F121" t="inlineStr">
        <is>
          <t>VÄRMLANDS LÄN</t>
        </is>
      </c>
      <c r="G121" t="inlineStr">
        <is>
          <t>KRISTINEHAMN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46230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Naturvårdsverket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46230</v>
      </c>
      <c r="F123" t="inlineStr">
        <is>
          <t>VÄRMLANDS LÄN</t>
        </is>
      </c>
      <c r="G123" t="inlineStr">
        <is>
          <t>KRISTINEHAMN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45456</v>
      </c>
      <c r="E124" s="1" t="n">
        <v>46230</v>
      </c>
      <c r="F124" t="inlineStr">
        <is>
          <t>VÄRMLANDS LÄN</t>
        </is>
      </c>
      <c r="G124" t="inlineStr">
        <is>
          <t>KRISTINEHAMN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50159-2024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46230</v>
      </c>
      <c r="F125" t="inlineStr">
        <is>
          <t>VÄRMLANDS LÄN</t>
        </is>
      </c>
      <c r="G125" t="inlineStr">
        <is>
          <t>KRISTINEHAMN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46230</v>
      </c>
      <c r="F126" t="inlineStr">
        <is>
          <t>VÄRMLANDS LÄN</t>
        </is>
      </c>
      <c r="G126" t="inlineStr">
        <is>
          <t>KRISTINEHAMN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46230</v>
      </c>
      <c r="F127" t="inlineStr">
        <is>
          <t>VÄRMLANDS LÄN</t>
        </is>
      </c>
      <c r="G127" t="inlineStr">
        <is>
          <t>KRISTINEHAMN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18954-2023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45044</v>
      </c>
      <c r="E128" s="1" t="n">
        <v>46230</v>
      </c>
      <c r="F128" t="inlineStr">
        <is>
          <t>VÄRMLANDS LÄN</t>
        </is>
      </c>
      <c r="G128" t="inlineStr">
        <is>
          <t>KRISTINEHAMN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46230</v>
      </c>
      <c r="F129" t="inlineStr">
        <is>
          <t>VÄRMLANDS LÄN</t>
        </is>
      </c>
      <c r="G129" t="inlineStr">
        <is>
          <t>KRISTINEHAMN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45303</v>
      </c>
      <c r="E130" s="1" t="n">
        <v>46230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44917</v>
      </c>
      <c r="E131" s="1" t="n">
        <v>46230</v>
      </c>
      <c r="F131" t="inlineStr">
        <is>
          <t>VÄRMLANDS LÄN</t>
        </is>
      </c>
      <c r="G131" t="inlineStr">
        <is>
          <t>KRISTINEHAMN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44741</v>
      </c>
      <c r="E132" s="1" t="n">
        <v>46230</v>
      </c>
      <c r="F132" t="inlineStr">
        <is>
          <t>VÄRMLANDS LÄN</t>
        </is>
      </c>
      <c r="G132" t="inlineStr">
        <is>
          <t>KRISTINEHAMN</t>
        </is>
      </c>
      <c r="H132" t="inlineStr">
        <is>
          <t>Bergvik skog väst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45253</v>
      </c>
      <c r="E133" s="1" t="n">
        <v>46230</v>
      </c>
      <c r="F133" t="inlineStr">
        <is>
          <t>VÄRMLANDS LÄN</t>
        </is>
      </c>
      <c r="G133" t="inlineStr">
        <is>
          <t>KRISTINEHAMN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62517-2022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46230</v>
      </c>
      <c r="F134" t="inlineStr">
        <is>
          <t>VÄRMLANDS LÄN</t>
        </is>
      </c>
      <c r="G134" t="inlineStr">
        <is>
          <t>KRISTINEHAMN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45246</v>
      </c>
      <c r="E135" s="1" t="n">
        <v>46230</v>
      </c>
      <c r="F135" t="inlineStr">
        <is>
          <t>VÄRMLANDS LÄN</t>
        </is>
      </c>
      <c r="G135" t="inlineStr">
        <is>
          <t>KRISTINEHAMN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47424-2023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45202</v>
      </c>
      <c r="E136" s="1" t="n">
        <v>46230</v>
      </c>
      <c r="F136" t="inlineStr">
        <is>
          <t>VÄRMLANDS LÄN</t>
        </is>
      </c>
      <c r="G136" t="inlineStr">
        <is>
          <t>KRISTINEHAMN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44742</v>
      </c>
      <c r="E137" s="1" t="n">
        <v>46230</v>
      </c>
      <c r="F137" t="inlineStr">
        <is>
          <t>VÄRMLANDS LÄN</t>
        </is>
      </c>
      <c r="G137" t="inlineStr">
        <is>
          <t>KRISTINEHAMN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44742</v>
      </c>
      <c r="E138" s="1" t="n">
        <v>46230</v>
      </c>
      <c r="F138" t="inlineStr">
        <is>
          <t>VÄRMLANDS LÄN</t>
        </is>
      </c>
      <c r="G138" t="inlineStr">
        <is>
          <t>KRISTINEHAMN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45202</v>
      </c>
      <c r="E139" s="1" t="n">
        <v>46230</v>
      </c>
      <c r="F139" t="inlineStr">
        <is>
          <t>VÄRMLANDS LÄN</t>
        </is>
      </c>
      <c r="G139" t="inlineStr">
        <is>
          <t>KRISTINEHAMN</t>
        </is>
      </c>
      <c r="I139" t="n">
        <v>10.1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45370</v>
      </c>
      <c r="E140" s="1" t="n">
        <v>46230</v>
      </c>
      <c r="F140" t="inlineStr">
        <is>
          <t>VÄRMLANDS LÄN</t>
        </is>
      </c>
      <c r="G140" t="inlineStr">
        <is>
          <t>KRISTINEHAMN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12568-2023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45000</v>
      </c>
      <c r="E141" s="1" t="n">
        <v>46230</v>
      </c>
      <c r="F141" t="inlineStr">
        <is>
          <t>VÄRMLANDS LÄN</t>
        </is>
      </c>
      <c r="G141" t="inlineStr">
        <is>
          <t>KRISTINEHAMN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19447-2024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45429</v>
      </c>
      <c r="E142" s="1" t="n">
        <v>46230</v>
      </c>
      <c r="F142" t="inlineStr">
        <is>
          <t>VÄRMLANDS LÄN</t>
        </is>
      </c>
      <c r="G142" t="inlineStr">
        <is>
          <t>KRISTINEHAMN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45678</v>
      </c>
      <c r="E143" s="1" t="n">
        <v>46230</v>
      </c>
      <c r="F143" t="inlineStr">
        <is>
          <t>VÄRMLANDS LÄN</t>
        </is>
      </c>
      <c r="G143" t="inlineStr">
        <is>
          <t>KRISTINEHAMN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18319-2023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45041</v>
      </c>
      <c r="E144" s="1" t="n">
        <v>46230</v>
      </c>
      <c r="F144" t="inlineStr">
        <is>
          <t>VÄRMLANDS LÄN</t>
        </is>
      </c>
      <c r="G144" t="inlineStr">
        <is>
          <t>KRISTINEHAMN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46230</v>
      </c>
      <c r="F145" t="inlineStr">
        <is>
          <t>VÄRMLANDS LÄN</t>
        </is>
      </c>
      <c r="G145" t="inlineStr">
        <is>
          <t>KRISTINEHAMN</t>
        </is>
      </c>
      <c r="I145" t="n">
        <v>8.699999999999999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45456</v>
      </c>
      <c r="E146" s="1" t="n">
        <v>46230</v>
      </c>
      <c r="F146" t="inlineStr">
        <is>
          <t>VÄRMLANDS LÄN</t>
        </is>
      </c>
      <c r="G146" t="inlineStr">
        <is>
          <t>KRISTINEHAMN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12520-2024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45379</v>
      </c>
      <c r="E147" s="1" t="n">
        <v>46230</v>
      </c>
      <c r="F147" t="inlineStr">
        <is>
          <t>VÄRMLANDS LÄN</t>
        </is>
      </c>
      <c r="G147" t="inlineStr">
        <is>
          <t>KRISTINEHAMN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44965</v>
      </c>
      <c r="E148" s="1" t="n">
        <v>46230</v>
      </c>
      <c r="F148" t="inlineStr">
        <is>
          <t>VÄRMLANDS LÄN</t>
        </is>
      </c>
      <c r="G148" t="inlineStr">
        <is>
          <t>KRISTINEHAMN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45666</v>
      </c>
      <c r="E149" s="1" t="n">
        <v>46230</v>
      </c>
      <c r="F149" t="inlineStr">
        <is>
          <t>VÄRMLANDS LÄN</t>
        </is>
      </c>
      <c r="G149" t="inlineStr">
        <is>
          <t>KRISTINEHAMN</t>
        </is>
      </c>
      <c r="I149" t="n">
        <v>9.300000000000001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46230</v>
      </c>
      <c r="F150" t="inlineStr">
        <is>
          <t>VÄRMLANDS LÄN</t>
        </is>
      </c>
      <c r="G150" t="inlineStr">
        <is>
          <t>KRISTINEHAMN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46230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45167</v>
      </c>
      <c r="E152" s="1" t="n">
        <v>46230</v>
      </c>
      <c r="F152" t="inlineStr">
        <is>
          <t>VÄRMLANDS LÄN</t>
        </is>
      </c>
      <c r="G152" t="inlineStr">
        <is>
          <t>KRISTINEHAMN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46230</v>
      </c>
      <c r="F153" t="inlineStr">
        <is>
          <t>VÄRMLANDS LÄN</t>
        </is>
      </c>
      <c r="G153" t="inlineStr">
        <is>
          <t>KRISTINEHAMN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37267-2025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45876</v>
      </c>
      <c r="E154" s="1" t="n">
        <v>46230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Sveaskog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61034-2021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46230</v>
      </c>
      <c r="F155" t="inlineStr">
        <is>
          <t>VÄRMLANDS LÄN</t>
        </is>
      </c>
      <c r="G155" t="inlineStr">
        <is>
          <t>KRISTINEHAMN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45876</v>
      </c>
      <c r="E156" s="1" t="n">
        <v>46230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46333-2023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45191</v>
      </c>
      <c r="E157" s="1" t="n">
        <v>46230</v>
      </c>
      <c r="F157" t="inlineStr">
        <is>
          <t>VÄRMLANDS LÄN</t>
        </is>
      </c>
      <c r="G157" t="inlineStr">
        <is>
          <t>KRISTINEHAMN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44734</v>
      </c>
      <c r="E158" s="1" t="n">
        <v>46230</v>
      </c>
      <c r="F158" t="inlineStr">
        <is>
          <t>VÄRMLANDS LÄN</t>
        </is>
      </c>
      <c r="G158" t="inlineStr">
        <is>
          <t>KRISTINEHAMN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45804</v>
      </c>
      <c r="E159" s="1" t="n">
        <v>46230</v>
      </c>
      <c r="F159" t="inlineStr">
        <is>
          <t>VÄRMLANDS LÄN</t>
        </is>
      </c>
      <c r="G159" t="inlineStr">
        <is>
          <t>KRISTINEHAMN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46230</v>
      </c>
      <c r="F160" t="inlineStr">
        <is>
          <t>VÄRMLANDS LÄN</t>
        </is>
      </c>
      <c r="G160" t="inlineStr">
        <is>
          <t>KRISTINEHAMN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45647</v>
      </c>
      <c r="E161" s="1" t="n">
        <v>46230</v>
      </c>
      <c r="F161" t="inlineStr">
        <is>
          <t>VÄRMLANDS LÄN</t>
        </is>
      </c>
      <c r="G161" t="inlineStr">
        <is>
          <t>KRISTINEHAMN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54603-2021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44473</v>
      </c>
      <c r="E162" s="1" t="n">
        <v>46230</v>
      </c>
      <c r="F162" t="inlineStr">
        <is>
          <t>VÄRMLANDS LÄN</t>
        </is>
      </c>
      <c r="G162" t="inlineStr">
        <is>
          <t>KRISTINEHAMN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46230</v>
      </c>
      <c r="F163" t="inlineStr">
        <is>
          <t>VÄRMLANDS LÄN</t>
        </is>
      </c>
      <c r="G163" t="inlineStr">
        <is>
          <t>KRISTINEHAMN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20102-2026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46136</v>
      </c>
      <c r="E164" s="1" t="n">
        <v>46230</v>
      </c>
      <c r="F164" t="inlineStr">
        <is>
          <t>VÄRMLANDS LÄN</t>
        </is>
      </c>
      <c r="G164" t="inlineStr">
        <is>
          <t>KRISTINEHAMN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46230</v>
      </c>
      <c r="F165" t="inlineStr">
        <is>
          <t>VÄRMLANDS LÄN</t>
        </is>
      </c>
      <c r="G165" t="inlineStr">
        <is>
          <t>KRISTINEHAMN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28485-2024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45477</v>
      </c>
      <c r="E166" s="1" t="n">
        <v>46230</v>
      </c>
      <c r="F166" t="inlineStr">
        <is>
          <t>VÄRMLANDS LÄN</t>
        </is>
      </c>
      <c r="G166" t="inlineStr">
        <is>
          <t>KRISTINEHAMN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46230</v>
      </c>
      <c r="F167" t="inlineStr">
        <is>
          <t>VÄRMLANDS LÄN</t>
        </is>
      </c>
      <c r="G167" t="inlineStr">
        <is>
          <t>KRISTINEHAMN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44917</v>
      </c>
      <c r="E168" s="1" t="n">
        <v>46230</v>
      </c>
      <c r="F168" t="inlineStr">
        <is>
          <t>VÄRMLANDS LÄN</t>
        </is>
      </c>
      <c r="G168" t="inlineStr">
        <is>
          <t>KRISTINEHAMN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13459-2024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45387</v>
      </c>
      <c r="E169" s="1" t="n">
        <v>46230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Naturvårdsverket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46230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Naturvårdsverket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19638-2025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45770</v>
      </c>
      <c r="E171" s="1" t="n">
        <v>46230</v>
      </c>
      <c r="F171" t="inlineStr">
        <is>
          <t>VÄRMLANDS LÄN</t>
        </is>
      </c>
      <c r="G171" t="inlineStr">
        <is>
          <t>KRISTINEHAMN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48128-2025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45933</v>
      </c>
      <c r="E172" s="1" t="n">
        <v>46230</v>
      </c>
      <c r="F172" t="inlineStr">
        <is>
          <t>VÄRMLANDS LÄN</t>
        </is>
      </c>
      <c r="G172" t="inlineStr">
        <is>
          <t>KRISTINEHAMN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46230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46230</v>
      </c>
      <c r="F174" t="inlineStr">
        <is>
          <t>VÄRMLANDS LÄN</t>
        </is>
      </c>
      <c r="G174" t="inlineStr">
        <is>
          <t>KRISTINEHAMN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17245-2025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45756</v>
      </c>
      <c r="E175" s="1" t="n">
        <v>46230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46230</v>
      </c>
      <c r="F176" t="inlineStr">
        <is>
          <t>VÄRMLANDS LÄN</t>
        </is>
      </c>
      <c r="G176" t="inlineStr">
        <is>
          <t>KRISTINEHAMN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46230</v>
      </c>
      <c r="F177" t="inlineStr">
        <is>
          <t>VÄRMLANDS LÄN</t>
        </is>
      </c>
      <c r="G177" t="inlineStr">
        <is>
          <t>KRISTINEHAMN</t>
        </is>
      </c>
      <c r="I177" t="n">
        <v>19.4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50103-2023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45208</v>
      </c>
      <c r="E178" s="1" t="n">
        <v>46230</v>
      </c>
      <c r="F178" t="inlineStr">
        <is>
          <t>VÄRMLANDS LÄN</t>
        </is>
      </c>
      <c r="G178" t="inlineStr">
        <is>
          <t>KRISTINEHAMN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55003-2021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44474</v>
      </c>
      <c r="E179" s="1" t="n">
        <v>46230</v>
      </c>
      <c r="F179" t="inlineStr">
        <is>
          <t>VÄRMLANDS LÄN</t>
        </is>
      </c>
      <c r="G179" t="inlineStr">
        <is>
          <t>KRISTINEHAMN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44656</v>
      </c>
      <c r="E180" s="1" t="n">
        <v>46230</v>
      </c>
      <c r="F180" t="inlineStr">
        <is>
          <t>VÄRMLANDS LÄN</t>
        </is>
      </c>
      <c r="G180" t="inlineStr">
        <is>
          <t>KRISTINEHAMN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46230</v>
      </c>
      <c r="F181" t="inlineStr">
        <is>
          <t>VÄRMLANDS LÄN</t>
        </is>
      </c>
      <c r="G181" t="inlineStr">
        <is>
          <t>KRISTINEHAMN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46230</v>
      </c>
      <c r="F182" t="inlineStr">
        <is>
          <t>VÄRMLANDS LÄN</t>
        </is>
      </c>
      <c r="G182" t="inlineStr">
        <is>
          <t>KRISTINEHAMN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24385-2023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46230</v>
      </c>
      <c r="F183" t="inlineStr">
        <is>
          <t>VÄRMLANDS LÄN</t>
        </is>
      </c>
      <c r="G183" t="inlineStr">
        <is>
          <t>KRISTINEHAMN</t>
        </is>
      </c>
      <c r="I183" t="n">
        <v>15.9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45079</v>
      </c>
      <c r="E184" s="1" t="n">
        <v>46230</v>
      </c>
      <c r="F184" t="inlineStr">
        <is>
          <t>VÄRMLANDS LÄN</t>
        </is>
      </c>
      <c r="G184" t="inlineStr">
        <is>
          <t>KRISTINEHAMN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46230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Kommuner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46139</v>
      </c>
      <c r="E186" s="1" t="n">
        <v>46230</v>
      </c>
      <c r="F186" t="inlineStr">
        <is>
          <t>VÄRMLANDS LÄN</t>
        </is>
      </c>
      <c r="G186" t="inlineStr">
        <is>
          <t>KRISTINEHAMN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45366</v>
      </c>
      <c r="E187" s="1" t="n">
        <v>46230</v>
      </c>
      <c r="F187" t="inlineStr">
        <is>
          <t>VÄRMLANDS LÄN</t>
        </is>
      </c>
      <c r="G187" t="inlineStr">
        <is>
          <t>KRISTINEHAMN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46230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Naturvårdsverket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46230</v>
      </c>
      <c r="F189" t="inlineStr">
        <is>
          <t>VÄRMLANDS LÄN</t>
        </is>
      </c>
      <c r="G189" t="inlineStr">
        <is>
          <t>KRISTINEHAMN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46230</v>
      </c>
      <c r="F190" t="inlineStr">
        <is>
          <t>VÄRMLANDS LÄN</t>
        </is>
      </c>
      <c r="G190" t="inlineStr">
        <is>
          <t>KRISTINEHAMN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45698</v>
      </c>
      <c r="E191" s="1" t="n">
        <v>46230</v>
      </c>
      <c r="F191" t="inlineStr">
        <is>
          <t>VÄRMLANDS LÄN</t>
        </is>
      </c>
      <c r="G191" t="inlineStr">
        <is>
          <t>KRISTINEHAMN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45681</v>
      </c>
      <c r="E192" s="1" t="n">
        <v>46230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Kommuner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61719-2023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45265</v>
      </c>
      <c r="E193" s="1" t="n">
        <v>46230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46230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Bergvik skog väst AB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45379</v>
      </c>
      <c r="E195" s="1" t="n">
        <v>46230</v>
      </c>
      <c r="F195" t="inlineStr">
        <is>
          <t>VÄRMLANDS LÄN</t>
        </is>
      </c>
      <c r="G195" t="inlineStr">
        <is>
          <t>KRISTINEHAMN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8758-2023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44978</v>
      </c>
      <c r="E196" s="1" t="n">
        <v>46230</v>
      </c>
      <c r="F196" t="inlineStr">
        <is>
          <t>VÄRMLANDS LÄN</t>
        </is>
      </c>
      <c r="G196" t="inlineStr">
        <is>
          <t>KRISTINEHAMN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46230</v>
      </c>
      <c r="F197" t="inlineStr">
        <is>
          <t>VÄRMLANDS LÄN</t>
        </is>
      </c>
      <c r="G197" t="inlineStr">
        <is>
          <t>KRISTINEHAMN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20654-2026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46141</v>
      </c>
      <c r="E198" s="1" t="n">
        <v>46230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Naturvårdsverket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20686-2026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46141</v>
      </c>
      <c r="E199" s="1" t="n">
        <v>46230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Naturvårdsverket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46230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Sveaskog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48379-2025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45933</v>
      </c>
      <c r="E201" s="1" t="n">
        <v>46230</v>
      </c>
      <c r="F201" t="inlineStr">
        <is>
          <t>VÄRMLANDS LÄN</t>
        </is>
      </c>
      <c r="G201" t="inlineStr">
        <is>
          <t>KRISTINEHAMN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20672-2026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46230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45361</v>
      </c>
      <c r="E203" s="1" t="n">
        <v>46230</v>
      </c>
      <c r="F203" t="inlineStr">
        <is>
          <t>VÄRMLANDS LÄN</t>
        </is>
      </c>
      <c r="G203" t="inlineStr">
        <is>
          <t>KRISTINEHAMN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46140</v>
      </c>
      <c r="E204" s="1" t="n">
        <v>46230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Sveaskog</t>
        </is>
      </c>
      <c r="I204" t="n">
        <v>14.2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45127</v>
      </c>
      <c r="E205" s="1" t="n">
        <v>46230</v>
      </c>
      <c r="F205" t="inlineStr">
        <is>
          <t>VÄRMLANDS LÄN</t>
        </is>
      </c>
      <c r="G205" t="inlineStr">
        <is>
          <t>KRISTINEHAMN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46230</v>
      </c>
      <c r="F206" t="inlineStr">
        <is>
          <t>VÄRMLANDS LÄN</t>
        </is>
      </c>
      <c r="G206" t="inlineStr">
        <is>
          <t>KRISTINEHAMN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50420-2025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45944</v>
      </c>
      <c r="E207" s="1" t="n">
        <v>46230</v>
      </c>
      <c r="F207" t="inlineStr">
        <is>
          <t>VÄRMLANDS LÄN</t>
        </is>
      </c>
      <c r="G207" t="inlineStr">
        <is>
          <t>KRISTINEHAMN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39157-2025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46230</v>
      </c>
      <c r="F208" t="inlineStr">
        <is>
          <t>VÄRMLANDS LÄN</t>
        </is>
      </c>
      <c r="G208" t="inlineStr">
        <is>
          <t>KRISTINEHAMN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46230</v>
      </c>
      <c r="F209" t="inlineStr">
        <is>
          <t>VÄRMLANDS LÄN</t>
        </is>
      </c>
      <c r="G209" t="inlineStr">
        <is>
          <t>KRISTINEHAMN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14014-2024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45392</v>
      </c>
      <c r="E210" s="1" t="n">
        <v>46230</v>
      </c>
      <c r="F210" t="inlineStr">
        <is>
          <t>VÄRMLANDS LÄN</t>
        </is>
      </c>
      <c r="G210" t="inlineStr">
        <is>
          <t>KRISTINEHAMN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45679</v>
      </c>
      <c r="E211" s="1" t="n">
        <v>46230</v>
      </c>
      <c r="F211" t="inlineStr">
        <is>
          <t>VÄRMLANDS LÄN</t>
        </is>
      </c>
      <c r="G211" t="inlineStr">
        <is>
          <t>KRISTINEHAMN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46142</v>
      </c>
      <c r="E212" s="1" t="n">
        <v>46230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Sveaskog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23270-2024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45450</v>
      </c>
      <c r="E213" s="1" t="n">
        <v>46230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Kommuner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68526-2021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44526</v>
      </c>
      <c r="E214" s="1" t="n">
        <v>46230</v>
      </c>
      <c r="F214" t="inlineStr">
        <is>
          <t>VÄRMLANDS LÄN</t>
        </is>
      </c>
      <c r="G214" t="inlineStr">
        <is>
          <t>KRISTINEHAMN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68530-2021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44526</v>
      </c>
      <c r="E215" s="1" t="n">
        <v>46230</v>
      </c>
      <c r="F215" t="inlineStr">
        <is>
          <t>VÄRMLANDS LÄN</t>
        </is>
      </c>
      <c r="G215" t="inlineStr">
        <is>
          <t>KRISTINEHAMN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44421</v>
      </c>
      <c r="E216" s="1" t="n">
        <v>46230</v>
      </c>
      <c r="F216" t="inlineStr">
        <is>
          <t>VÄRMLANDS LÄN</t>
        </is>
      </c>
      <c r="G216" t="inlineStr">
        <is>
          <t>KRISTINEHAMN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44712</v>
      </c>
      <c r="E217" s="1" t="n">
        <v>46230</v>
      </c>
      <c r="F217" t="inlineStr">
        <is>
          <t>VÄRMLANDS LÄN</t>
        </is>
      </c>
      <c r="G217" t="inlineStr">
        <is>
          <t>KRISTINEHAMN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46230</v>
      </c>
      <c r="F218" t="inlineStr">
        <is>
          <t>VÄRMLANDS LÄN</t>
        </is>
      </c>
      <c r="G218" t="inlineStr">
        <is>
          <t>KRISTINEHAMN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45639</v>
      </c>
      <c r="E219" s="1" t="n">
        <v>46230</v>
      </c>
      <c r="F219" t="inlineStr">
        <is>
          <t>VÄRMLANDS LÄN</t>
        </is>
      </c>
      <c r="G219" t="inlineStr">
        <is>
          <t>KRISTINEHAMN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45068</v>
      </c>
      <c r="E220" s="1" t="n">
        <v>46230</v>
      </c>
      <c r="F220" t="inlineStr">
        <is>
          <t>VÄRMLANDS LÄN</t>
        </is>
      </c>
      <c r="G220" t="inlineStr">
        <is>
          <t>KRISTINEHAMN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58284-2024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45631</v>
      </c>
      <c r="E221" s="1" t="n">
        <v>46230</v>
      </c>
      <c r="F221" t="inlineStr">
        <is>
          <t>VÄRMLANDS LÄN</t>
        </is>
      </c>
      <c r="G221" t="inlineStr">
        <is>
          <t>KRISTINEHAMN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29526-2022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44753</v>
      </c>
      <c r="E222" s="1" t="n">
        <v>46230</v>
      </c>
      <c r="F222" t="inlineStr">
        <is>
          <t>VÄRMLANDS LÄN</t>
        </is>
      </c>
      <c r="G222" t="inlineStr">
        <is>
          <t>KRISTINEHAMN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46230</v>
      </c>
      <c r="F223" t="inlineStr">
        <is>
          <t>VÄRMLANDS LÄN</t>
        </is>
      </c>
      <c r="G223" t="inlineStr">
        <is>
          <t>KRISTINEHAMN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52404-2025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45954</v>
      </c>
      <c r="E224" s="1" t="n">
        <v>46230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45959</v>
      </c>
      <c r="E225" s="1" t="n">
        <v>46230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44923</v>
      </c>
      <c r="E226" s="1" t="n">
        <v>46230</v>
      </c>
      <c r="F226" t="inlineStr">
        <is>
          <t>VÄRMLANDS LÄN</t>
        </is>
      </c>
      <c r="G226" t="inlineStr">
        <is>
          <t>KRISTINEHAMN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53371-2025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45959</v>
      </c>
      <c r="E227" s="1" t="n">
        <v>46230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8557-2023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44972</v>
      </c>
      <c r="E228" s="1" t="n">
        <v>46230</v>
      </c>
      <c r="F228" t="inlineStr">
        <is>
          <t>VÄRMLANDS LÄN</t>
        </is>
      </c>
      <c r="G228" t="inlineStr">
        <is>
          <t>KRISTINEHAMN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21039-2026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46146</v>
      </c>
      <c r="E229" s="1" t="n">
        <v>46230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Sveaskog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45268</v>
      </c>
      <c r="E230" s="1" t="n">
        <v>46230</v>
      </c>
      <c r="F230" t="inlineStr">
        <is>
          <t>VÄRMLANDS LÄN</t>
        </is>
      </c>
      <c r="G230" t="inlineStr">
        <is>
          <t>KRISTINEHAMN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45961</v>
      </c>
      <c r="E231" s="1" t="n">
        <v>46230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Naturvårdsverket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45961</v>
      </c>
      <c r="E232" s="1" t="n">
        <v>46230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Naturvårdsverket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46230</v>
      </c>
      <c r="F233" t="inlineStr">
        <is>
          <t>VÄRMLANDS LÄN</t>
        </is>
      </c>
      <c r="G233" t="inlineStr">
        <is>
          <t>KRISTINEHAMN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52750-2021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44466</v>
      </c>
      <c r="E234" s="1" t="n">
        <v>46230</v>
      </c>
      <c r="F234" t="inlineStr">
        <is>
          <t>VÄRMLANDS LÄN</t>
        </is>
      </c>
      <c r="G234" t="inlineStr">
        <is>
          <t>KRISTINEHAMN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46190</v>
      </c>
      <c r="E235" s="1" t="n">
        <v>46230</v>
      </c>
      <c r="F235" t="inlineStr">
        <is>
          <t>VÄRMLANDS LÄN</t>
        </is>
      </c>
      <c r="G235" t="inlineStr">
        <is>
          <t>KRISTINEHAMN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46190</v>
      </c>
      <c r="E236" s="1" t="n">
        <v>46230</v>
      </c>
      <c r="F236" t="inlineStr">
        <is>
          <t>VÄRMLANDS LÄN</t>
        </is>
      </c>
      <c r="G236" t="inlineStr">
        <is>
          <t>KRISTINEHAMN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22060-2026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46149</v>
      </c>
      <c r="E237" s="1" t="n">
        <v>46230</v>
      </c>
      <c r="F237" t="inlineStr">
        <is>
          <t>VÄRMLANDS LÄN</t>
        </is>
      </c>
      <c r="G237" t="inlineStr">
        <is>
          <t>KRISTINEHAMN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56315-2025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45974</v>
      </c>
      <c r="E238" s="1" t="n">
        <v>46230</v>
      </c>
      <c r="F238" t="inlineStr">
        <is>
          <t>VÄRMLANDS LÄN</t>
        </is>
      </c>
      <c r="G238" t="inlineStr">
        <is>
          <t>KRISTINEHAMN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45625</v>
      </c>
      <c r="E239" s="1" t="n">
        <v>46230</v>
      </c>
      <c r="F239" t="inlineStr">
        <is>
          <t>VÄRMLANDS LÄN</t>
        </is>
      </c>
      <c r="G239" t="inlineStr">
        <is>
          <t>KRISTINEHAMN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39781-2023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45167</v>
      </c>
      <c r="E240" s="1" t="n">
        <v>46230</v>
      </c>
      <c r="F240" t="inlineStr">
        <is>
          <t>VÄRMLANDS LÄN</t>
        </is>
      </c>
      <c r="G240" t="inlineStr">
        <is>
          <t>KRISTINEHAMN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21844-2026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46150</v>
      </c>
      <c r="E241" s="1" t="n">
        <v>46230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Sveaskog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58616-2021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44489</v>
      </c>
      <c r="E242" s="1" t="n">
        <v>46230</v>
      </c>
      <c r="F242" t="inlineStr">
        <is>
          <t>VÄRMLANDS LÄN</t>
        </is>
      </c>
      <c r="G242" t="inlineStr">
        <is>
          <t>KRISTINEHAMN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21842-2026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46150</v>
      </c>
      <c r="E243" s="1" t="n">
        <v>46230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23332-2024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45453</v>
      </c>
      <c r="E244" s="1" t="n">
        <v>46230</v>
      </c>
      <c r="F244" t="inlineStr">
        <is>
          <t>VÄRMLANDS LÄN</t>
        </is>
      </c>
      <c r="G244" t="inlineStr">
        <is>
          <t>KRISTINEHAMN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45666</v>
      </c>
      <c r="E245" s="1" t="n">
        <v>46230</v>
      </c>
      <c r="F245" t="inlineStr">
        <is>
          <t>VÄRMLANDS LÄN</t>
        </is>
      </c>
      <c r="G245" t="inlineStr">
        <is>
          <t>KRISTINEHAMN</t>
        </is>
      </c>
      <c r="I245" t="n">
        <v>8.699999999999999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46230</v>
      </c>
      <c r="F246" t="inlineStr">
        <is>
          <t>VÄRMLANDS LÄN</t>
        </is>
      </c>
      <c r="G246" t="inlineStr">
        <is>
          <t>KRISTINEHAMN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45322</v>
      </c>
      <c r="E247" s="1" t="n">
        <v>46230</v>
      </c>
      <c r="F247" t="inlineStr">
        <is>
          <t>VÄRMLANDS LÄN</t>
        </is>
      </c>
      <c r="G247" t="inlineStr">
        <is>
          <t>KRISTINEHAMN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62777-2023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45268</v>
      </c>
      <c r="E248" s="1" t="n">
        <v>46230</v>
      </c>
      <c r="F248" t="inlineStr">
        <is>
          <t>VÄRMLANDS LÄN</t>
        </is>
      </c>
      <c r="G248" t="inlineStr">
        <is>
          <t>KRISTINEHAMN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45995</v>
      </c>
      <c r="E249" s="1" t="n">
        <v>46230</v>
      </c>
      <c r="F249" t="inlineStr">
        <is>
          <t>VÄRMLANDS LÄN</t>
        </is>
      </c>
      <c r="G249" t="inlineStr">
        <is>
          <t>KRISTINEHAMN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45999</v>
      </c>
      <c r="E250" s="1" t="n">
        <v>46230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Naturvårdsverket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45999</v>
      </c>
      <c r="E251" s="1" t="n">
        <v>46230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Bergvik skog väst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46230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Bergvik skog väst AB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45999</v>
      </c>
      <c r="E253" s="1" t="n">
        <v>46230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Bergvik skog väst AB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45461</v>
      </c>
      <c r="E254" s="1" t="n">
        <v>46230</v>
      </c>
      <c r="F254" t="inlineStr">
        <is>
          <t>VÄRMLANDS LÄN</t>
        </is>
      </c>
      <c r="G254" t="inlineStr">
        <is>
          <t>KRISTINEHAMN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45313</v>
      </c>
      <c r="E255" s="1" t="n">
        <v>46230</v>
      </c>
      <c r="F255" t="inlineStr">
        <is>
          <t>VÄRMLANDS LÄN</t>
        </is>
      </c>
      <c r="G255" t="inlineStr">
        <is>
          <t>KRISTINEHAMN</t>
        </is>
      </c>
      <c r="I255" t="n">
        <v>11.2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46230</v>
      </c>
      <c r="F256" t="inlineStr">
        <is>
          <t>VÄRMLANDS LÄN</t>
        </is>
      </c>
      <c r="G256" t="inlineStr">
        <is>
          <t>KRISTINEHAMN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44595</v>
      </c>
      <c r="E257" s="1" t="n">
        <v>46230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Kommuner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5507-2022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44595</v>
      </c>
      <c r="E258" s="1" t="n">
        <v>46230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Kommuner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46000</v>
      </c>
      <c r="E259" s="1" t="n">
        <v>46230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Naturvårdsverket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46230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Bergvik skog väst AB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46230</v>
      </c>
      <c r="F261" t="inlineStr">
        <is>
          <t>VÄRMLANDS LÄN</t>
        </is>
      </c>
      <c r="G261" t="inlineStr">
        <is>
          <t>KRISTINEHAMN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45302</v>
      </c>
      <c r="E262" s="1" t="n">
        <v>46230</v>
      </c>
      <c r="F262" t="inlineStr">
        <is>
          <t>VÄRMLANDS LÄN</t>
        </is>
      </c>
      <c r="G262" t="inlineStr">
        <is>
          <t>KRISTINEHAMN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45341</v>
      </c>
      <c r="E263" s="1" t="n">
        <v>46230</v>
      </c>
      <c r="F263" t="inlineStr">
        <is>
          <t>VÄRMLANDS LÄN</t>
        </is>
      </c>
      <c r="G263" t="inlineStr">
        <is>
          <t>KRISTINEHAMN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46230</v>
      </c>
      <c r="F264" t="inlineStr">
        <is>
          <t>VÄRMLANDS LÄN</t>
        </is>
      </c>
      <c r="G264" t="inlineStr">
        <is>
          <t>KRISTINEHAMN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45569</v>
      </c>
      <c r="E265" s="1" t="n">
        <v>46230</v>
      </c>
      <c r="F265" t="inlineStr">
        <is>
          <t>VÄRMLANDS LÄN</t>
        </is>
      </c>
      <c r="G265" t="inlineStr">
        <is>
          <t>KRISTINEHAMN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61888-2025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46230</v>
      </c>
      <c r="F266" t="inlineStr">
        <is>
          <t>VÄRMLANDS LÄN</t>
        </is>
      </c>
      <c r="G266" t="inlineStr">
        <is>
          <t>KRISTINEHAMN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45022</v>
      </c>
      <c r="E267" s="1" t="n">
        <v>46230</v>
      </c>
      <c r="F267" t="inlineStr">
        <is>
          <t>VÄRMLANDS LÄN</t>
        </is>
      </c>
      <c r="G267" t="inlineStr">
        <is>
          <t>KRISTINEHAMN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62349-2025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46230</v>
      </c>
      <c r="F268" t="inlineStr">
        <is>
          <t>VÄRMLANDS LÄN</t>
        </is>
      </c>
      <c r="G268" t="inlineStr">
        <is>
          <t>KRISTINEHAMN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47915-2022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44855</v>
      </c>
      <c r="E269" s="1" t="n">
        <v>46230</v>
      </c>
      <c r="F269" t="inlineStr">
        <is>
          <t>VÄRMLANDS LÄN</t>
        </is>
      </c>
      <c r="G269" t="inlineStr">
        <is>
          <t>KRISTINEHAMN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45341</v>
      </c>
      <c r="E270" s="1" t="n">
        <v>46230</v>
      </c>
      <c r="F270" t="inlineStr">
        <is>
          <t>VÄRMLANDS LÄN</t>
        </is>
      </c>
      <c r="G270" t="inlineStr">
        <is>
          <t>KRISTINEHAMN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63016-2025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46230</v>
      </c>
      <c r="F271" t="inlineStr">
        <is>
          <t>VÄRMLANDS LÄN</t>
        </is>
      </c>
      <c r="G271" t="inlineStr">
        <is>
          <t>KRISTINEHAMN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59203-2024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45636</v>
      </c>
      <c r="E272" s="1" t="n">
        <v>46230</v>
      </c>
      <c r="F272" t="inlineStr">
        <is>
          <t>VÄRMLANDS LÄN</t>
        </is>
      </c>
      <c r="G272" t="inlineStr">
        <is>
          <t>KRISTINEHAMN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47951-2021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44448</v>
      </c>
      <c r="E273" s="1" t="n">
        <v>46230</v>
      </c>
      <c r="F273" t="inlineStr">
        <is>
          <t>VÄRMLANDS LÄN</t>
        </is>
      </c>
      <c r="G273" t="inlineStr">
        <is>
          <t>KRISTINEHAMN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63018-2025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46009</v>
      </c>
      <c r="E274" s="1" t="n">
        <v>46230</v>
      </c>
      <c r="F274" t="inlineStr">
        <is>
          <t>VÄRMLANDS LÄN</t>
        </is>
      </c>
      <c r="G274" t="inlineStr">
        <is>
          <t>KRISTINEHAMN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28827-2024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45478</v>
      </c>
      <c r="E275" s="1" t="n">
        <v>46230</v>
      </c>
      <c r="F275" t="inlineStr">
        <is>
          <t>VÄRMLANDS LÄN</t>
        </is>
      </c>
      <c r="G275" t="inlineStr">
        <is>
          <t>KRISTINEHAMN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28836-2024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45478</v>
      </c>
      <c r="E276" s="1" t="n">
        <v>46230</v>
      </c>
      <c r="F276" t="inlineStr">
        <is>
          <t>VÄRMLANDS LÄN</t>
        </is>
      </c>
      <c r="G276" t="inlineStr">
        <is>
          <t>KRISTINEHAMN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45315</v>
      </c>
      <c r="E277" s="1" t="n">
        <v>46230</v>
      </c>
      <c r="F277" t="inlineStr">
        <is>
          <t>VÄRMLANDS LÄN</t>
        </is>
      </c>
      <c r="G277" t="inlineStr">
        <is>
          <t>KRISTINEHAMN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55719-2024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46230</v>
      </c>
      <c r="F278" t="inlineStr">
        <is>
          <t>VÄRMLANDS LÄN</t>
        </is>
      </c>
      <c r="G278" t="inlineStr">
        <is>
          <t>KRISTINEHAMN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44746</v>
      </c>
      <c r="E279" s="1" t="n">
        <v>46230</v>
      </c>
      <c r="F279" t="inlineStr">
        <is>
          <t>VÄRMLANDS LÄN</t>
        </is>
      </c>
      <c r="G279" t="inlineStr">
        <is>
          <t>KRISTINEHAMN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50174-2024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45600</v>
      </c>
      <c r="E280" s="1" t="n">
        <v>46230</v>
      </c>
      <c r="F280" t="inlineStr">
        <is>
          <t>VÄRMLANDS LÄN</t>
        </is>
      </c>
      <c r="G280" t="inlineStr">
        <is>
          <t>KRISTINEHAMN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44941</v>
      </c>
      <c r="E281" s="1" t="n">
        <v>46230</v>
      </c>
      <c r="F281" t="inlineStr">
        <is>
          <t>VÄRMLANDS LÄN</t>
        </is>
      </c>
      <c r="G281" t="inlineStr">
        <is>
          <t>KRISTINEHAMN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46161</v>
      </c>
      <c r="E282" s="1" t="n">
        <v>46230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46230</v>
      </c>
      <c r="F283" t="inlineStr">
        <is>
          <t>VÄRMLANDS LÄN</t>
        </is>
      </c>
      <c r="G283" t="inlineStr">
        <is>
          <t>KRISTINEHAMN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46230</v>
      </c>
      <c r="F284" t="inlineStr">
        <is>
          <t>VÄRMLANDS LÄN</t>
        </is>
      </c>
      <c r="G284" t="inlineStr">
        <is>
          <t>KRISTINEHAMN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32569-2023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45121</v>
      </c>
      <c r="E285" s="1" t="n">
        <v>46230</v>
      </c>
      <c r="F285" t="inlineStr">
        <is>
          <t>VÄRMLANDS LÄN</t>
        </is>
      </c>
      <c r="G285" t="inlineStr">
        <is>
          <t>KRISTINEHAMN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46230</v>
      </c>
      <c r="F286" t="inlineStr">
        <is>
          <t>VÄRMLANDS LÄN</t>
        </is>
      </c>
      <c r="G286" t="inlineStr">
        <is>
          <t>KRISTINEHAMN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47648-2023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45198</v>
      </c>
      <c r="E287" s="1" t="n">
        <v>46230</v>
      </c>
      <c r="F287" t="inlineStr">
        <is>
          <t>VÄRMLANDS LÄN</t>
        </is>
      </c>
      <c r="G287" t="inlineStr">
        <is>
          <t>KRISTINEHAMN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46038</v>
      </c>
      <c r="E288" s="1" t="n">
        <v>46230</v>
      </c>
      <c r="F288" t="inlineStr">
        <is>
          <t>VÄRMLANDS LÄN</t>
        </is>
      </c>
      <c r="G288" t="inlineStr">
        <is>
          <t>KRISTINEHAMN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56572-2024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45625</v>
      </c>
      <c r="E289" s="1" t="n">
        <v>46230</v>
      </c>
      <c r="F289" t="inlineStr">
        <is>
          <t>VÄRMLANDS LÄN</t>
        </is>
      </c>
      <c r="G289" t="inlineStr">
        <is>
          <t>KRISTINEHAMN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46230</v>
      </c>
      <c r="F290" t="inlineStr">
        <is>
          <t>VÄRMLANDS LÄN</t>
        </is>
      </c>
      <c r="G290" t="inlineStr">
        <is>
          <t>KRISTINEHAMN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46230</v>
      </c>
      <c r="F291" t="inlineStr">
        <is>
          <t>VÄRMLANDS LÄN</t>
        </is>
      </c>
      <c r="G291" t="inlineStr">
        <is>
          <t>KRISTINEHAMN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45450</v>
      </c>
      <c r="E292" s="1" t="n">
        <v>46230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Kommuner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45593</v>
      </c>
      <c r="E293" s="1" t="n">
        <v>46230</v>
      </c>
      <c r="F293" t="inlineStr">
        <is>
          <t>VÄRMLANDS LÄN</t>
        </is>
      </c>
      <c r="G293" t="inlineStr">
        <is>
          <t>KRISTINEHAMN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46230</v>
      </c>
      <c r="F294" t="inlineStr">
        <is>
          <t>VÄRMLANDS LÄN</t>
        </is>
      </c>
      <c r="G294" t="inlineStr">
        <is>
          <t>KRISTINEHAMN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46230</v>
      </c>
      <c r="F295" t="inlineStr">
        <is>
          <t>VÄRMLANDS LÄN</t>
        </is>
      </c>
      <c r="G295" t="inlineStr">
        <is>
          <t>KRISTINEHAMN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46230</v>
      </c>
      <c r="F296" t="inlineStr">
        <is>
          <t>VÄRMLANDS LÄN</t>
        </is>
      </c>
      <c r="G296" t="inlineStr">
        <is>
          <t>KRISTINEHAMN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36792-2023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45154</v>
      </c>
      <c r="E297" s="1" t="n">
        <v>46230</v>
      </c>
      <c r="F297" t="inlineStr">
        <is>
          <t>VÄRMLANDS LÄN</t>
        </is>
      </c>
      <c r="G297" t="inlineStr">
        <is>
          <t>KRISTINEHAMN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6259-2026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46051</v>
      </c>
      <c r="E298" s="1" t="n">
        <v>46230</v>
      </c>
      <c r="F298" t="inlineStr">
        <is>
          <t>VÄRMLANDS LÄN</t>
        </is>
      </c>
      <c r="G298" t="inlineStr">
        <is>
          <t>KRISTINEHAMN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46205</v>
      </c>
      <c r="E299" s="1" t="n">
        <v>46230</v>
      </c>
      <c r="F299" t="inlineStr">
        <is>
          <t>VÄRMLANDS LÄN</t>
        </is>
      </c>
      <c r="G299" t="inlineStr">
        <is>
          <t>KRISTINEHAMN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29874-2026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46205</v>
      </c>
      <c r="E300" s="1" t="n">
        <v>46230</v>
      </c>
      <c r="F300" t="inlineStr">
        <is>
          <t>VÄRMLANDS LÄN</t>
        </is>
      </c>
      <c r="G300" t="inlineStr">
        <is>
          <t>KRISTINEHAMN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15942-2025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45749</v>
      </c>
      <c r="E301" s="1" t="n">
        <v>46230</v>
      </c>
      <c r="F301" t="inlineStr">
        <is>
          <t>VÄRMLANDS LÄN</t>
        </is>
      </c>
      <c r="G301" t="inlineStr">
        <is>
          <t>KRISTINEHAMN</t>
        </is>
      </c>
      <c r="I301" t="n">
        <v>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32409-2023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46230</v>
      </c>
      <c r="F302" t="inlineStr">
        <is>
          <t>VÄRMLANDS LÄN</t>
        </is>
      </c>
      <c r="G302" t="inlineStr">
        <is>
          <t>KRISTINEHAMN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42408-2022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44831</v>
      </c>
      <c r="E303" s="1" t="n">
        <v>46230</v>
      </c>
      <c r="F303" t="inlineStr">
        <is>
          <t>VÄRMLANDS LÄN</t>
        </is>
      </c>
      <c r="G303" t="inlineStr">
        <is>
          <t>KRISTINEHAMN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24710-2024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46230</v>
      </c>
      <c r="F304" t="inlineStr">
        <is>
          <t>VÄRMLANDS LÄN</t>
        </is>
      </c>
      <c r="G304" t="inlineStr">
        <is>
          <t>KRISTINEHAMN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23294-2026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46230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45401</v>
      </c>
      <c r="E306" s="1" t="n">
        <v>46230</v>
      </c>
      <c r="F306" t="inlineStr">
        <is>
          <t>VÄRMLANDS LÄN</t>
        </is>
      </c>
      <c r="G306" t="inlineStr">
        <is>
          <t>KRISTINEHAMN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61942-2022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44918</v>
      </c>
      <c r="E307" s="1" t="n">
        <v>46230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Kommuner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41857-2023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45176</v>
      </c>
      <c r="E308" s="1" t="n">
        <v>46230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Naturvårdsverket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56666-2023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45243</v>
      </c>
      <c r="E309" s="1" t="n">
        <v>46230</v>
      </c>
      <c r="F309" t="inlineStr">
        <is>
          <t>VÄRMLANDS LÄN</t>
        </is>
      </c>
      <c r="G309" t="inlineStr">
        <is>
          <t>KRISTINEHAMN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45243</v>
      </c>
      <c r="E310" s="1" t="n">
        <v>46230</v>
      </c>
      <c r="F310" t="inlineStr">
        <is>
          <t>VÄRMLANDS LÄN</t>
        </is>
      </c>
      <c r="G310" t="inlineStr">
        <is>
          <t>KRISTINEHAMN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45243</v>
      </c>
      <c r="E311" s="1" t="n">
        <v>46230</v>
      </c>
      <c r="F311" t="inlineStr">
        <is>
          <t>VÄRMLANDS LÄN</t>
        </is>
      </c>
      <c r="G311" t="inlineStr">
        <is>
          <t>KRISTINEHAMN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45686</v>
      </c>
      <c r="E312" s="1" t="n">
        <v>46230</v>
      </c>
      <c r="F312" t="inlineStr">
        <is>
          <t>VÄRMLANDS LÄN</t>
        </is>
      </c>
      <c r="G312" t="inlineStr">
        <is>
          <t>KRISTINEHAMN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45302</v>
      </c>
      <c r="E313" s="1" t="n">
        <v>46230</v>
      </c>
      <c r="F313" t="inlineStr">
        <is>
          <t>VÄRMLANDS LÄN</t>
        </is>
      </c>
      <c r="G313" t="inlineStr">
        <is>
          <t>KRISTINEHAMN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23704-2022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44722</v>
      </c>
      <c r="E314" s="1" t="n">
        <v>46230</v>
      </c>
      <c r="F314" t="inlineStr">
        <is>
          <t>VÄRMLANDS LÄN</t>
        </is>
      </c>
      <c r="G314" t="inlineStr">
        <is>
          <t>KRISTINEHAMN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23706-2022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44722</v>
      </c>
      <c r="E315" s="1" t="n">
        <v>46230</v>
      </c>
      <c r="F315" t="inlineStr">
        <is>
          <t>VÄRMLANDS LÄN</t>
        </is>
      </c>
      <c r="G315" t="inlineStr">
        <is>
          <t>KRISTINEHAMN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45002</v>
      </c>
      <c r="E316" s="1" t="n">
        <v>46230</v>
      </c>
      <c r="F316" t="inlineStr">
        <is>
          <t>VÄRMLANDS LÄN</t>
        </is>
      </c>
      <c r="G316" t="inlineStr">
        <is>
          <t>KRISTINEHAMN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44677</v>
      </c>
      <c r="E317" s="1" t="n">
        <v>46230</v>
      </c>
      <c r="F317" t="inlineStr">
        <is>
          <t>VÄRMLANDS LÄN</t>
        </is>
      </c>
      <c r="G317" t="inlineStr">
        <is>
          <t>KRISTINEHAMN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47398-2023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45202</v>
      </c>
      <c r="E318" s="1" t="n">
        <v>46230</v>
      </c>
      <c r="F318" t="inlineStr">
        <is>
          <t>VÄRMLANDS LÄN</t>
        </is>
      </c>
      <c r="G318" t="inlineStr">
        <is>
          <t>KRISTINEHAMN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27515-2023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45097</v>
      </c>
      <c r="E319" s="1" t="n">
        <v>46230</v>
      </c>
      <c r="F319" t="inlineStr">
        <is>
          <t>VÄRMLANDS LÄN</t>
        </is>
      </c>
      <c r="G319" t="inlineStr">
        <is>
          <t>KRISTINEHAMN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45302</v>
      </c>
      <c r="E320" s="1" t="n">
        <v>46230</v>
      </c>
      <c r="F320" t="inlineStr">
        <is>
          <t>VÄRMLANDS LÄN</t>
        </is>
      </c>
      <c r="G320" t="inlineStr">
        <is>
          <t>KRISTINEHAMN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46083</v>
      </c>
      <c r="E321" s="1" t="n">
        <v>46230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Bergvik skog väst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38490-2021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44407</v>
      </c>
      <c r="E322" s="1" t="n">
        <v>46230</v>
      </c>
      <c r="F322" t="inlineStr">
        <is>
          <t>VÄRMLANDS LÄN</t>
        </is>
      </c>
      <c r="G322" t="inlineStr">
        <is>
          <t>KRISTINEHAMN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24379-2026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46169</v>
      </c>
      <c r="E323" s="1" t="n">
        <v>46230</v>
      </c>
      <c r="F323" t="inlineStr">
        <is>
          <t>VÄRMLANDS LÄN</t>
        </is>
      </c>
      <c r="G323" t="inlineStr">
        <is>
          <t>KRISTINEHAMN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24570-2026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46170</v>
      </c>
      <c r="E324" s="1" t="n">
        <v>46230</v>
      </c>
      <c r="F324" t="inlineStr">
        <is>
          <t>VÄRMLANDS LÄN</t>
        </is>
      </c>
      <c r="G324" t="inlineStr">
        <is>
          <t>KRISTINEHAMN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14340-2024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45393</v>
      </c>
      <c r="E325" s="1" t="n">
        <v>46230</v>
      </c>
      <c r="F325" t="inlineStr">
        <is>
          <t>VÄRMLANDS LÄN</t>
        </is>
      </c>
      <c r="G325" t="inlineStr">
        <is>
          <t>KRISTINEHAMN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46092</v>
      </c>
      <c r="E326" s="1" t="n">
        <v>46230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12930-2026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46092</v>
      </c>
      <c r="E327" s="1" t="n">
        <v>46230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46092</v>
      </c>
      <c r="E328" s="1" t="n">
        <v>46230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55890-2023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45239</v>
      </c>
      <c r="E329" s="1" t="n">
        <v>46230</v>
      </c>
      <c r="F329" t="inlineStr">
        <is>
          <t>VÄRMLANDS LÄN</t>
        </is>
      </c>
      <c r="G329" t="inlineStr">
        <is>
          <t>KRISTINEHAMN</t>
        </is>
      </c>
      <c r="I329" t="n">
        <v>8.199999999999999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20696-2023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45058</v>
      </c>
      <c r="E330" s="1" t="n">
        <v>46230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Kommuner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46230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46230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13464-2026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46230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21688-2024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45442</v>
      </c>
      <c r="E334" s="1" t="n">
        <v>46230</v>
      </c>
      <c r="F334" t="inlineStr">
        <is>
          <t>VÄRMLANDS LÄN</t>
        </is>
      </c>
      <c r="G334" t="inlineStr">
        <is>
          <t>KRISTINEHAMN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45226</v>
      </c>
      <c r="E335" s="1" t="n">
        <v>46230</v>
      </c>
      <c r="F335" t="inlineStr">
        <is>
          <t>VÄRMLANDS LÄN</t>
        </is>
      </c>
      <c r="G335" t="inlineStr">
        <is>
          <t>KRISTINEHAMN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45226</v>
      </c>
      <c r="E336" s="1" t="n">
        <v>46230</v>
      </c>
      <c r="F336" t="inlineStr">
        <is>
          <t>VÄRMLANDS LÄN</t>
        </is>
      </c>
      <c r="G336" t="inlineStr">
        <is>
          <t>KRISTINEHAMN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46171</v>
      </c>
      <c r="E337" s="1" t="n">
        <v>46230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45260</v>
      </c>
      <c r="E338" s="1" t="n">
        <v>46230</v>
      </c>
      <c r="F338" t="inlineStr">
        <is>
          <t>VÄRMLANDS LÄN</t>
        </is>
      </c>
      <c r="G338" t="inlineStr">
        <is>
          <t>KRISTINEHAMN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45679</v>
      </c>
      <c r="E339" s="1" t="n">
        <v>46230</v>
      </c>
      <c r="F339" t="inlineStr">
        <is>
          <t>VÄRMLANDS LÄN</t>
        </is>
      </c>
      <c r="G339" t="inlineStr">
        <is>
          <t>KRISTINEHAMN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45379</v>
      </c>
      <c r="E340" s="1" t="n">
        <v>46230</v>
      </c>
      <c r="F340" t="inlineStr">
        <is>
          <t>VÄRMLANDS LÄN</t>
        </is>
      </c>
      <c r="G340" t="inlineStr">
        <is>
          <t>KRISTINEHAMN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12423-2024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45379</v>
      </c>
      <c r="E341" s="1" t="n">
        <v>46230</v>
      </c>
      <c r="F341" t="inlineStr">
        <is>
          <t>VÄRMLANDS LÄN</t>
        </is>
      </c>
      <c r="G341" t="inlineStr">
        <is>
          <t>KRISTINEHAMN</t>
        </is>
      </c>
      <c r="I341" t="n">
        <v>12.6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14757-2026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46101</v>
      </c>
      <c r="E342" s="1" t="n">
        <v>46230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Sveaskog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46101</v>
      </c>
      <c r="E343" s="1" t="n">
        <v>46230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Sveaskog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46230</v>
      </c>
      <c r="F344" t="inlineStr">
        <is>
          <t>VÄRMLANDS LÄN</t>
        </is>
      </c>
      <c r="G344" t="inlineStr">
        <is>
          <t>KRISTINEHAMN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42947-2021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44431</v>
      </c>
      <c r="E345" s="1" t="n">
        <v>46230</v>
      </c>
      <c r="F345" t="inlineStr">
        <is>
          <t>VÄRMLANDS LÄN</t>
        </is>
      </c>
      <c r="G345" t="inlineStr">
        <is>
          <t>KRISTINEHAMN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15646-2026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46106</v>
      </c>
      <c r="E346" s="1" t="n">
        <v>46230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Sveaskog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46107</v>
      </c>
      <c r="E347" s="1" t="n">
        <v>46230</v>
      </c>
      <c r="F347" t="inlineStr">
        <is>
          <t>VÄRMLANDS LÄN</t>
        </is>
      </c>
      <c r="G347" t="inlineStr">
        <is>
          <t>KRISTINEHAMN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49335-2021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44454</v>
      </c>
      <c r="E348" s="1" t="n">
        <v>46230</v>
      </c>
      <c r="F348" t="inlineStr">
        <is>
          <t>VÄRMLANDS LÄN</t>
        </is>
      </c>
      <c r="G348" t="inlineStr">
        <is>
          <t>KRISTINEHAMN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25258-2026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46175</v>
      </c>
      <c r="E349" s="1" t="n">
        <v>46230</v>
      </c>
      <c r="F349" t="inlineStr">
        <is>
          <t>VÄRMLANDS LÄN</t>
        </is>
      </c>
      <c r="G349" t="inlineStr">
        <is>
          <t>KRISTINEHAMN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54690-2022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44883</v>
      </c>
      <c r="E350" s="1" t="n">
        <v>46230</v>
      </c>
      <c r="F350" t="inlineStr">
        <is>
          <t>VÄRMLANDS LÄN</t>
        </is>
      </c>
      <c r="G350" t="inlineStr">
        <is>
          <t>KRISTINEHAMN</t>
        </is>
      </c>
      <c r="I350" t="n">
        <v>11.1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44085-2023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45188</v>
      </c>
      <c r="E351" s="1" t="n">
        <v>46230</v>
      </c>
      <c r="F351" t="inlineStr">
        <is>
          <t>VÄRMLANDS LÄN</t>
        </is>
      </c>
      <c r="G351" t="inlineStr">
        <is>
          <t>KRISTINEHAMN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22896-2023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45072</v>
      </c>
      <c r="E352" s="1" t="n">
        <v>46230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Bergvik skog väst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44985</v>
      </c>
      <c r="E353" s="1" t="n">
        <v>46230</v>
      </c>
      <c r="F353" t="inlineStr">
        <is>
          <t>VÄRMLANDS LÄN</t>
        </is>
      </c>
      <c r="G353" t="inlineStr">
        <is>
          <t>KRISTINEHAMN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32821-2023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45112</v>
      </c>
      <c r="E354" s="1" t="n">
        <v>46230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Kommuner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46129</v>
      </c>
      <c r="E355" s="1" t="n">
        <v>46230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Sveaskog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18909-2026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46129</v>
      </c>
      <c r="E356" s="1" t="n">
        <v>46230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32821-2023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45112</v>
      </c>
      <c r="E357" s="1" t="n">
        <v>46230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Kommuner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46230</v>
      </c>
      <c r="F358" t="inlineStr">
        <is>
          <t>VÄRMLANDS LÄN</t>
        </is>
      </c>
      <c r="G358" t="inlineStr">
        <is>
          <t>KRISTINEHAMN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47467-2023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45202</v>
      </c>
      <c r="E359" s="1" t="n">
        <v>46230</v>
      </c>
      <c r="F359" t="inlineStr">
        <is>
          <t>VÄRMLANDS LÄN</t>
        </is>
      </c>
      <c r="G359" t="inlineStr">
        <is>
          <t>KRISTINEHAMN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47091-2022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44851</v>
      </c>
      <c r="E360" s="1" t="n">
        <v>46230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Kommuner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45181</v>
      </c>
      <c r="E361" s="1" t="n">
        <v>46230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25570-2023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45082</v>
      </c>
      <c r="E362" s="1" t="n">
        <v>46230</v>
      </c>
      <c r="F362" t="inlineStr">
        <is>
          <t>VÄRMLANDS LÄN</t>
        </is>
      </c>
      <c r="G362" t="inlineStr">
        <is>
          <t>KRISTINEHAMN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12319-2022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44637</v>
      </c>
      <c r="E363" s="1" t="n">
        <v>46230</v>
      </c>
      <c r="F363" t="inlineStr">
        <is>
          <t>VÄRMLANDS LÄN</t>
        </is>
      </c>
      <c r="G363" t="inlineStr">
        <is>
          <t>KRISTINEHAMN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45690-2021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44441</v>
      </c>
      <c r="E364" s="1" t="n">
        <v>46230</v>
      </c>
      <c r="F364" t="inlineStr">
        <is>
          <t>VÄRMLANDS LÄN</t>
        </is>
      </c>
      <c r="G364" t="inlineStr">
        <is>
          <t>KRISTINEHAMN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32624-2024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45513</v>
      </c>
      <c r="E365" s="1" t="n">
        <v>46230</v>
      </c>
      <c r="F365" t="inlineStr">
        <is>
          <t>VÄRMLANDS LÄN</t>
        </is>
      </c>
      <c r="G365" t="inlineStr">
        <is>
          <t>KRISTINEHAMN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34893-2023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45141</v>
      </c>
      <c r="E366" s="1" t="n">
        <v>46230</v>
      </c>
      <c r="F366" t="inlineStr">
        <is>
          <t>VÄRMLANDS LÄN</t>
        </is>
      </c>
      <c r="G366" t="inlineStr">
        <is>
          <t>KRISTINEHAMN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45386</v>
      </c>
      <c r="E367" s="1" t="n">
        <v>46230</v>
      </c>
      <c r="F367" t="inlineStr">
        <is>
          <t>VÄRMLANDS LÄN</t>
        </is>
      </c>
      <c r="G367" t="inlineStr">
        <is>
          <t>KRISTINEHAMN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28759-2022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44749</v>
      </c>
      <c r="E368" s="1" t="n">
        <v>46230</v>
      </c>
      <c r="F368" t="inlineStr">
        <is>
          <t>VÄRMLANDS LÄN</t>
        </is>
      </c>
      <c r="G368" t="inlineStr">
        <is>
          <t>KRISTINEHAMN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2522-2026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46037</v>
      </c>
      <c r="E369" s="1" t="n">
        <v>46230</v>
      </c>
      <c r="F369" t="inlineStr">
        <is>
          <t>VÄRMLANDS LÄN</t>
        </is>
      </c>
      <c r="G369" t="inlineStr">
        <is>
          <t>KRISTINEHAMN</t>
        </is>
      </c>
      <c r="I369" t="n">
        <v>11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44985</v>
      </c>
      <c r="E370" s="1" t="n">
        <v>46230</v>
      </c>
      <c r="F370" t="inlineStr">
        <is>
          <t>VÄRMLANDS LÄN</t>
        </is>
      </c>
      <c r="G370" t="inlineStr">
        <is>
          <t>KRISTINEHAMN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47466-2023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45202</v>
      </c>
      <c r="E371" s="1" t="n">
        <v>46230</v>
      </c>
      <c r="F371" t="inlineStr">
        <is>
          <t>VÄRMLANDS LÄN</t>
        </is>
      </c>
      <c r="G371" t="inlineStr">
        <is>
          <t>KRISTINEHAMN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10501-2023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44987</v>
      </c>
      <c r="E372" s="1" t="n">
        <v>46230</v>
      </c>
      <c r="F372" t="inlineStr">
        <is>
          <t>VÄRMLANDS LÄN</t>
        </is>
      </c>
      <c r="G372" t="inlineStr">
        <is>
          <t>KRISTINEHAMN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62453-2022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44924</v>
      </c>
      <c r="E373" s="1" t="n">
        <v>46230</v>
      </c>
      <c r="F373" t="inlineStr">
        <is>
          <t>VÄRMLANDS LÄN</t>
        </is>
      </c>
      <c r="G373" t="inlineStr">
        <is>
          <t>KRISTINEHAMN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48405-2023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45201</v>
      </c>
      <c r="E374" s="1" t="n">
        <v>46230</v>
      </c>
      <c r="F374" t="inlineStr">
        <is>
          <t>VÄRMLANDS LÄN</t>
        </is>
      </c>
      <c r="G374" t="inlineStr">
        <is>
          <t>KRISTINEHAMN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27939-2023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45098</v>
      </c>
      <c r="E375" s="1" t="n">
        <v>46230</v>
      </c>
      <c r="F375" t="inlineStr">
        <is>
          <t>VÄRMLANDS LÄN</t>
        </is>
      </c>
      <c r="G375" t="inlineStr">
        <is>
          <t>KRISTINEHAMN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45377</v>
      </c>
      <c r="E376" s="1" t="n">
        <v>46230</v>
      </c>
      <c r="F376" t="inlineStr">
        <is>
          <t>VÄRMLANDS LÄN</t>
        </is>
      </c>
      <c r="G376" t="inlineStr">
        <is>
          <t>KRISTINEHAMN</t>
        </is>
      </c>
      <c r="I376" t="n">
        <v>13.2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29017-2023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45104</v>
      </c>
      <c r="E377" s="1" t="n">
        <v>46230</v>
      </c>
      <c r="F377" t="inlineStr">
        <is>
          <t>VÄRMLANDS LÄN</t>
        </is>
      </c>
      <c r="G377" t="inlineStr">
        <is>
          <t>KRISTINEHAMN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10522-2024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45366</v>
      </c>
      <c r="E378" s="1" t="n">
        <v>46230</v>
      </c>
      <c r="F378" t="inlineStr">
        <is>
          <t>VÄRMLANDS LÄN</t>
        </is>
      </c>
      <c r="G378" t="inlineStr">
        <is>
          <t>KRISTINEHAMN</t>
        </is>
      </c>
      <c r="I378" t="n">
        <v>19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46230</v>
      </c>
      <c r="F379" t="inlineStr">
        <is>
          <t>VÄRMLANDS LÄN</t>
        </is>
      </c>
      <c r="G379" t="inlineStr">
        <is>
          <t>KRISTINEHAMN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45266</v>
      </c>
      <c r="E380" s="1" t="n">
        <v>46230</v>
      </c>
      <c r="F380" t="inlineStr">
        <is>
          <t>VÄRMLANDS LÄN</t>
        </is>
      </c>
      <c r="G380" t="inlineStr">
        <is>
          <t>KRISTINEHAMN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45656</v>
      </c>
      <c r="E381" s="1" t="n">
        <v>46230</v>
      </c>
      <c r="F381" t="inlineStr">
        <is>
          <t>VÄRMLANDS LÄN</t>
        </is>
      </c>
      <c r="G381" t="inlineStr">
        <is>
          <t>KRISTINEHAMN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59144-2021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44490</v>
      </c>
      <c r="E382" s="1" t="n">
        <v>46230</v>
      </c>
      <c r="F382" t="inlineStr">
        <is>
          <t>VÄRMLANDS LÄN</t>
        </is>
      </c>
      <c r="G382" t="inlineStr">
        <is>
          <t>KRISTINEHAMN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4180-2024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45323</v>
      </c>
      <c r="E383" s="1" t="n">
        <v>46230</v>
      </c>
      <c r="F383" t="inlineStr">
        <is>
          <t>VÄRMLANDS LÄN</t>
        </is>
      </c>
      <c r="G383" t="inlineStr">
        <is>
          <t>KRISTINEHAMN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14183-2022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44651</v>
      </c>
      <c r="E384" s="1" t="n">
        <v>46230</v>
      </c>
      <c r="F384" t="inlineStr">
        <is>
          <t>VÄRMLANDS LÄN</t>
        </is>
      </c>
      <c r="G384" t="inlineStr">
        <is>
          <t>KRISTINEHAMN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12467-2024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45379</v>
      </c>
      <c r="E385" s="1" t="n">
        <v>46230</v>
      </c>
      <c r="F385" t="inlineStr">
        <is>
          <t>VÄRMLANDS LÄN</t>
        </is>
      </c>
      <c r="G385" t="inlineStr">
        <is>
          <t>KRISTINEHAMN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60567-2024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45644</v>
      </c>
      <c r="E386" s="1" t="n">
        <v>46230</v>
      </c>
      <c r="F386" t="inlineStr">
        <is>
          <t>VÄRMLANDS LÄN</t>
        </is>
      </c>
      <c r="G386" t="inlineStr">
        <is>
          <t>KRISTINEHAMN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23705-2022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44722</v>
      </c>
      <c r="E387" s="1" t="n">
        <v>46230</v>
      </c>
      <c r="F387" t="inlineStr">
        <is>
          <t>VÄRMLANDS LÄN</t>
        </is>
      </c>
      <c r="G387" t="inlineStr">
        <is>
          <t>KRISTINEHAMN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45685</v>
      </c>
      <c r="E388" s="1" t="n">
        <v>46230</v>
      </c>
      <c r="F388" t="inlineStr">
        <is>
          <t>VÄRMLANDS LÄN</t>
        </is>
      </c>
      <c r="G388" t="inlineStr">
        <is>
          <t>KRISTINEHAMN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7695-2025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45705</v>
      </c>
      <c r="E389" s="1" t="n">
        <v>46230</v>
      </c>
      <c r="F389" t="inlineStr">
        <is>
          <t>VÄRMLANDS LÄN</t>
        </is>
      </c>
      <c r="G389" t="inlineStr">
        <is>
          <t>KRISTINEHAMN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32161-2023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45119</v>
      </c>
      <c r="E390" s="1" t="n">
        <v>46230</v>
      </c>
      <c r="F390" t="inlineStr">
        <is>
          <t>VÄRMLANDS LÄN</t>
        </is>
      </c>
      <c r="G390" t="inlineStr">
        <is>
          <t>KRISTINEHAMN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70126-2021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44533</v>
      </c>
      <c r="E391" s="1" t="n">
        <v>46230</v>
      </c>
      <c r="F391" t="inlineStr">
        <is>
          <t>VÄRMLANDS LÄN</t>
        </is>
      </c>
      <c r="G391" t="inlineStr">
        <is>
          <t>KRISTINEHAMN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46526-2022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44847</v>
      </c>
      <c r="E392" s="1" t="n">
        <v>46230</v>
      </c>
      <c r="F392" t="inlineStr">
        <is>
          <t>VÄRMLANDS LÄN</t>
        </is>
      </c>
      <c r="G392" t="inlineStr">
        <is>
          <t>KRISTINEHAMN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49245-2024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45595</v>
      </c>
      <c r="E393" s="1" t="n">
        <v>46230</v>
      </c>
      <c r="F393" t="inlineStr">
        <is>
          <t>VÄRMLANDS LÄN</t>
        </is>
      </c>
      <c r="G393" t="inlineStr">
        <is>
          <t>KRISTINEHAMN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25494-2023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45081</v>
      </c>
      <c r="E394" s="1" t="n">
        <v>46230</v>
      </c>
      <c r="F394" t="inlineStr">
        <is>
          <t>VÄRMLANDS LÄN</t>
        </is>
      </c>
      <c r="G394" t="inlineStr">
        <is>
          <t>KRISTINEHAMN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41297-2021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44424</v>
      </c>
      <c r="E395" s="1" t="n">
        <v>46230</v>
      </c>
      <c r="F395" t="inlineStr">
        <is>
          <t>VÄRMLANDS LÄN</t>
        </is>
      </c>
      <c r="G395" t="inlineStr">
        <is>
          <t>KRISTINEHAMN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6933-2025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45701</v>
      </c>
      <c r="E396" s="1" t="n">
        <v>46230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Naturvårdsverket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11784-2023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44994</v>
      </c>
      <c r="E397" s="1" t="n">
        <v>46230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46230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56522-2021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44480</v>
      </c>
      <c r="E399" s="1" t="n">
        <v>46230</v>
      </c>
      <c r="F399" t="inlineStr">
        <is>
          <t>VÄRMLANDS LÄN</t>
        </is>
      </c>
      <c r="G399" t="inlineStr">
        <is>
          <t>KRISTINEHAMN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2945-2024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45315</v>
      </c>
      <c r="E400" s="1" t="n">
        <v>46230</v>
      </c>
      <c r="F400" t="inlineStr">
        <is>
          <t>VÄRMLANDS LÄN</t>
        </is>
      </c>
      <c r="G400" t="inlineStr">
        <is>
          <t>KRISTINEHAMN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7222-2024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45344</v>
      </c>
      <c r="E401" s="1" t="n">
        <v>46230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Naturvårdsverket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65050-2023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45282</v>
      </c>
      <c r="E402" s="1" t="n">
        <v>46230</v>
      </c>
      <c r="F402" t="inlineStr">
        <is>
          <t>VÄRMLANDS LÄN</t>
        </is>
      </c>
      <c r="G402" t="inlineStr">
        <is>
          <t>KRISTINEHAMN</t>
        </is>
      </c>
      <c r="I402" t="n">
        <v>9.6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45243</v>
      </c>
      <c r="E403" s="1" t="n">
        <v>46230</v>
      </c>
      <c r="F403" t="inlineStr">
        <is>
          <t>VÄRMLANDS LÄN</t>
        </is>
      </c>
      <c r="G403" t="inlineStr">
        <is>
          <t>KRISTINEHAMN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46230</v>
      </c>
      <c r="F404" t="inlineStr">
        <is>
          <t>VÄRMLANDS LÄN</t>
        </is>
      </c>
      <c r="G404" t="inlineStr">
        <is>
          <t>KRISTINEHAMN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33464-2023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45118</v>
      </c>
      <c r="E405" s="1" t="n">
        <v>46230</v>
      </c>
      <c r="F405" t="inlineStr">
        <is>
          <t>VÄRMLANDS LÄN</t>
        </is>
      </c>
      <c r="G405" t="inlineStr">
        <is>
          <t>KRISTINEHAMN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19292-2025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45769</v>
      </c>
      <c r="E406" s="1" t="n">
        <v>46230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Kyrkan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37742-2023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45159</v>
      </c>
      <c r="E407" s="1" t="n">
        <v>46230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56697-2022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44888</v>
      </c>
      <c r="E408" s="1" t="n">
        <v>46230</v>
      </c>
      <c r="F408" t="inlineStr">
        <is>
          <t>VÄRMLANDS LÄN</t>
        </is>
      </c>
      <c r="G408" t="inlineStr">
        <is>
          <t>KRISTINEHAMN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23707-2022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44722</v>
      </c>
      <c r="E409" s="1" t="n">
        <v>46230</v>
      </c>
      <c r="F409" t="inlineStr">
        <is>
          <t>VÄRMLANDS LÄN</t>
        </is>
      </c>
      <c r="G409" t="inlineStr">
        <is>
          <t>KRISTINEHAMN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12395-2024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45379</v>
      </c>
      <c r="E410" s="1" t="n">
        <v>46230</v>
      </c>
      <c r="F410" t="inlineStr">
        <is>
          <t>VÄRMLANDS LÄN</t>
        </is>
      </c>
      <c r="G410" t="inlineStr">
        <is>
          <t>KRISTINEHAMN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28834-2024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45478</v>
      </c>
      <c r="E411" s="1" t="n">
        <v>46230</v>
      </c>
      <c r="F411" t="inlineStr">
        <is>
          <t>VÄRMLANDS LÄN</t>
        </is>
      </c>
      <c r="G411" t="inlineStr">
        <is>
          <t>KRISTINEHAMN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31152-2022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44770</v>
      </c>
      <c r="E412" s="1" t="n">
        <v>46230</v>
      </c>
      <c r="F412" t="inlineStr">
        <is>
          <t>VÄRMLANDS LÄN</t>
        </is>
      </c>
      <c r="G412" t="inlineStr">
        <is>
          <t>KRISTINEHAMN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6936-2025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45701</v>
      </c>
      <c r="E413" s="1" t="n">
        <v>46230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Naturvårdsverket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21602-2025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45783</v>
      </c>
      <c r="E414" s="1" t="n">
        <v>46230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59190-2024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45636</v>
      </c>
      <c r="E415" s="1" t="n">
        <v>46230</v>
      </c>
      <c r="F415" t="inlineStr">
        <is>
          <t>VÄRMLANDS LÄN</t>
        </is>
      </c>
      <c r="G415" t="inlineStr">
        <is>
          <t>KRISTINEHAMN</t>
        </is>
      </c>
      <c r="I415" t="n">
        <v>8.300000000000001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36774-2022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44805</v>
      </c>
      <c r="E416" s="1" t="n">
        <v>46230</v>
      </c>
      <c r="F416" t="inlineStr">
        <is>
          <t>VÄRMLANDS LÄN</t>
        </is>
      </c>
      <c r="G416" t="inlineStr">
        <is>
          <t>KRISTINEHAMN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23510-2025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45792</v>
      </c>
      <c r="E417" s="1" t="n">
        <v>46230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45792</v>
      </c>
      <c r="E418" s="1" t="n">
        <v>46230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Sveaskog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23501-2025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45792</v>
      </c>
      <c r="E419" s="1" t="n">
        <v>46230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45792</v>
      </c>
      <c r="E420" s="1" t="n">
        <v>46230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23502-2025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45792</v>
      </c>
      <c r="E421" s="1" t="n">
        <v>46230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Sveaskog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45700</v>
      </c>
      <c r="E422" s="1" t="n">
        <v>46230</v>
      </c>
      <c r="F422" t="inlineStr">
        <is>
          <t>VÄRMLANDS LÄN</t>
        </is>
      </c>
      <c r="G422" t="inlineStr">
        <is>
          <t>KRISTINEHAMN</t>
        </is>
      </c>
      <c r="I422" t="n">
        <v>11.2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45686</v>
      </c>
      <c r="E423" s="1" t="n">
        <v>46230</v>
      </c>
      <c r="F423" t="inlineStr">
        <is>
          <t>VÄRMLANDS LÄN</t>
        </is>
      </c>
      <c r="G423" t="inlineStr">
        <is>
          <t>KRISTINEHAMN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16427-2024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45407</v>
      </c>
      <c r="E424" s="1" t="n">
        <v>46230</v>
      </c>
      <c r="F424" t="inlineStr">
        <is>
          <t>VÄRMLANDS LÄN</t>
        </is>
      </c>
      <c r="G424" t="inlineStr">
        <is>
          <t>KRISTINEHAMN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45674</v>
      </c>
      <c r="E425" s="1" t="n">
        <v>46230</v>
      </c>
      <c r="F425" t="inlineStr">
        <is>
          <t>VÄRMLANDS LÄN</t>
        </is>
      </c>
      <c r="G425" t="inlineStr">
        <is>
          <t>KRISTINEHAMN</t>
        </is>
      </c>
      <c r="I425" t="n">
        <v>9.699999999999999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65055-2023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45282</v>
      </c>
      <c r="E426" s="1" t="n">
        <v>46230</v>
      </c>
      <c r="F426" t="inlineStr">
        <is>
          <t>VÄRMLANDS LÄN</t>
        </is>
      </c>
      <c r="G426" t="inlineStr">
        <is>
          <t>KRISTINEHAMN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45799</v>
      </c>
      <c r="E427" s="1" t="n">
        <v>46230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45012-2024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45575</v>
      </c>
      <c r="E428" s="1" t="n">
        <v>46230</v>
      </c>
      <c r="F428" t="inlineStr">
        <is>
          <t>VÄRMLANDS LÄN</t>
        </is>
      </c>
      <c r="G428" t="inlineStr">
        <is>
          <t>KRISTINEHAMN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45553</v>
      </c>
      <c r="E429" s="1" t="n">
        <v>46230</v>
      </c>
      <c r="F429" t="inlineStr">
        <is>
          <t>VÄRMLANDS LÄN</t>
        </is>
      </c>
      <c r="G429" t="inlineStr">
        <is>
          <t>KRISTINEHAMN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24655-2025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45798</v>
      </c>
      <c r="E430" s="1" t="n">
        <v>46230</v>
      </c>
      <c r="F430" t="inlineStr">
        <is>
          <t>VÄRMLANDS LÄN</t>
        </is>
      </c>
      <c r="G430" t="inlineStr">
        <is>
          <t>KRISTINEHAMN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25484-2025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45802</v>
      </c>
      <c r="E431" s="1" t="n">
        <v>46230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Naturvårdsverket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26192-2025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45805</v>
      </c>
      <c r="E432" s="1" t="n">
        <v>46230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45805</v>
      </c>
      <c r="E433" s="1" t="n">
        <v>46230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45810</v>
      </c>
      <c r="E434" s="1" t="n">
        <v>46230</v>
      </c>
      <c r="F434" t="inlineStr">
        <is>
          <t>VÄRMLANDS LÄN</t>
        </is>
      </c>
      <c r="G434" t="inlineStr">
        <is>
          <t>KRISTINEHAMN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26871-2025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45810</v>
      </c>
      <c r="E435" s="1" t="n">
        <v>46230</v>
      </c>
      <c r="F435" t="inlineStr">
        <is>
          <t>VÄRMLANDS LÄN</t>
        </is>
      </c>
      <c r="G435" t="inlineStr">
        <is>
          <t>KRISTINEHAMN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27139-2025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45812</v>
      </c>
      <c r="E436" s="1" t="n">
        <v>46230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45812</v>
      </c>
      <c r="E437" s="1" t="n">
        <v>46230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28731-2025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45820</v>
      </c>
      <c r="E438" s="1" t="n">
        <v>46230</v>
      </c>
      <c r="F438" t="inlineStr">
        <is>
          <t>VÄRMLANDS LÄN</t>
        </is>
      </c>
      <c r="G438" t="inlineStr">
        <is>
          <t>KRISTINEHAMN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10124-2024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45364</v>
      </c>
      <c r="E439" s="1" t="n">
        <v>46230</v>
      </c>
      <c r="F439" t="inlineStr">
        <is>
          <t>VÄRMLANDS LÄN</t>
        </is>
      </c>
      <c r="G439" t="inlineStr">
        <is>
          <t>KRISTINEHAMN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13032-2024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45385</v>
      </c>
      <c r="E440" s="1" t="n">
        <v>46230</v>
      </c>
      <c r="F440" t="inlineStr">
        <is>
          <t>VÄRMLANDS LÄN</t>
        </is>
      </c>
      <c r="G440" t="inlineStr">
        <is>
          <t>KRISTINEHAMN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30221-2025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45827</v>
      </c>
      <c r="E441" s="1" t="n">
        <v>46230</v>
      </c>
      <c r="F441" t="inlineStr">
        <is>
          <t>VÄRMLANDS LÄN</t>
        </is>
      </c>
      <c r="G441" t="inlineStr">
        <is>
          <t>KRISTINEHAMN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12261-2024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45378</v>
      </c>
      <c r="E442" s="1" t="n">
        <v>46230</v>
      </c>
      <c r="F442" t="inlineStr">
        <is>
          <t>VÄRMLANDS LÄN</t>
        </is>
      </c>
      <c r="G442" t="inlineStr">
        <is>
          <t>KRISTINEHAMN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10116-2024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45364</v>
      </c>
      <c r="E443" s="1" t="n">
        <v>46230</v>
      </c>
      <c r="F443" t="inlineStr">
        <is>
          <t>VÄRMLANDS LÄN</t>
        </is>
      </c>
      <c r="G443" t="inlineStr">
        <is>
          <t>KRISTINEHAMN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10106-2024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45364</v>
      </c>
      <c r="E444" s="1" t="n">
        <v>46230</v>
      </c>
      <c r="F444" t="inlineStr">
        <is>
          <t>VÄRMLANDS LÄN</t>
        </is>
      </c>
      <c r="G444" t="inlineStr">
        <is>
          <t>KRISTINEHAMN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45833</v>
      </c>
      <c r="E445" s="1" t="n">
        <v>46230</v>
      </c>
      <c r="F445" t="inlineStr">
        <is>
          <t>VÄRMLANDS LÄN</t>
        </is>
      </c>
      <c r="G445" t="inlineStr">
        <is>
          <t>KRISTINEHAMN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31250-2025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45832</v>
      </c>
      <c r="E446" s="1" t="n">
        <v>46230</v>
      </c>
      <c r="F446" t="inlineStr">
        <is>
          <t>VÄRMLANDS LÄN</t>
        </is>
      </c>
      <c r="G446" t="inlineStr">
        <is>
          <t>KRISTINEHAMN</t>
        </is>
      </c>
      <c r="I446" t="n">
        <v>6.4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45833</v>
      </c>
      <c r="E447" s="1" t="n">
        <v>46230</v>
      </c>
      <c r="F447" t="inlineStr">
        <is>
          <t>VÄRMLANDS LÄN</t>
        </is>
      </c>
      <c r="G447" t="inlineStr">
        <is>
          <t>KRISTINEHAMN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31327-2025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45833</v>
      </c>
      <c r="E448" s="1" t="n">
        <v>46230</v>
      </c>
      <c r="F448" t="inlineStr">
        <is>
          <t>VÄRMLANDS LÄN</t>
        </is>
      </c>
      <c r="G448" t="inlineStr">
        <is>
          <t>KRISTINEHAMN</t>
        </is>
      </c>
      <c r="I448" t="n">
        <v>20.1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45664</v>
      </c>
      <c r="E449" s="1" t="n">
        <v>46230</v>
      </c>
      <c r="F449" t="inlineStr">
        <is>
          <t>VÄRMLANDS LÄN</t>
        </is>
      </c>
      <c r="G449" t="inlineStr">
        <is>
          <t>KRISTINEHAMN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21384-2025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45782</v>
      </c>
      <c r="E450" s="1" t="n">
        <v>46230</v>
      </c>
      <c r="F450" t="inlineStr">
        <is>
          <t>VÄRMLANDS LÄN</t>
        </is>
      </c>
      <c r="G450" t="inlineStr">
        <is>
          <t>KRISTINEHAMN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46230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4147-2023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45247</v>
      </c>
      <c r="E452" s="1" t="n">
        <v>46230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Naturvårdsverket</t>
        </is>
      </c>
      <c r="I452" t="n">
        <v>13.5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4149-2023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45247</v>
      </c>
      <c r="E453" s="1" t="n">
        <v>46230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Naturvårdsverket</t>
        </is>
      </c>
      <c r="I453" t="n">
        <v>9.5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1815-2022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44657</v>
      </c>
      <c r="E454" s="1" t="n">
        <v>46230</v>
      </c>
      <c r="F454" t="inlineStr">
        <is>
          <t>VÄRMLANDS LÄN</t>
        </is>
      </c>
      <c r="G454" t="inlineStr">
        <is>
          <t>KRISTINEHAMN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2254-2023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45103</v>
      </c>
      <c r="E455" s="1" t="n">
        <v>46230</v>
      </c>
      <c r="F455" t="inlineStr">
        <is>
          <t>VÄRMLANDS LÄN</t>
        </is>
      </c>
      <c r="G455" t="inlineStr">
        <is>
          <t>KRISTINEHAMN</t>
        </is>
      </c>
      <c r="I455" t="n">
        <v>51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2879-2022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44711</v>
      </c>
      <c r="E456" s="1" t="n">
        <v>46230</v>
      </c>
      <c r="F456" t="inlineStr">
        <is>
          <t>VÄRMLANDS LÄN</t>
        </is>
      </c>
      <c r="G456" t="inlineStr">
        <is>
          <t>KRISTINEHAMN</t>
        </is>
      </c>
      <c r="I456" t="n">
        <v>25.9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1899-2024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46230</v>
      </c>
      <c r="F457" t="inlineStr">
        <is>
          <t>VÄRMLANDS LÄN</t>
        </is>
      </c>
      <c r="G457" t="inlineStr">
        <is>
          <t>KRISTINEHAMN</t>
        </is>
      </c>
      <c r="I457" t="n">
        <v>21.4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2301-2024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45463</v>
      </c>
      <c r="E458" s="1" t="n">
        <v>46230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Bergvik skog väst AB</t>
        </is>
      </c>
      <c r="I458" t="n">
        <v>28.1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2553-2024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45475</v>
      </c>
      <c r="E459" s="1" t="n">
        <v>46230</v>
      </c>
      <c r="F459" t="inlineStr">
        <is>
          <t>VÄRMLANDS LÄN</t>
        </is>
      </c>
      <c r="G459" t="inlineStr">
        <is>
          <t>KRISTINEHAMN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3378-2024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45533</v>
      </c>
      <c r="E460" s="1" t="n">
        <v>46230</v>
      </c>
      <c r="F460" t="inlineStr">
        <is>
          <t>VÄRMLANDS LÄN</t>
        </is>
      </c>
      <c r="G460" t="inlineStr">
        <is>
          <t>KRISTINEHAMN</t>
        </is>
      </c>
      <c r="I460" t="n">
        <v>53.7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2393-2022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44690</v>
      </c>
      <c r="E461" s="1" t="n">
        <v>46230</v>
      </c>
      <c r="F461" t="inlineStr">
        <is>
          <t>VÄRMLANDS LÄN</t>
        </is>
      </c>
      <c r="G461" t="inlineStr">
        <is>
          <t>KRISTINEHAMN</t>
        </is>
      </c>
      <c r="I461" t="n">
        <v>51.7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46230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46230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46230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46230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46230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46230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46230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46230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46230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46230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46230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46230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46230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46230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2026-07-27T01:52:56Z</dcterms:created>
  <dcterms:modified xmlns:dcterms="http://purl.org/dc/terms/" xmlns:xsi="http://www.w3.org/2001/XMLSchema-instance" xsi:type="dcterms:W3CDTF">2026-07-27T01:52:57Z</dcterms:modified>
</cp:coreProperties>
</file>