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46299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46299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46299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46299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46299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46299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46299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46299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46299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46299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46299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46299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46299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46299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46299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46299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46299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46299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46299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46299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2406-2025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45674</v>
      </c>
      <c r="E22" s="1" t="n">
        <v>46299</v>
      </c>
      <c r="F22" t="inlineStr">
        <is>
          <t>VÄRMLANDS LÄN</t>
        </is>
      </c>
      <c r="G22" t="inlineStr">
        <is>
          <t>KRISTINEHAMN</t>
        </is>
      </c>
      <c r="I22" t="n">
        <v>9.699999999999999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HYPERLINK("https://klasma.github.io/Logging_1781/artfynd/A 2406-2025 artfynd.xlsx", "A 2406-2025")</f>
        <v/>
      </c>
      <c r="X22">
        <f>HYPERLINK("https://klasma.github.io/Logging_1781/kartor/A 2406-2025 karta.png", "A 2406-2025")</f>
        <v/>
      </c>
      <c r="Y22">
        <f>HYPERLINK("https://klasma.github.io/Logging_1781/kartor_geotiff/A 2406-2025 georefererad karta.tif", "A 2406-2025")</f>
        <v/>
      </c>
      <c r="AA22">
        <f>HYPERLINK("https://klasma.github.io/Logging_1781/klagomål/A 2406-2025 FSC-klagomål.docx", "A 2406-2025")</f>
        <v/>
      </c>
      <c r="AB22">
        <f>HYPERLINK("https://klasma.github.io/Logging_1781/klagomålsmail/A 2406-2025 FSC-klagomål mail.docx", "A 2406-2025")</f>
        <v/>
      </c>
      <c r="AC22">
        <f>HYPERLINK("https://klasma.github.io/Logging_1781/tillsyn/A 2406-2025 tillsynsbegäran.docx", "A 2406-2025")</f>
        <v/>
      </c>
      <c r="AD22">
        <f>HYPERLINK("https://klasma.github.io/Logging_1781/tillsynsmail/A 2406-2025 tillsynsbegäran mail.docx", "A 2406-2025")</f>
        <v/>
      </c>
    </row>
    <row r="23" ht="15" customHeight="1">
      <c r="A23" t="inlineStr">
        <is>
          <t>A 25888-2025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45804</v>
      </c>
      <c r="E23" s="1" t="n">
        <v>46299</v>
      </c>
      <c r="F23" t="inlineStr">
        <is>
          <t>VÄRMLANDS LÄN</t>
        </is>
      </c>
      <c r="G23" t="inlineStr">
        <is>
          <t>KRISTINEHAMN</t>
        </is>
      </c>
      <c r="I23" t="n">
        <v>5.9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HYPERLINK("https://klasma.github.io/Logging_1781/artfynd/A 25888-2025 artfynd.xlsx", "A 25888-2025")</f>
        <v/>
      </c>
      <c r="X23">
        <f>HYPERLINK("https://klasma.github.io/Logging_1781/kartor/A 25888-2025 karta.png", "A 25888-2025")</f>
        <v/>
      </c>
      <c r="Y23">
        <f>HYPERLINK("https://klasma.github.io/Logging_1781/kartor_geotiff/A 25888-2025 georefererad karta.tif", "A 25888-2025")</f>
        <v/>
      </c>
      <c r="AA23">
        <f>HYPERLINK("https://klasma.github.io/Logging_1781/klagomål/A 25888-2025 FSC-klagomål.docx", "A 25888-2025")</f>
        <v/>
      </c>
      <c r="AB23">
        <f>HYPERLINK("https://klasma.github.io/Logging_1781/klagomålsmail/A 25888-2025 FSC-klagomål mail.docx", "A 25888-2025")</f>
        <v/>
      </c>
      <c r="AC23">
        <f>HYPERLINK("https://klasma.github.io/Logging_1781/tillsyn/A 25888-2025 tillsynsbegäran.docx", "A 25888-2025")</f>
        <v/>
      </c>
      <c r="AD23">
        <f>HYPERLINK("https://klasma.github.io/Logging_1781/tillsynsmail/A 25888-2025 tillsynsbegäran mail.docx", "A 25888-2025")</f>
        <v/>
      </c>
      <c r="AE23">
        <f>HYPERLINK("https://klasma.github.io/Logging_1781/fåglar/A 25888-2025 prioriterade fågelarter.docx", "A 25888-2025")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46299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60714-2025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45996</v>
      </c>
      <c r="E25" s="1" t="n">
        <v>46299</v>
      </c>
      <c r="F25" t="inlineStr">
        <is>
          <t>VÄRMLANDS LÄN</t>
        </is>
      </c>
      <c r="G25" t="inlineStr">
        <is>
          <t>KRISTINEHAMN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Björksplintborre</t>
        </is>
      </c>
      <c r="W25">
        <f>HYPERLINK("https://klasma.github.io/Logging_1781/artfynd/A 60714-2025 artfynd.xlsx", "A 60714-2025")</f>
        <v/>
      </c>
      <c r="X25">
        <f>HYPERLINK("https://klasma.github.io/Logging_1781/kartor/A 60714-2025 karta.png", "A 60714-2025")</f>
        <v/>
      </c>
      <c r="Y25">
        <f>HYPERLINK("https://klasma.github.io/Logging_1781/kartor_geotiff/A 60714-2025 georefererad karta.tif", "A 60714-2025")</f>
        <v/>
      </c>
      <c r="AA25">
        <f>HYPERLINK("https://klasma.github.io/Logging_1781/klagomål/A 60714-2025 FSC-klagomål.docx", "A 60714-2025")</f>
        <v/>
      </c>
      <c r="AB25">
        <f>HYPERLINK("https://klasma.github.io/Logging_1781/klagomålsmail/A 60714-2025 FSC-klagomål mail.docx", "A 60714-2025")</f>
        <v/>
      </c>
      <c r="AC25">
        <f>HYPERLINK("https://klasma.github.io/Logging_1781/tillsyn/A 60714-2025 tillsynsbegäran.docx", "A 60714-2025")</f>
        <v/>
      </c>
      <c r="AD25">
        <f>HYPERLINK("https://klasma.github.io/Logging_1781/tillsynsmail/A 60714-2025 tillsynsbegäran mail.docx", "A 60714-2025")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46299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46299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14760-2026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46299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8.300000000000001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14760-2026 artfynd.xlsx", "A 14760-2026")</f>
        <v/>
      </c>
      <c r="X28">
        <f>HYPERLINK("https://klasma.github.io/Logging_1781/kartor/A 14760-2026 karta.png", "A 14760-2026")</f>
        <v/>
      </c>
      <c r="Y28">
        <f>HYPERLINK("https://klasma.github.io/Logging_1781/kartor_geotiff/A 14760-2026 georefererad karta.tif", "A 14760-2026")</f>
        <v/>
      </c>
      <c r="AA28">
        <f>HYPERLINK("https://klasma.github.io/Logging_1781/klagomål/A 14760-2026 FSC-klagomål.docx", "A 14760-2026")</f>
        <v/>
      </c>
      <c r="AB28">
        <f>HYPERLINK("https://klasma.github.io/Logging_1781/klagomålsmail/A 14760-2026 FSC-klagomål mail.docx", "A 14760-2026")</f>
        <v/>
      </c>
      <c r="AC28">
        <f>HYPERLINK("https://klasma.github.io/Logging_1781/tillsyn/A 14760-2026 tillsynsbegäran.docx", "A 14760-2026")</f>
        <v/>
      </c>
      <c r="AD28">
        <f>HYPERLINK("https://klasma.github.io/Logging_1781/tillsynsmail/A 14760-2026 tillsynsbegäran mail.docx", "A 14760-2026")</f>
        <v/>
      </c>
    </row>
    <row r="29" ht="15" customHeight="1">
      <c r="A29" t="inlineStr">
        <is>
          <t>A 14762-2026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46299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14762-2026 artfynd.xlsx", "A 14762-2026")</f>
        <v/>
      </c>
      <c r="X29">
        <f>HYPERLINK("https://klasma.github.io/Logging_1781/kartor/A 14762-2026 karta.png", "A 14762-2026")</f>
        <v/>
      </c>
      <c r="Y29">
        <f>HYPERLINK("https://klasma.github.io/Logging_1781/kartor_geotiff/A 14762-2026 georefererad karta.tif", "A 14762-2026")</f>
        <v/>
      </c>
      <c r="AA29">
        <f>HYPERLINK("https://klasma.github.io/Logging_1781/klagomål/A 14762-2026 FSC-klagomål.docx", "A 14762-2026")</f>
        <v/>
      </c>
      <c r="AB29">
        <f>HYPERLINK("https://klasma.github.io/Logging_1781/klagomålsmail/A 14762-2026 FSC-klagomål mail.docx", "A 14762-2026")</f>
        <v/>
      </c>
      <c r="AC29">
        <f>HYPERLINK("https://klasma.github.io/Logging_1781/tillsyn/A 14762-2026 tillsynsbegäran.docx", "A 14762-2026")</f>
        <v/>
      </c>
      <c r="AD29">
        <f>HYPERLINK("https://klasma.github.io/Logging_1781/tillsynsmail/A 14762-2026 tillsynsbegäran mail.docx", "A 14762-2026")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46299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28394-2025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45819</v>
      </c>
      <c r="E31" s="1" t="n">
        <v>46299</v>
      </c>
      <c r="F31" t="inlineStr">
        <is>
          <t>VÄRMLANDS LÄN</t>
        </is>
      </c>
      <c r="G31" t="inlineStr">
        <is>
          <t>KRISTINEHAMN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Stor vårtrattskivling</t>
        </is>
      </c>
      <c r="W31">
        <f>HYPERLINK("https://klasma.github.io/Logging_1781/artfynd/A 28394-2025 artfynd.xlsx", "A 28394-2025")</f>
        <v/>
      </c>
      <c r="X31">
        <f>HYPERLINK("https://klasma.github.io/Logging_1781/kartor/A 28394-2025 karta.png", "A 28394-2025")</f>
        <v/>
      </c>
      <c r="Y31">
        <f>HYPERLINK("https://klasma.github.io/Logging_1781/kartor_geotiff/A 28394-2025 georefererad karta.tif", "A 28394-2025")</f>
        <v/>
      </c>
      <c r="AA31">
        <f>HYPERLINK("https://klasma.github.io/Logging_1781/klagomål/A 28394-2025 FSC-klagomål.docx", "A 28394-2025")</f>
        <v/>
      </c>
      <c r="AB31">
        <f>HYPERLINK("https://klasma.github.io/Logging_1781/klagomålsmail/A 28394-2025 FSC-klagomål mail.docx", "A 28394-2025")</f>
        <v/>
      </c>
      <c r="AC31">
        <f>HYPERLINK("https://klasma.github.io/Logging_1781/tillsyn/A 28394-2025 tillsynsbegäran.docx", "A 28394-2025")</f>
        <v/>
      </c>
      <c r="AD31">
        <f>HYPERLINK("https://klasma.github.io/Logging_1781/tillsynsmail/A 28394-2025 tillsynsbegäran mail.docx", "A 28394-2025")</f>
        <v/>
      </c>
    </row>
    <row r="32" ht="15" customHeight="1">
      <c r="A32" t="inlineStr">
        <is>
          <t>A 58021-2025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45982</v>
      </c>
      <c r="E32" s="1" t="n">
        <v>46299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HYPERLINK("https://klasma.github.io/Logging_1781/artfynd/A 58021-2025 artfynd.xlsx", "A 58021-2025")</f>
        <v/>
      </c>
      <c r="X32">
        <f>HYPERLINK("https://klasma.github.io/Logging_1781/kartor/A 58021-2025 karta.png", "A 58021-2025")</f>
        <v/>
      </c>
      <c r="Y32">
        <f>HYPERLINK("https://klasma.github.io/Logging_1781/kartor_geotiff/A 58021-2025 georefererad karta.tif", "A 58021-2025")</f>
        <v/>
      </c>
      <c r="AA32">
        <f>HYPERLINK("https://klasma.github.io/Logging_1781/klagomål/A 58021-2025 FSC-klagomål.docx", "A 58021-2025")</f>
        <v/>
      </c>
      <c r="AB32">
        <f>HYPERLINK("https://klasma.github.io/Logging_1781/klagomålsmail/A 58021-2025 FSC-klagomål mail.docx", "A 58021-2025")</f>
        <v/>
      </c>
      <c r="AC32">
        <f>HYPERLINK("https://klasma.github.io/Logging_1781/tillsyn/A 58021-2025 tillsynsbegäran.docx", "A 58021-2025")</f>
        <v/>
      </c>
      <c r="AD32">
        <f>HYPERLINK("https://klasma.github.io/Logging_1781/tillsynsmail/A 58021-2025 tillsynsbegäran mail.docx", "A 58021-2025")</f>
        <v/>
      </c>
    </row>
    <row r="33" ht="15" customHeight="1">
      <c r="A33" t="inlineStr">
        <is>
          <t>A 61238-2025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46299</v>
      </c>
      <c r="F33" t="inlineStr">
        <is>
          <t>VÄRMLANDS LÄN</t>
        </is>
      </c>
      <c r="G33" t="inlineStr">
        <is>
          <t>KRISTINEHAMN</t>
        </is>
      </c>
      <c r="I33" t="n">
        <v>5.8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Sparvuggla</t>
        </is>
      </c>
      <c r="W33">
        <f>HYPERLINK("https://klasma.github.io/Logging_1781/artfynd/A 61238-2025 artfynd.xlsx", "A 61238-2025")</f>
        <v/>
      </c>
      <c r="X33">
        <f>HYPERLINK("https://klasma.github.io/Logging_1781/kartor/A 61238-2025 karta.png", "A 61238-2025")</f>
        <v/>
      </c>
      <c r="Y33">
        <f>HYPERLINK("https://klasma.github.io/Logging_1781/kartor_geotiff/A 61238-2025 georefererad karta.tif", "A 61238-2025")</f>
        <v/>
      </c>
      <c r="AA33">
        <f>HYPERLINK("https://klasma.github.io/Logging_1781/klagomål/A 61238-2025 FSC-klagomål.docx", "A 61238-2025")</f>
        <v/>
      </c>
      <c r="AB33">
        <f>HYPERLINK("https://klasma.github.io/Logging_1781/klagomålsmail/A 61238-2025 FSC-klagomål mail.docx", "A 61238-2025")</f>
        <v/>
      </c>
      <c r="AC33">
        <f>HYPERLINK("https://klasma.github.io/Logging_1781/tillsyn/A 61238-2025 tillsynsbegäran.docx", "A 61238-2025")</f>
        <v/>
      </c>
      <c r="AD33">
        <f>HYPERLINK("https://klasma.github.io/Logging_1781/tillsynsmail/A 61238-2025 tillsynsbegäran mail.docx", "A 61238-2025")</f>
        <v/>
      </c>
      <c r="AE33">
        <f>HYPERLINK("https://klasma.github.io/Logging_1781/fåglar/A 61238-2025 prioriterade fågelarter.docx", "A 61238-2025")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46299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46299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46299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36792-2023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45154</v>
      </c>
      <c r="E37" s="1" t="n">
        <v>46299</v>
      </c>
      <c r="F37" t="inlineStr">
        <is>
          <t>VÄRMLANDS LÄN</t>
        </is>
      </c>
      <c r="G37" t="inlineStr">
        <is>
          <t>KRISTINEHAMN</t>
        </is>
      </c>
      <c r="I37" t="n">
        <v>4.2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HYPERLINK("https://klasma.github.io/Logging_1781/artfynd/A 36792-2023 artfynd.xlsx", "A 36792-2023")</f>
        <v/>
      </c>
      <c r="X37">
        <f>HYPERLINK("https://klasma.github.io/Logging_1781/kartor/A 36792-2023 karta.png", "A 36792-2023")</f>
        <v/>
      </c>
      <c r="Y37">
        <f>HYPERLINK("https://klasma.github.io/Logging_1781/kartor_geotiff/A 36792-2023 georefererad karta.tif", "A 36792-2023")</f>
        <v/>
      </c>
      <c r="AA37">
        <f>HYPERLINK("https://klasma.github.io/Logging_1781/klagomål/A 36792-2023 FSC-klagomål.docx", "A 36792-2023")</f>
        <v/>
      </c>
      <c r="AB37">
        <f>HYPERLINK("https://klasma.github.io/Logging_1781/klagomålsmail/A 36792-2023 FSC-klagomål mail.docx", "A 36792-2023")</f>
        <v/>
      </c>
      <c r="AC37">
        <f>HYPERLINK("https://klasma.github.io/Logging_1781/tillsyn/A 36792-2023 tillsynsbegäran.docx", "A 36792-2023")</f>
        <v/>
      </c>
      <c r="AD37">
        <f>HYPERLINK("https://klasma.github.io/Logging_1781/tillsynsmail/A 36792-2023 tillsynsbegäran mail.docx", "A 36792-2023")</f>
        <v/>
      </c>
    </row>
    <row r="38" ht="15" customHeight="1">
      <c r="A38" t="inlineStr">
        <is>
          <t>A 45122-2022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44843</v>
      </c>
      <c r="E38" s="1" t="n">
        <v>46299</v>
      </c>
      <c r="F38" t="inlineStr">
        <is>
          <t>VÄRMLANDS LÄN</t>
        </is>
      </c>
      <c r="G38" t="inlineStr">
        <is>
          <t>KRISTINEHAMN</t>
        </is>
      </c>
      <c r="I38" t="n">
        <v>3.3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Dvärglin</t>
        </is>
      </c>
      <c r="W38">
        <f>HYPERLINK("https://klasma.github.io/Logging_1781/artfynd/A 45122-2022 artfynd.xlsx", "A 45122-2022")</f>
        <v/>
      </c>
      <c r="X38">
        <f>HYPERLINK("https://klasma.github.io/Logging_1781/kartor/A 45122-2022 karta.png", "A 45122-2022")</f>
        <v/>
      </c>
      <c r="Y38">
        <f>HYPERLINK("https://klasma.github.io/Logging_1781/kartor_geotiff/A 45122-2022 georefererad karta.tif", "A 45122-2022")</f>
        <v/>
      </c>
      <c r="AA38">
        <f>HYPERLINK("https://klasma.github.io/Logging_1781/klagomål/A 45122-2022 FSC-klagomål.docx", "A 45122-2022")</f>
        <v/>
      </c>
      <c r="AB38">
        <f>HYPERLINK("https://klasma.github.io/Logging_1781/klagomålsmail/A 45122-2022 FSC-klagomål mail.docx", "A 45122-2022")</f>
        <v/>
      </c>
      <c r="AC38">
        <f>HYPERLINK("https://klasma.github.io/Logging_1781/tillsyn/A 45122-2022 tillsynsbegäran.docx", "A 45122-2022")</f>
        <v/>
      </c>
      <c r="AD38">
        <f>HYPERLINK("https://klasma.github.io/Logging_1781/tillsynsmail/A 45122-2022 tillsynsbegäran mail.docx", "A 45122-2022")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46299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46299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46299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46299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46299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46299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46299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46299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46299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15419-2022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44659</v>
      </c>
      <c r="E48" s="1" t="n">
        <v>46299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26045-2022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46299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46299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46299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46299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46299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46299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46299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46299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46299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46299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46299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46299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46299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46299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46299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46299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46299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46299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46299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44707</v>
      </c>
      <c r="E68" s="1" t="n">
        <v>46299</v>
      </c>
      <c r="F68" t="inlineStr">
        <is>
          <t>VÄRMLANDS LÄN</t>
        </is>
      </c>
      <c r="G68" t="inlineStr">
        <is>
          <t>KRISTINEHAMN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44662</v>
      </c>
      <c r="E69" s="1" t="n">
        <v>46299</v>
      </c>
      <c r="F69" t="inlineStr">
        <is>
          <t>VÄRMLANDS LÄN</t>
        </is>
      </c>
      <c r="G69" t="inlineStr">
        <is>
          <t>KRISTINEHAMN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46299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46299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46299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46299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46299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46299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46299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46299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46299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46299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46299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46299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46299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46299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46299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46299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46299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45081</v>
      </c>
      <c r="E87" s="1" t="n">
        <v>46299</v>
      </c>
      <c r="F87" t="inlineStr">
        <is>
          <t>VÄRMLANDS LÄN</t>
        </is>
      </c>
      <c r="G87" t="inlineStr">
        <is>
          <t>KRISTINEHAMN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46299</v>
      </c>
      <c r="F88" t="inlineStr">
        <is>
          <t>VÄRMLANDS LÄN</t>
        </is>
      </c>
      <c r="G88" t="inlineStr">
        <is>
          <t>KRISTINEHAMN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44841</v>
      </c>
      <c r="E89" s="1" t="n">
        <v>46299</v>
      </c>
      <c r="F89" t="inlineStr">
        <is>
          <t>VÄRMLANDS LÄN</t>
        </is>
      </c>
      <c r="G89" t="inlineStr">
        <is>
          <t>KRISTINEHAMN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46299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45442</v>
      </c>
      <c r="E91" s="1" t="n">
        <v>46299</v>
      </c>
      <c r="F91" t="inlineStr">
        <is>
          <t>VÄRMLANDS LÄN</t>
        </is>
      </c>
      <c r="G91" t="inlineStr">
        <is>
          <t>KRISTINEHAMN</t>
        </is>
      </c>
      <c r="I91" t="n">
        <v>14.9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46299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46299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46299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46299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46299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46299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46299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46299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46299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61048-2025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46299</v>
      </c>
      <c r="F101" t="inlineStr">
        <is>
          <t>VÄRMLANDS LÄN</t>
        </is>
      </c>
      <c r="G101" t="inlineStr">
        <is>
          <t>KRISTINEHAMN</t>
        </is>
      </c>
      <c r="H101" t="inlineStr">
        <is>
          <t>Bergvik skog väst AB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46299</v>
      </c>
      <c r="F102" t="inlineStr">
        <is>
          <t>VÄRMLANDS LÄN</t>
        </is>
      </c>
      <c r="G102" t="inlineStr">
        <is>
          <t>KRISTINEHAMN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24118-2024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46299</v>
      </c>
      <c r="F103" t="inlineStr">
        <is>
          <t>VÄRMLANDS LÄN</t>
        </is>
      </c>
      <c r="G103" t="inlineStr">
        <is>
          <t>KRISTINEHAMN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50159-2024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45600</v>
      </c>
      <c r="E104" s="1" t="n">
        <v>46299</v>
      </c>
      <c r="F104" t="inlineStr">
        <is>
          <t>VÄRMLANDS LÄN</t>
        </is>
      </c>
      <c r="G104" t="inlineStr">
        <is>
          <t>KRISTINEHAMN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46003</v>
      </c>
      <c r="E105" s="1" t="n">
        <v>46299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61888-2025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46003</v>
      </c>
      <c r="E106" s="1" t="n">
        <v>46299</v>
      </c>
      <c r="F106" t="inlineStr">
        <is>
          <t>VÄRMLANDS LÄN</t>
        </is>
      </c>
      <c r="G106" t="inlineStr">
        <is>
          <t>KRISTINEHAMN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36774-2022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44805</v>
      </c>
      <c r="E107" s="1" t="n">
        <v>46299</v>
      </c>
      <c r="F107" t="inlineStr">
        <is>
          <t>VÄRMLANDS LÄN</t>
        </is>
      </c>
      <c r="G107" t="inlineStr">
        <is>
          <t>KRISTINEHAMN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45202</v>
      </c>
      <c r="E108" s="1" t="n">
        <v>46299</v>
      </c>
      <c r="F108" t="inlineStr">
        <is>
          <t>VÄRMLANDS LÄN</t>
        </is>
      </c>
      <c r="G108" t="inlineStr">
        <is>
          <t>KRISTINEHAMN</t>
        </is>
      </c>
      <c r="I108" t="n">
        <v>10.4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46006</v>
      </c>
      <c r="E109" s="1" t="n">
        <v>46299</v>
      </c>
      <c r="F109" t="inlineStr">
        <is>
          <t>VÄRMLANDS LÄN</t>
        </is>
      </c>
      <c r="G109" t="inlineStr">
        <is>
          <t>KRISTINEHAMN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46009</v>
      </c>
      <c r="E110" s="1" t="n">
        <v>46299</v>
      </c>
      <c r="F110" t="inlineStr">
        <is>
          <t>VÄRMLANDS LÄN</t>
        </is>
      </c>
      <c r="G110" t="inlineStr">
        <is>
          <t>KRISTINEHAMN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61034-2021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46299</v>
      </c>
      <c r="F111" t="inlineStr">
        <is>
          <t>VÄRMLANDS LÄN</t>
        </is>
      </c>
      <c r="G111" t="inlineStr">
        <is>
          <t>KRISTINEHAMN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46299</v>
      </c>
      <c r="F112" t="inlineStr">
        <is>
          <t>VÄRMLANDS LÄN</t>
        </is>
      </c>
      <c r="G112" t="inlineStr">
        <is>
          <t>KRISTINEHAMN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46299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51700-2023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46299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Bergvik skog väst AB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28485-2024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45477</v>
      </c>
      <c r="E115" s="1" t="n">
        <v>46299</v>
      </c>
      <c r="F115" t="inlineStr">
        <is>
          <t>VÄRMLANDS LÄN</t>
        </is>
      </c>
      <c r="G115" t="inlineStr">
        <is>
          <t>KRISTINEHAMN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22637-2024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46299</v>
      </c>
      <c r="F116" t="inlineStr">
        <is>
          <t>VÄRMLANDS LÄN</t>
        </is>
      </c>
      <c r="G116" t="inlineStr">
        <is>
          <t>KRISTINEHAMN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45662</v>
      </c>
      <c r="E117" s="1" t="n">
        <v>46299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32404-2023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45110</v>
      </c>
      <c r="E118" s="1" t="n">
        <v>46299</v>
      </c>
      <c r="F118" t="inlineStr">
        <is>
          <t>VÄRMLANDS LÄN</t>
        </is>
      </c>
      <c r="G118" t="inlineStr">
        <is>
          <t>KRISTINEHAMN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46299</v>
      </c>
      <c r="F119" t="inlineStr">
        <is>
          <t>VÄRMLANDS LÄN</t>
        </is>
      </c>
      <c r="G119" t="inlineStr">
        <is>
          <t>KRISTINEHAMN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46034</v>
      </c>
      <c r="E120" s="1" t="n">
        <v>46299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46299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Sveaskog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46299</v>
      </c>
      <c r="F122" t="inlineStr">
        <is>
          <t>VÄRMLANDS LÄN</t>
        </is>
      </c>
      <c r="G122" t="inlineStr">
        <is>
          <t>KRISTINEHAMN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42577-2025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46299</v>
      </c>
      <c r="F123" t="inlineStr">
        <is>
          <t>VÄRMLANDS LÄN</t>
        </is>
      </c>
      <c r="G123" t="inlineStr">
        <is>
          <t>KRISTINEHAMN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23510-2025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45792</v>
      </c>
      <c r="E124" s="1" t="n">
        <v>46299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46299</v>
      </c>
      <c r="F125" t="inlineStr">
        <is>
          <t>VÄRMLANDS LÄN</t>
        </is>
      </c>
      <c r="G125" t="inlineStr">
        <is>
          <t>KRISTINEHAMN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46299</v>
      </c>
      <c r="F126" t="inlineStr">
        <is>
          <t>VÄRMLANDS LÄN</t>
        </is>
      </c>
      <c r="G126" t="inlineStr">
        <is>
          <t>KRISTINEHAMN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46038</v>
      </c>
      <c r="E127" s="1" t="n">
        <v>46299</v>
      </c>
      <c r="F127" t="inlineStr">
        <is>
          <t>VÄRMLANDS LÄN</t>
        </is>
      </c>
      <c r="G127" t="inlineStr">
        <is>
          <t>KRISTINEHAMN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46038</v>
      </c>
      <c r="E128" s="1" t="n">
        <v>46299</v>
      </c>
      <c r="F128" t="inlineStr">
        <is>
          <t>VÄRMLANDS LÄN</t>
        </is>
      </c>
      <c r="G128" t="inlineStr">
        <is>
          <t>KRISTINEHAMN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23501-2025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46299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46299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46299</v>
      </c>
      <c r="F131" t="inlineStr">
        <is>
          <t>VÄRMLANDS LÄN</t>
        </is>
      </c>
      <c r="G131" t="inlineStr">
        <is>
          <t>KRISTINEHAMN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46299</v>
      </c>
      <c r="F132" t="inlineStr">
        <is>
          <t>VÄRMLANDS LÄN</t>
        </is>
      </c>
      <c r="G132" t="inlineStr">
        <is>
          <t>KRISTINEHAMN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46299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46299</v>
      </c>
      <c r="F134" t="inlineStr">
        <is>
          <t>VÄRMLANDS LÄN</t>
        </is>
      </c>
      <c r="G134" t="inlineStr">
        <is>
          <t>KRISTINEHAMN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46299</v>
      </c>
      <c r="F135" t="inlineStr">
        <is>
          <t>VÄRMLANDS LÄN</t>
        </is>
      </c>
      <c r="G135" t="inlineStr">
        <is>
          <t>KRISTINEHAMN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45701</v>
      </c>
      <c r="E136" s="1" t="n">
        <v>46299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Naturvårdsverket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65055-2023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45282</v>
      </c>
      <c r="E137" s="1" t="n">
        <v>46299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46299</v>
      </c>
      <c r="F138" t="inlineStr">
        <is>
          <t>VÄRMLANDS LÄN</t>
        </is>
      </c>
      <c r="G138" t="inlineStr">
        <is>
          <t>KRISTINEHAMN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46299</v>
      </c>
      <c r="F139" t="inlineStr">
        <is>
          <t>VÄRMLANDS LÄN</t>
        </is>
      </c>
      <c r="G139" t="inlineStr">
        <is>
          <t>KRISTINEHAMN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46299</v>
      </c>
      <c r="F140" t="inlineStr">
        <is>
          <t>VÄRMLANDS LÄN</t>
        </is>
      </c>
      <c r="G140" t="inlineStr">
        <is>
          <t>KRISTINEHAMN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45012-2024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46299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6259-2026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46051</v>
      </c>
      <c r="E142" s="1" t="n">
        <v>46299</v>
      </c>
      <c r="F142" t="inlineStr">
        <is>
          <t>VÄRMLANDS LÄN</t>
        </is>
      </c>
      <c r="G142" t="inlineStr">
        <is>
          <t>KRISTINEHAMN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46299</v>
      </c>
      <c r="F143" t="inlineStr">
        <is>
          <t>VÄRMLANDS LÄN</t>
        </is>
      </c>
      <c r="G143" t="inlineStr">
        <is>
          <t>KRISTINEHAMN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46299</v>
      </c>
      <c r="F144" t="inlineStr">
        <is>
          <t>VÄRMLANDS LÄN</t>
        </is>
      </c>
      <c r="G144" t="inlineStr">
        <is>
          <t>KRISTINEHAMN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45044</v>
      </c>
      <c r="E145" s="1" t="n">
        <v>46299</v>
      </c>
      <c r="F145" t="inlineStr">
        <is>
          <t>VÄRMLANDS LÄN</t>
        </is>
      </c>
      <c r="G145" t="inlineStr">
        <is>
          <t>KRISTINEHAMN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25484-2025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45802</v>
      </c>
      <c r="E146" s="1" t="n">
        <v>46299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Naturvårdsverket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46299</v>
      </c>
      <c r="F147" t="inlineStr">
        <is>
          <t>VÄRMLANDS LÄN</t>
        </is>
      </c>
      <c r="G147" t="inlineStr">
        <is>
          <t>KRISTINEHAMN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26192-2025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46299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46299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56930-2023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46299</v>
      </c>
      <c r="F150" t="inlineStr">
        <is>
          <t>VÄRMLANDS LÄN</t>
        </is>
      </c>
      <c r="G150" t="inlineStr">
        <is>
          <t>KRISTINEHAMN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44812</v>
      </c>
      <c r="E151" s="1" t="n">
        <v>46299</v>
      </c>
      <c r="F151" t="inlineStr">
        <is>
          <t>VÄRMLANDS LÄN</t>
        </is>
      </c>
      <c r="G151" t="inlineStr">
        <is>
          <t>KRISTINEHAMN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45303</v>
      </c>
      <c r="E152" s="1" t="n">
        <v>46299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45803</v>
      </c>
      <c r="E153" s="1" t="n">
        <v>46299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Naturvårdsverket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26623-2025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46299</v>
      </c>
      <c r="F154" t="inlineStr">
        <is>
          <t>VÄRMLANDS LÄN</t>
        </is>
      </c>
      <c r="G154" t="inlineStr">
        <is>
          <t>KRISTINEHAMN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62498-2022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46299</v>
      </c>
      <c r="F155" t="inlineStr">
        <is>
          <t>VÄRMLANDS LÄN</t>
        </is>
      </c>
      <c r="G155" t="inlineStr">
        <is>
          <t>KRISTINEHAMN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44741</v>
      </c>
      <c r="E156" s="1" t="n">
        <v>46299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59854-2023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46299</v>
      </c>
      <c r="F157" t="inlineStr">
        <is>
          <t>VÄRMLANDS LÄN</t>
        </is>
      </c>
      <c r="G157" t="inlineStr">
        <is>
          <t>KRISTINEHAMN</t>
        </is>
      </c>
      <c r="I157" t="n">
        <v>8.199999999999999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46299</v>
      </c>
      <c r="F158" t="inlineStr">
        <is>
          <t>VÄRMLANDS LÄN</t>
        </is>
      </c>
      <c r="G158" t="inlineStr">
        <is>
          <t>KRISTINEHAMN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44917</v>
      </c>
      <c r="E159" s="1" t="n">
        <v>46299</v>
      </c>
      <c r="F159" t="inlineStr">
        <is>
          <t>VÄRMLANDS LÄN</t>
        </is>
      </c>
      <c r="G159" t="inlineStr">
        <is>
          <t>KRISTINEHAMN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57565-2023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45246</v>
      </c>
      <c r="E160" s="1" t="n">
        <v>46299</v>
      </c>
      <c r="F160" t="inlineStr">
        <is>
          <t>VÄRMLANDS LÄN</t>
        </is>
      </c>
      <c r="G160" t="inlineStr">
        <is>
          <t>KRISTINEHAMN</t>
        </is>
      </c>
      <c r="I160" t="n">
        <v>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46299</v>
      </c>
      <c r="F161" t="inlineStr">
        <is>
          <t>VÄRMLANDS LÄN</t>
        </is>
      </c>
      <c r="G161" t="inlineStr">
        <is>
          <t>KRISTINEHAMN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45944</v>
      </c>
      <c r="E162" s="1" t="n">
        <v>46299</v>
      </c>
      <c r="F162" t="inlineStr">
        <is>
          <t>VÄRMLANDS LÄN</t>
        </is>
      </c>
      <c r="G162" t="inlineStr">
        <is>
          <t>KRISTINEHAMN</t>
        </is>
      </c>
      <c r="I162" t="n">
        <v>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46299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27531-2022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46299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46299</v>
      </c>
      <c r="F165" t="inlineStr">
        <is>
          <t>VÄRMLANDS LÄN</t>
        </is>
      </c>
      <c r="G165" t="inlineStr">
        <is>
          <t>KRISTINEHAMN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10999-2024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45370</v>
      </c>
      <c r="E166" s="1" t="n">
        <v>46299</v>
      </c>
      <c r="F166" t="inlineStr">
        <is>
          <t>VÄRMLANDS LÄN</t>
        </is>
      </c>
      <c r="G166" t="inlineStr">
        <is>
          <t>KRISTINEHAMN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26871-2025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45810</v>
      </c>
      <c r="E167" s="1" t="n">
        <v>46299</v>
      </c>
      <c r="F167" t="inlineStr">
        <is>
          <t>VÄRMLANDS LÄN</t>
        </is>
      </c>
      <c r="G167" t="inlineStr">
        <is>
          <t>KRISTINEHAMN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45000</v>
      </c>
      <c r="E168" s="1" t="n">
        <v>46299</v>
      </c>
      <c r="F168" t="inlineStr">
        <is>
          <t>VÄRMLANDS LÄN</t>
        </is>
      </c>
      <c r="G168" t="inlineStr">
        <is>
          <t>KRISTINEHAMN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45952</v>
      </c>
      <c r="E169" s="1" t="n">
        <v>46299</v>
      </c>
      <c r="F169" t="inlineStr">
        <is>
          <t>VÄRMLANDS LÄN</t>
        </is>
      </c>
      <c r="G169" t="inlineStr">
        <is>
          <t>KRISTINEHAMN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11463-2026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46299</v>
      </c>
      <c r="F170" t="inlineStr">
        <is>
          <t>VÄRMLANDS LÄN</t>
        </is>
      </c>
      <c r="G170" t="inlineStr">
        <is>
          <t>KRISTINEHAMN</t>
        </is>
      </c>
      <c r="H170" t="inlineStr">
        <is>
          <t>Bergvik skog väst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45812</v>
      </c>
      <c r="E171" s="1" t="n">
        <v>46299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Sveaskog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27140-2025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46299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Sveaskog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45954</v>
      </c>
      <c r="E173" s="1" t="n">
        <v>46299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46299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45959</v>
      </c>
      <c r="E175" s="1" t="n">
        <v>46299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46092</v>
      </c>
      <c r="E176" s="1" t="n">
        <v>46299</v>
      </c>
      <c r="F176" t="inlineStr">
        <is>
          <t>VÄRMLANDS LÄN</t>
        </is>
      </c>
      <c r="G176" t="inlineStr">
        <is>
          <t>KRISTINEHAMN</t>
        </is>
      </c>
      <c r="H176" t="inlineStr">
        <is>
          <t>Sveaskog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45041</v>
      </c>
      <c r="E177" s="1" t="n">
        <v>46299</v>
      </c>
      <c r="F177" t="inlineStr">
        <is>
          <t>VÄRMLANDS LÄN</t>
        </is>
      </c>
      <c r="G177" t="inlineStr">
        <is>
          <t>KRISTINEHAMN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53819-2025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45961</v>
      </c>
      <c r="E178" s="1" t="n">
        <v>46299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53909-2025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45961</v>
      </c>
      <c r="E179" s="1" t="n">
        <v>46299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Naturvårdsverket</t>
        </is>
      </c>
      <c r="I179" t="n">
        <v>6.9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46092</v>
      </c>
      <c r="E180" s="1" t="n">
        <v>46299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12932-2026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46092</v>
      </c>
      <c r="E181" s="1" t="n">
        <v>46299</v>
      </c>
      <c r="F181" t="inlineStr">
        <is>
          <t>VÄRMLANDS LÄN</t>
        </is>
      </c>
      <c r="G181" t="inlineStr">
        <is>
          <t>KRISTINEHAMN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13461-2026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46094</v>
      </c>
      <c r="E182" s="1" t="n">
        <v>46299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13462-2026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46299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46094</v>
      </c>
      <c r="E184" s="1" t="n">
        <v>46299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Sveaskog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19447-2024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45429</v>
      </c>
      <c r="E185" s="1" t="n">
        <v>46299</v>
      </c>
      <c r="F185" t="inlineStr">
        <is>
          <t>VÄRMLANDS LÄN</t>
        </is>
      </c>
      <c r="G185" t="inlineStr">
        <is>
          <t>KRISTINEHAMN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45678</v>
      </c>
      <c r="E186" s="1" t="n">
        <v>46299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46299</v>
      </c>
      <c r="F187" t="inlineStr">
        <is>
          <t>VÄRMLANDS LÄN</t>
        </is>
      </c>
      <c r="G187" t="inlineStr">
        <is>
          <t>KRISTINEHAMN</t>
        </is>
      </c>
      <c r="I187" t="n">
        <v>8.699999999999999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46299</v>
      </c>
      <c r="F188" t="inlineStr">
        <is>
          <t>VÄRMLANDS LÄN</t>
        </is>
      </c>
      <c r="G188" t="inlineStr">
        <is>
          <t>KRISTINEHAMN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56315-2025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45974</v>
      </c>
      <c r="E189" s="1" t="n">
        <v>46299</v>
      </c>
      <c r="F189" t="inlineStr">
        <is>
          <t>VÄRMLANDS LÄN</t>
        </is>
      </c>
      <c r="G189" t="inlineStr">
        <is>
          <t>KRISTINEHAMN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14757-2026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46101</v>
      </c>
      <c r="E190" s="1" t="n">
        <v>46299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46101</v>
      </c>
      <c r="E191" s="1" t="n">
        <v>46299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15064-2026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46104</v>
      </c>
      <c r="E192" s="1" t="n">
        <v>46299</v>
      </c>
      <c r="F192" t="inlineStr">
        <is>
          <t>VÄRMLANDS LÄN</t>
        </is>
      </c>
      <c r="G192" t="inlineStr">
        <is>
          <t>KRISTINEHAMN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46299</v>
      </c>
      <c r="F193" t="inlineStr">
        <is>
          <t>VÄRMLANDS LÄN</t>
        </is>
      </c>
      <c r="G193" t="inlineStr">
        <is>
          <t>KRISTINEHAMN</t>
        </is>
      </c>
      <c r="I193" t="n">
        <v>9.300000000000001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15646-2026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46106</v>
      </c>
      <c r="E194" s="1" t="n">
        <v>46299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39778-2023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45167</v>
      </c>
      <c r="E195" s="1" t="n">
        <v>46299</v>
      </c>
      <c r="F195" t="inlineStr">
        <is>
          <t>VÄRMLANDS LÄN</t>
        </is>
      </c>
      <c r="G195" t="inlineStr">
        <is>
          <t>KRISTINEHAMN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46299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39779-2023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46299</v>
      </c>
      <c r="F197" t="inlineStr">
        <is>
          <t>VÄRMLANDS LÄN</t>
        </is>
      </c>
      <c r="G197" t="inlineStr">
        <is>
          <t>KRISTINEHAMN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46299</v>
      </c>
      <c r="F198" t="inlineStr">
        <is>
          <t>VÄRMLANDS LÄN</t>
        </is>
      </c>
      <c r="G198" t="inlineStr">
        <is>
          <t>KRISTINEHAMN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46299</v>
      </c>
      <c r="F199" t="inlineStr">
        <is>
          <t>VÄRMLANDS LÄN</t>
        </is>
      </c>
      <c r="G199" t="inlineStr">
        <is>
          <t>KRISTINEHAMN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26042-2022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44734</v>
      </c>
      <c r="E200" s="1" t="n">
        <v>46299</v>
      </c>
      <c r="F200" t="inlineStr">
        <is>
          <t>VÄRMLANDS LÄN</t>
        </is>
      </c>
      <c r="G200" t="inlineStr">
        <is>
          <t>KRISTINEHAMN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15827-2026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46107</v>
      </c>
      <c r="E201" s="1" t="n">
        <v>46299</v>
      </c>
      <c r="F201" t="inlineStr">
        <is>
          <t>VÄRMLANDS LÄN</t>
        </is>
      </c>
      <c r="G201" t="inlineStr">
        <is>
          <t>KRISTINEHAMN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45820</v>
      </c>
      <c r="E202" s="1" t="n">
        <v>46299</v>
      </c>
      <c r="F202" t="inlineStr">
        <is>
          <t>VÄRMLANDS LÄN</t>
        </is>
      </c>
      <c r="G202" t="inlineStr">
        <is>
          <t>KRISTINEHAMN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45313</v>
      </c>
      <c r="E203" s="1" t="n">
        <v>46299</v>
      </c>
      <c r="F203" t="inlineStr">
        <is>
          <t>VÄRMLANDS LÄN</t>
        </is>
      </c>
      <c r="G203" t="inlineStr">
        <is>
          <t>KRISTINEHAMN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45647</v>
      </c>
      <c r="E204" s="1" t="n">
        <v>46299</v>
      </c>
      <c r="F204" t="inlineStr">
        <is>
          <t>VÄRMLANDS LÄN</t>
        </is>
      </c>
      <c r="G204" t="inlineStr">
        <is>
          <t>KRISTINEHAMN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54603-2021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46299</v>
      </c>
      <c r="F205" t="inlineStr">
        <is>
          <t>VÄRMLANDS LÄN</t>
        </is>
      </c>
      <c r="G205" t="inlineStr">
        <is>
          <t>KRISTINEHAMN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47368-2023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46299</v>
      </c>
      <c r="F206" t="inlineStr">
        <is>
          <t>VÄRMLANDS LÄN</t>
        </is>
      </c>
      <c r="G206" t="inlineStr">
        <is>
          <t>KRISTINEHAMN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10124-2024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46299</v>
      </c>
      <c r="F207" t="inlineStr">
        <is>
          <t>VÄRMLANDS LÄN</t>
        </is>
      </c>
      <c r="G207" t="inlineStr">
        <is>
          <t>KRISTINEHAMN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62495-2022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46299</v>
      </c>
      <c r="F208" t="inlineStr">
        <is>
          <t>VÄRMLANDS LÄN</t>
        </is>
      </c>
      <c r="G208" t="inlineStr">
        <is>
          <t>KRISTINEHAMN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45385</v>
      </c>
      <c r="E209" s="1" t="n">
        <v>46299</v>
      </c>
      <c r="F209" t="inlineStr">
        <is>
          <t>VÄRMLANDS LÄN</t>
        </is>
      </c>
      <c r="G209" t="inlineStr">
        <is>
          <t>KRISTINEHAMN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60363-2025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46299</v>
      </c>
      <c r="F210" t="inlineStr">
        <is>
          <t>VÄRMLANDS LÄN</t>
        </is>
      </c>
      <c r="G210" t="inlineStr">
        <is>
          <t>KRISTINEHAMN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13459-2024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45387</v>
      </c>
      <c r="E211" s="1" t="n">
        <v>46299</v>
      </c>
      <c r="F211" t="inlineStr">
        <is>
          <t>VÄRMLANDS LÄN</t>
        </is>
      </c>
      <c r="G211" t="inlineStr">
        <is>
          <t>KRISTINEHAMN</t>
        </is>
      </c>
      <c r="H211" t="inlineStr">
        <is>
          <t>Naturvårdsverket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46299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45770</v>
      </c>
      <c r="E213" s="1" t="n">
        <v>46299</v>
      </c>
      <c r="F213" t="inlineStr">
        <is>
          <t>VÄRMLANDS LÄN</t>
        </is>
      </c>
      <c r="G213" t="inlineStr">
        <is>
          <t>KRISTINEHAMN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45995</v>
      </c>
      <c r="E214" s="1" t="n">
        <v>46299</v>
      </c>
      <c r="F214" t="inlineStr">
        <is>
          <t>VÄRMLANDS LÄN</t>
        </is>
      </c>
      <c r="G214" t="inlineStr">
        <is>
          <t>KRISTINEHAMN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46299</v>
      </c>
      <c r="F215" t="inlineStr">
        <is>
          <t>VÄRMLANDS LÄN</t>
        </is>
      </c>
      <c r="G215" t="inlineStr">
        <is>
          <t>KRISTINEHAMN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45364</v>
      </c>
      <c r="E216" s="1" t="n">
        <v>46299</v>
      </c>
      <c r="F216" t="inlineStr">
        <is>
          <t>VÄRMLANDS LÄN</t>
        </is>
      </c>
      <c r="G216" t="inlineStr">
        <is>
          <t>KRISTINEHAMN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60791-2025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46299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60942-2025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46299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45364</v>
      </c>
      <c r="E219" s="1" t="n">
        <v>46299</v>
      </c>
      <c r="F219" t="inlineStr">
        <is>
          <t>VÄRMLANDS LÄN</t>
        </is>
      </c>
      <c r="G219" t="inlineStr">
        <is>
          <t>KRISTINEHAMN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32821-2023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45112</v>
      </c>
      <c r="E220" s="1" t="n">
        <v>46299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Kommuner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18902-2026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46129</v>
      </c>
      <c r="E221" s="1" t="n">
        <v>46299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Sveaskog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46299</v>
      </c>
      <c r="F222" t="inlineStr">
        <is>
          <t>VÄRMLANDS LÄN</t>
        </is>
      </c>
      <c r="G222" t="inlineStr">
        <is>
          <t>KRISTINEHAMN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60915-2025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46299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Bergvik skog väst AB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46299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32821-2023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45112</v>
      </c>
      <c r="E225" s="1" t="n">
        <v>46299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Kommuner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61479-2025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46001</v>
      </c>
      <c r="E226" s="1" t="n">
        <v>46299</v>
      </c>
      <c r="F226" t="inlineStr">
        <is>
          <t>VÄRMLANDS LÄN</t>
        </is>
      </c>
      <c r="G226" t="inlineStr">
        <is>
          <t>KRISTINEHAMN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46299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Naturvårdsverket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19226-2026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46132</v>
      </c>
      <c r="E228" s="1" t="n">
        <v>46299</v>
      </c>
      <c r="F228" t="inlineStr">
        <is>
          <t>VÄRMLANDS LÄN</t>
        </is>
      </c>
      <c r="G228" t="inlineStr">
        <is>
          <t>KRISTINEHAMN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46299</v>
      </c>
      <c r="F229" t="inlineStr">
        <is>
          <t>VÄRMLANDS LÄN</t>
        </is>
      </c>
      <c r="G229" t="inlineStr">
        <is>
          <t>KRISTINEHAMN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31250-2025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45832</v>
      </c>
      <c r="E230" s="1" t="n">
        <v>46299</v>
      </c>
      <c r="F230" t="inlineStr">
        <is>
          <t>VÄRMLANDS LÄN</t>
        </is>
      </c>
      <c r="G230" t="inlineStr">
        <is>
          <t>KRISTINEHAMN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46299</v>
      </c>
      <c r="F231" t="inlineStr">
        <is>
          <t>VÄRMLANDS LÄN</t>
        </is>
      </c>
      <c r="G231" t="inlineStr">
        <is>
          <t>KRISTINEHAMN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31327-2025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46299</v>
      </c>
      <c r="F232" t="inlineStr">
        <is>
          <t>VÄRMLANDS LÄN</t>
        </is>
      </c>
      <c r="G232" t="inlineStr">
        <is>
          <t>KRISTINEHAMN</t>
        </is>
      </c>
      <c r="I232" t="n">
        <v>20.1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45252</v>
      </c>
      <c r="E233" s="1" t="n">
        <v>46299</v>
      </c>
      <c r="F233" t="inlineStr">
        <is>
          <t>VÄRMLANDS LÄN</t>
        </is>
      </c>
      <c r="G233" t="inlineStr">
        <is>
          <t>KRISTINEHAMN</t>
        </is>
      </c>
      <c r="I233" t="n">
        <v>19.4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46299</v>
      </c>
      <c r="F234" t="inlineStr">
        <is>
          <t>VÄRMLANDS LÄN</t>
        </is>
      </c>
      <c r="G234" t="inlineStr">
        <is>
          <t>KRISTINEHAMN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46299</v>
      </c>
      <c r="F235" t="inlineStr">
        <is>
          <t>VÄRMLANDS LÄN</t>
        </is>
      </c>
      <c r="G235" t="inlineStr">
        <is>
          <t>KRISTINEHAMN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55003-2021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44474</v>
      </c>
      <c r="E236" s="1" t="n">
        <v>46299</v>
      </c>
      <c r="F236" t="inlineStr">
        <is>
          <t>VÄRMLANDS LÄN</t>
        </is>
      </c>
      <c r="G236" t="inlineStr">
        <is>
          <t>KRISTINEHAMN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44656</v>
      </c>
      <c r="E237" s="1" t="n">
        <v>46299</v>
      </c>
      <c r="F237" t="inlineStr">
        <is>
          <t>VÄRMLANDS LÄN</t>
        </is>
      </c>
      <c r="G237" t="inlineStr">
        <is>
          <t>KRISTINEHAMN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46299</v>
      </c>
      <c r="F238" t="inlineStr">
        <is>
          <t>VÄRMLANDS LÄN</t>
        </is>
      </c>
      <c r="G238" t="inlineStr">
        <is>
          <t>KRISTINEHAMN</t>
        </is>
      </c>
      <c r="I238" t="n">
        <v>9.300000000000001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26028-2025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46299</v>
      </c>
      <c r="F239" t="inlineStr">
        <is>
          <t>VÄRMLANDS LÄN</t>
        </is>
      </c>
      <c r="G239" t="inlineStr">
        <is>
          <t>KRISTINEHAMN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46299</v>
      </c>
      <c r="F240" t="inlineStr">
        <is>
          <t>VÄRMLANDS LÄN</t>
        </is>
      </c>
      <c r="G240" t="inlineStr">
        <is>
          <t>KRISTINEHAMN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46299</v>
      </c>
      <c r="F241" t="inlineStr">
        <is>
          <t>VÄRMLANDS LÄN</t>
        </is>
      </c>
      <c r="G241" t="inlineStr">
        <is>
          <t>KRISTINEHAMN</t>
        </is>
      </c>
      <c r="I241" t="n">
        <v>15.9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46299</v>
      </c>
      <c r="F242" t="inlineStr">
        <is>
          <t>VÄRMLANDS LÄN</t>
        </is>
      </c>
      <c r="G242" t="inlineStr">
        <is>
          <t>KRISTINEHAMN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24146-2023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45079</v>
      </c>
      <c r="E243" s="1" t="n">
        <v>46299</v>
      </c>
      <c r="F243" t="inlineStr">
        <is>
          <t>VÄRMLANDS LÄN</t>
        </is>
      </c>
      <c r="G243" t="inlineStr">
        <is>
          <t>KRISTINEHAMN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46299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46299</v>
      </c>
      <c r="F245" t="inlineStr">
        <is>
          <t>VÄRMLANDS LÄN</t>
        </is>
      </c>
      <c r="G245" t="inlineStr">
        <is>
          <t>KRISTINEHAMN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45366</v>
      </c>
      <c r="E246" s="1" t="n">
        <v>46299</v>
      </c>
      <c r="F246" t="inlineStr">
        <is>
          <t>VÄRMLANDS LÄN</t>
        </is>
      </c>
      <c r="G246" t="inlineStr">
        <is>
          <t>KRISTINEHAMN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44648</v>
      </c>
      <c r="E247" s="1" t="n">
        <v>46299</v>
      </c>
      <c r="F247" t="inlineStr">
        <is>
          <t>VÄRMLANDS LÄN</t>
        </is>
      </c>
      <c r="G247" t="inlineStr">
        <is>
          <t>KRISTINEHAMN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60805-2025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46299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45933</v>
      </c>
      <c r="E249" s="1" t="n">
        <v>46299</v>
      </c>
      <c r="F249" t="inlineStr">
        <is>
          <t>VÄRMLANDS LÄN</t>
        </is>
      </c>
      <c r="G249" t="inlineStr">
        <is>
          <t>KRISTINEHAMN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46299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Kommuner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61719-2023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45265</v>
      </c>
      <c r="E251" s="1" t="n">
        <v>46299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Naturvårdsverket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12458-2024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45379</v>
      </c>
      <c r="E252" s="1" t="n">
        <v>46299</v>
      </c>
      <c r="F252" t="inlineStr">
        <is>
          <t>VÄRMLANDS LÄN</t>
        </is>
      </c>
      <c r="G252" t="inlineStr">
        <is>
          <t>KRISTINEHAMN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17245-2025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45756</v>
      </c>
      <c r="E253" s="1" t="n">
        <v>46299</v>
      </c>
      <c r="F253" t="inlineStr">
        <is>
          <t>VÄRMLANDS LÄN</t>
        </is>
      </c>
      <c r="G253" t="inlineStr">
        <is>
          <t>KRISTINEHAMN</t>
        </is>
      </c>
      <c r="H253" t="inlineStr">
        <is>
          <t>Sveaskog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8758-2023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46299</v>
      </c>
      <c r="F254" t="inlineStr">
        <is>
          <t>VÄRMLANDS LÄN</t>
        </is>
      </c>
      <c r="G254" t="inlineStr">
        <is>
          <t>KRISTINEHAMN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54606-2021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44473</v>
      </c>
      <c r="E255" s="1" t="n">
        <v>46299</v>
      </c>
      <c r="F255" t="inlineStr">
        <is>
          <t>VÄRMLANDS LÄN</t>
        </is>
      </c>
      <c r="G255" t="inlineStr">
        <is>
          <t>KRISTINEHAMN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45361</v>
      </c>
      <c r="E256" s="1" t="n">
        <v>46299</v>
      </c>
      <c r="F256" t="inlineStr">
        <is>
          <t>VÄRMLANDS LÄN</t>
        </is>
      </c>
      <c r="G256" t="inlineStr">
        <is>
          <t>KRISTINEHAMN</t>
        </is>
      </c>
      <c r="I256" t="n">
        <v>8.9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46299</v>
      </c>
      <c r="F257" t="inlineStr">
        <is>
          <t>VÄRMLANDS LÄN</t>
        </is>
      </c>
      <c r="G257" t="inlineStr">
        <is>
          <t>KRISTINEHAMN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45782</v>
      </c>
      <c r="E258" s="1" t="n">
        <v>46299</v>
      </c>
      <c r="F258" t="inlineStr">
        <is>
          <t>VÄRMLANDS LÄN</t>
        </is>
      </c>
      <c r="G258" t="inlineStr">
        <is>
          <t>KRISTINEHAMN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20168-2026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46139</v>
      </c>
      <c r="E259" s="1" t="n">
        <v>46299</v>
      </c>
      <c r="F259" t="inlineStr">
        <is>
          <t>VÄRMLANDS LÄN</t>
        </is>
      </c>
      <c r="G259" t="inlineStr">
        <is>
          <t>KRISTINEHAMN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27961-2023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46299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42177-2025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45904</v>
      </c>
      <c r="E261" s="1" t="n">
        <v>46299</v>
      </c>
      <c r="F261" t="inlineStr">
        <is>
          <t>VÄRMLANDS LÄN</t>
        </is>
      </c>
      <c r="G261" t="inlineStr">
        <is>
          <t>KRISTINEHAMN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45392</v>
      </c>
      <c r="E262" s="1" t="n">
        <v>46299</v>
      </c>
      <c r="F262" t="inlineStr">
        <is>
          <t>VÄRMLANDS LÄN</t>
        </is>
      </c>
      <c r="G262" t="inlineStr">
        <is>
          <t>KRISTINEHAMN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46299</v>
      </c>
      <c r="F263" t="inlineStr">
        <is>
          <t>VÄRMLANDS LÄN</t>
        </is>
      </c>
      <c r="G263" t="inlineStr">
        <is>
          <t>KRISTINEHAMN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46299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68526-2021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46299</v>
      </c>
      <c r="F265" t="inlineStr">
        <is>
          <t>VÄRMLANDS LÄN</t>
        </is>
      </c>
      <c r="G265" t="inlineStr">
        <is>
          <t>KRISTINEHAMN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68530-2021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44526</v>
      </c>
      <c r="E266" s="1" t="n">
        <v>46299</v>
      </c>
      <c r="F266" t="inlineStr">
        <is>
          <t>VÄRMLANDS LÄN</t>
        </is>
      </c>
      <c r="G266" t="inlineStr">
        <is>
          <t>KRISTINEHAMN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46299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Bergvik skog väst AB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22201-2022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46299</v>
      </c>
      <c r="F268" t="inlineStr">
        <is>
          <t>VÄRMLANDS LÄN</t>
        </is>
      </c>
      <c r="G268" t="inlineStr">
        <is>
          <t>KRISTINEHAMN</t>
        </is>
      </c>
      <c r="I268" t="n">
        <v>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46299</v>
      </c>
      <c r="F269" t="inlineStr">
        <is>
          <t>VÄRMLANDS LÄN</t>
        </is>
      </c>
      <c r="G269" t="inlineStr">
        <is>
          <t>KRISTINEHAMN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20654-2026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46299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Naturvårdsverket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21861-2023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45068</v>
      </c>
      <c r="E271" s="1" t="n">
        <v>46299</v>
      </c>
      <c r="F271" t="inlineStr">
        <is>
          <t>VÄRMLANDS LÄN</t>
        </is>
      </c>
      <c r="G271" t="inlineStr">
        <is>
          <t>KRISTINEHAMN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58284-2024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45631</v>
      </c>
      <c r="E272" s="1" t="n">
        <v>46299</v>
      </c>
      <c r="F272" t="inlineStr">
        <is>
          <t>VÄRMLANDS LÄN</t>
        </is>
      </c>
      <c r="G272" t="inlineStr">
        <is>
          <t>KRISTINEHAMN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46299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Naturvårdsverket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29526-2022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46299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28472-2024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45477</v>
      </c>
      <c r="E275" s="1" t="n">
        <v>46299</v>
      </c>
      <c r="F275" t="inlineStr">
        <is>
          <t>VÄRMLANDS LÄN</t>
        </is>
      </c>
      <c r="G275" t="inlineStr">
        <is>
          <t>KRISTINEHAMN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20672-2026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46299</v>
      </c>
      <c r="F276" t="inlineStr">
        <is>
          <t>VÄRMLANDS LÄN</t>
        </is>
      </c>
      <c r="G276" t="inlineStr">
        <is>
          <t>KRISTINEHAMN</t>
        </is>
      </c>
      <c r="H276" t="inlineStr">
        <is>
          <t>Naturvårdsverket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46299</v>
      </c>
      <c r="F277" t="inlineStr">
        <is>
          <t>VÄRMLANDS LÄN</t>
        </is>
      </c>
      <c r="G277" t="inlineStr">
        <is>
          <t>KRISTINEHAMN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46299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8557-2023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44972</v>
      </c>
      <c r="E279" s="1" t="n">
        <v>46299</v>
      </c>
      <c r="F279" t="inlineStr">
        <is>
          <t>VÄRMLANDS LÄN</t>
        </is>
      </c>
      <c r="G279" t="inlineStr">
        <is>
          <t>KRISTINEHAMN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34230-2023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45127</v>
      </c>
      <c r="E280" s="1" t="n">
        <v>46299</v>
      </c>
      <c r="F280" t="inlineStr">
        <is>
          <t>VÄRMLANDS LÄN</t>
        </is>
      </c>
      <c r="G280" t="inlineStr">
        <is>
          <t>KRISTINEHAMN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45268</v>
      </c>
      <c r="E281" s="1" t="n">
        <v>46299</v>
      </c>
      <c r="F281" t="inlineStr">
        <is>
          <t>VÄRMLANDS LÄN</t>
        </is>
      </c>
      <c r="G281" t="inlineStr">
        <is>
          <t>KRISTINEHAMN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45827</v>
      </c>
      <c r="E282" s="1" t="n">
        <v>46299</v>
      </c>
      <c r="F282" t="inlineStr">
        <is>
          <t>VÄRMLANDS LÄN</t>
        </is>
      </c>
      <c r="G282" t="inlineStr">
        <is>
          <t>KRISTINEHAMN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45359</v>
      </c>
      <c r="E283" s="1" t="n">
        <v>46299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46299</v>
      </c>
      <c r="F284" t="inlineStr">
        <is>
          <t>VÄRMLANDS LÄN</t>
        </is>
      </c>
      <c r="G284" t="inlineStr">
        <is>
          <t>KRISTINEHAMN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20982-2026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46299</v>
      </c>
      <c r="F285" t="inlineStr">
        <is>
          <t>VÄRMLANDS LÄN</t>
        </is>
      </c>
      <c r="G285" t="inlineStr">
        <is>
          <t>KRISTINEHAMN</t>
        </is>
      </c>
      <c r="H285" t="inlineStr">
        <is>
          <t>Sveaskog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46299</v>
      </c>
      <c r="F286" t="inlineStr">
        <is>
          <t>VÄRMLANDS LÄN</t>
        </is>
      </c>
      <c r="G286" t="inlineStr">
        <is>
          <t>KRISTINEHAMN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56656-2024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45625</v>
      </c>
      <c r="E287" s="1" t="n">
        <v>46299</v>
      </c>
      <c r="F287" t="inlineStr">
        <is>
          <t>VÄRMLANDS LÄN</t>
        </is>
      </c>
      <c r="G287" t="inlineStr">
        <is>
          <t>KRISTINEHAMN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22060-2026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46149</v>
      </c>
      <c r="E288" s="1" t="n">
        <v>46299</v>
      </c>
      <c r="F288" t="inlineStr">
        <is>
          <t>VÄRMLANDS LÄN</t>
        </is>
      </c>
      <c r="G288" t="inlineStr">
        <is>
          <t>KRISTINEHAMN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39781-2023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46299</v>
      </c>
      <c r="F289" t="inlineStr">
        <is>
          <t>VÄRMLANDS LÄN</t>
        </is>
      </c>
      <c r="G289" t="inlineStr">
        <is>
          <t>KRISTINEHAMN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46299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21842-2026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46299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44489</v>
      </c>
      <c r="E292" s="1" t="n">
        <v>46299</v>
      </c>
      <c r="F292" t="inlineStr">
        <is>
          <t>VÄRMLANDS LÄN</t>
        </is>
      </c>
      <c r="G292" t="inlineStr">
        <is>
          <t>KRISTINEHAMN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22255-2026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46154</v>
      </c>
      <c r="E293" s="1" t="n">
        <v>46299</v>
      </c>
      <c r="F293" t="inlineStr">
        <is>
          <t>VÄRMLANDS LÄN</t>
        </is>
      </c>
      <c r="G293" t="inlineStr">
        <is>
          <t>KRISTINEHAMN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45341</v>
      </c>
      <c r="E294" s="1" t="n">
        <v>46299</v>
      </c>
      <c r="F294" t="inlineStr">
        <is>
          <t>VÄRMLANDS LÄN</t>
        </is>
      </c>
      <c r="G294" t="inlineStr">
        <is>
          <t>KRISTINEHAMN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45569</v>
      </c>
      <c r="E295" s="1" t="n">
        <v>46299</v>
      </c>
      <c r="F295" t="inlineStr">
        <is>
          <t>VÄRMLANDS LÄN</t>
        </is>
      </c>
      <c r="G295" t="inlineStr">
        <is>
          <t>KRISTINEHAMN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46299</v>
      </c>
      <c r="F296" t="inlineStr">
        <is>
          <t>VÄRMLANDS LÄN</t>
        </is>
      </c>
      <c r="G296" t="inlineStr">
        <is>
          <t>KRISTINEHAMN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6644-2024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45341</v>
      </c>
      <c r="E297" s="1" t="n">
        <v>46299</v>
      </c>
      <c r="F297" t="inlineStr">
        <is>
          <t>VÄRMLANDS LÄN</t>
        </is>
      </c>
      <c r="G297" t="inlineStr">
        <is>
          <t>KRISTINEHAMN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45453</v>
      </c>
      <c r="E298" s="1" t="n">
        <v>46299</v>
      </c>
      <c r="F298" t="inlineStr">
        <is>
          <t>VÄRMLANDS LÄN</t>
        </is>
      </c>
      <c r="G298" t="inlineStr">
        <is>
          <t>KRISTINEHAMN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23147-2026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46299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46299</v>
      </c>
      <c r="F300" t="inlineStr">
        <is>
          <t>VÄRMLANDS LÄN</t>
        </is>
      </c>
      <c r="G300" t="inlineStr">
        <is>
          <t>KRISTINEHAMN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45322</v>
      </c>
      <c r="E301" s="1" t="n">
        <v>46299</v>
      </c>
      <c r="F301" t="inlineStr">
        <is>
          <t>VÄRMLANDS LÄN</t>
        </is>
      </c>
      <c r="G301" t="inlineStr">
        <is>
          <t>KRISTINEHAMN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46299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45268</v>
      </c>
      <c r="E303" s="1" t="n">
        <v>46299</v>
      </c>
      <c r="F303" t="inlineStr">
        <is>
          <t>VÄRMLANDS LÄN</t>
        </is>
      </c>
      <c r="G303" t="inlineStr">
        <is>
          <t>KRISTINEHAMN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23294-2026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46299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Sveaskog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37266-2025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45876</v>
      </c>
      <c r="E305" s="1" t="n">
        <v>46299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24883-2024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45461</v>
      </c>
      <c r="E306" s="1" t="n">
        <v>46299</v>
      </c>
      <c r="F306" t="inlineStr">
        <is>
          <t>VÄRMLANDS LÄN</t>
        </is>
      </c>
      <c r="G306" t="inlineStr">
        <is>
          <t>KRISTINEHAMN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45313</v>
      </c>
      <c r="E307" s="1" t="n">
        <v>46299</v>
      </c>
      <c r="F307" t="inlineStr">
        <is>
          <t>VÄRMLANDS LÄN</t>
        </is>
      </c>
      <c r="G307" t="inlineStr">
        <is>
          <t>KRISTINEHAMN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5505-2022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44595</v>
      </c>
      <c r="E308" s="1" t="n">
        <v>46299</v>
      </c>
      <c r="F308" t="inlineStr">
        <is>
          <t>VÄRMLANDS LÄN</t>
        </is>
      </c>
      <c r="G308" t="inlineStr">
        <is>
          <t>KRISTINEHAMN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5507-2022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46299</v>
      </c>
      <c r="F309" t="inlineStr">
        <is>
          <t>VÄRMLANDS LÄN</t>
        </is>
      </c>
      <c r="G309" t="inlineStr">
        <is>
          <t>KRISTINEHAMN</t>
        </is>
      </c>
      <c r="H309" t="inlineStr">
        <is>
          <t>Kommuner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45302</v>
      </c>
      <c r="E310" s="1" t="n">
        <v>46299</v>
      </c>
      <c r="F310" t="inlineStr">
        <is>
          <t>VÄRMLANDS LÄN</t>
        </is>
      </c>
      <c r="G310" t="inlineStr">
        <is>
          <t>KRISTINEHAMN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24570-2026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46170</v>
      </c>
      <c r="E311" s="1" t="n">
        <v>46299</v>
      </c>
      <c r="F311" t="inlineStr">
        <is>
          <t>VÄRMLANDS LÄN</t>
        </is>
      </c>
      <c r="G311" t="inlineStr">
        <is>
          <t>KRISTINEHAMN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47915-2022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44855</v>
      </c>
      <c r="E312" s="1" t="n">
        <v>46299</v>
      </c>
      <c r="F312" t="inlineStr">
        <is>
          <t>VÄRMLANDS LÄN</t>
        </is>
      </c>
      <c r="G312" t="inlineStr">
        <is>
          <t>KRISTINEHAMN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46171</v>
      </c>
      <c r="E313" s="1" t="n">
        <v>46299</v>
      </c>
      <c r="F313" t="inlineStr">
        <is>
          <t>VÄRMLANDS LÄN</t>
        </is>
      </c>
      <c r="G313" t="inlineStr">
        <is>
          <t>KRISTINEHAMN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59203-2024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46299</v>
      </c>
      <c r="F314" t="inlineStr">
        <is>
          <t>VÄRMLANDS LÄN</t>
        </is>
      </c>
      <c r="G314" t="inlineStr">
        <is>
          <t>KRISTINEHAMN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25258-2026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46175</v>
      </c>
      <c r="E315" s="1" t="n">
        <v>46299</v>
      </c>
      <c r="F315" t="inlineStr">
        <is>
          <t>VÄRMLANDS LÄN</t>
        </is>
      </c>
      <c r="G315" t="inlineStr">
        <is>
          <t>KRISTINEHAMN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45478</v>
      </c>
      <c r="E316" s="1" t="n">
        <v>46299</v>
      </c>
      <c r="F316" t="inlineStr">
        <is>
          <t>VÄRMLANDS LÄN</t>
        </is>
      </c>
      <c r="G316" t="inlineStr">
        <is>
          <t>KRISTINEHAMN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46299</v>
      </c>
      <c r="F317" t="inlineStr">
        <is>
          <t>VÄRMLANDS LÄN</t>
        </is>
      </c>
      <c r="G317" t="inlineStr">
        <is>
          <t>KRISTINEHAMN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45315</v>
      </c>
      <c r="E318" s="1" t="n">
        <v>46299</v>
      </c>
      <c r="F318" t="inlineStr">
        <is>
          <t>VÄRMLANDS LÄN</t>
        </is>
      </c>
      <c r="G318" t="inlineStr">
        <is>
          <t>KRISTINEHAMN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55719-2024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45622</v>
      </c>
      <c r="E319" s="1" t="n">
        <v>46299</v>
      </c>
      <c r="F319" t="inlineStr">
        <is>
          <t>VÄRMLANDS LÄN</t>
        </is>
      </c>
      <c r="G319" t="inlineStr">
        <is>
          <t>KRISTINEHAMN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28152-2022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44746</v>
      </c>
      <c r="E320" s="1" t="n">
        <v>46299</v>
      </c>
      <c r="F320" t="inlineStr">
        <is>
          <t>VÄRMLANDS LÄN</t>
        </is>
      </c>
      <c r="G320" t="inlineStr">
        <is>
          <t>KRISTINEHAMN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50174-2024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45600</v>
      </c>
      <c r="E321" s="1" t="n">
        <v>46299</v>
      </c>
      <c r="F321" t="inlineStr">
        <is>
          <t>VÄRMLANDS LÄN</t>
        </is>
      </c>
      <c r="G321" t="inlineStr">
        <is>
          <t>KRISTINEHAMN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2522-2026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46037</v>
      </c>
      <c r="E322" s="1" t="n">
        <v>46299</v>
      </c>
      <c r="F322" t="inlineStr">
        <is>
          <t>VÄRMLANDS LÄN</t>
        </is>
      </c>
      <c r="G322" t="inlineStr">
        <is>
          <t>KRISTINEHAMN</t>
        </is>
      </c>
      <c r="I322" t="n">
        <v>11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44941</v>
      </c>
      <c r="E323" s="1" t="n">
        <v>46299</v>
      </c>
      <c r="F323" t="inlineStr">
        <is>
          <t>VÄRMLANDS LÄN</t>
        </is>
      </c>
      <c r="G323" t="inlineStr">
        <is>
          <t>KRISTINEHAMN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27568-2026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46190</v>
      </c>
      <c r="E324" s="1" t="n">
        <v>46299</v>
      </c>
      <c r="F324" t="inlineStr">
        <is>
          <t>VÄRMLANDS LÄN</t>
        </is>
      </c>
      <c r="G324" t="inlineStr">
        <is>
          <t>KRISTINEHAMN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46299</v>
      </c>
      <c r="F325" t="inlineStr">
        <is>
          <t>VÄRMLANDS LÄN</t>
        </is>
      </c>
      <c r="G325" t="inlineStr">
        <is>
          <t>KRISTINEHAMN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46299</v>
      </c>
      <c r="F326" t="inlineStr">
        <is>
          <t>VÄRMLANDS LÄN</t>
        </is>
      </c>
      <c r="G326" t="inlineStr">
        <is>
          <t>KRISTINEHAMN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47648-2023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46299</v>
      </c>
      <c r="F327" t="inlineStr">
        <is>
          <t>VÄRMLANDS LÄN</t>
        </is>
      </c>
      <c r="G327" t="inlineStr">
        <is>
          <t>KRISTINEHAMN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56572-2024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45625</v>
      </c>
      <c r="E328" s="1" t="n">
        <v>46299</v>
      </c>
      <c r="F328" t="inlineStr">
        <is>
          <t>VÄRMLANDS LÄN</t>
        </is>
      </c>
      <c r="G328" t="inlineStr">
        <is>
          <t>KRISTINEHAMN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23246-2024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45450</v>
      </c>
      <c r="E329" s="1" t="n">
        <v>46299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45593</v>
      </c>
      <c r="E330" s="1" t="n">
        <v>46299</v>
      </c>
      <c r="F330" t="inlineStr">
        <is>
          <t>VÄRMLANDS LÄN</t>
        </is>
      </c>
      <c r="G330" t="inlineStr">
        <is>
          <t>KRISTINEHAMN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45749</v>
      </c>
      <c r="E331" s="1" t="n">
        <v>46299</v>
      </c>
      <c r="F331" t="inlineStr">
        <is>
          <t>VÄRMLANDS LÄN</t>
        </is>
      </c>
      <c r="G331" t="inlineStr">
        <is>
          <t>KRISTINEHAMN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32409-2023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46299</v>
      </c>
      <c r="F332" t="inlineStr">
        <is>
          <t>VÄRMLANDS LÄN</t>
        </is>
      </c>
      <c r="G332" t="inlineStr">
        <is>
          <t>KRISTINEHAMN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42408-2022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46299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24710-2024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45460</v>
      </c>
      <c r="E334" s="1" t="n">
        <v>46299</v>
      </c>
      <c r="F334" t="inlineStr">
        <is>
          <t>VÄRMLANDS LÄN</t>
        </is>
      </c>
      <c r="G334" t="inlineStr">
        <is>
          <t>KRISTINEHAMN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15406-2024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45401</v>
      </c>
      <c r="E335" s="1" t="n">
        <v>46299</v>
      </c>
      <c r="F335" t="inlineStr">
        <is>
          <t>VÄRMLANDS LÄN</t>
        </is>
      </c>
      <c r="G335" t="inlineStr">
        <is>
          <t>KRISTINEHAMN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29871-2026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46205</v>
      </c>
      <c r="E336" s="1" t="n">
        <v>46299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46205</v>
      </c>
      <c r="E337" s="1" t="n">
        <v>46299</v>
      </c>
      <c r="F337" t="inlineStr">
        <is>
          <t>VÄRMLANDS LÄN</t>
        </is>
      </c>
      <c r="G337" t="inlineStr">
        <is>
          <t>KRISTINEHAMN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61942-2022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44918</v>
      </c>
      <c r="E338" s="1" t="n">
        <v>46299</v>
      </c>
      <c r="F338" t="inlineStr">
        <is>
          <t>VÄRMLANDS LÄN</t>
        </is>
      </c>
      <c r="G338" t="inlineStr">
        <is>
          <t>KRISTINEHAMN</t>
        </is>
      </c>
      <c r="H338" t="inlineStr">
        <is>
          <t>Kommuner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41857-2023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45176</v>
      </c>
      <c r="E339" s="1" t="n">
        <v>46299</v>
      </c>
      <c r="F339" t="inlineStr">
        <is>
          <t>VÄRMLANDS LÄN</t>
        </is>
      </c>
      <c r="G339" t="inlineStr">
        <is>
          <t>KRISTINEHAMN</t>
        </is>
      </c>
      <c r="H339" t="inlineStr">
        <is>
          <t>Naturvårdsverket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46299</v>
      </c>
      <c r="F340" t="inlineStr">
        <is>
          <t>VÄRMLANDS LÄN</t>
        </is>
      </c>
      <c r="G340" t="inlineStr">
        <is>
          <t>KRISTINEHAMN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56667-2023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45243</v>
      </c>
      <c r="E341" s="1" t="n">
        <v>46299</v>
      </c>
      <c r="F341" t="inlineStr">
        <is>
          <t>VÄRMLANDS LÄN</t>
        </is>
      </c>
      <c r="G341" t="inlineStr">
        <is>
          <t>KRISTINEHAMN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45243</v>
      </c>
      <c r="E342" s="1" t="n">
        <v>46299</v>
      </c>
      <c r="F342" t="inlineStr">
        <is>
          <t>VÄRMLANDS LÄN</t>
        </is>
      </c>
      <c r="G342" t="inlineStr">
        <is>
          <t>KRISTINEHAMN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45686</v>
      </c>
      <c r="E343" s="1" t="n">
        <v>46299</v>
      </c>
      <c r="F343" t="inlineStr">
        <is>
          <t>VÄRMLANDS LÄN</t>
        </is>
      </c>
      <c r="G343" t="inlineStr">
        <is>
          <t>KRISTINEHAMN</t>
        </is>
      </c>
      <c r="I343" t="n">
        <v>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46299</v>
      </c>
      <c r="F344" t="inlineStr">
        <is>
          <t>VÄRMLANDS LÄN</t>
        </is>
      </c>
      <c r="G344" t="inlineStr">
        <is>
          <t>KRISTINEHAMN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23704-2022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44722</v>
      </c>
      <c r="E345" s="1" t="n">
        <v>46299</v>
      </c>
      <c r="F345" t="inlineStr">
        <is>
          <t>VÄRMLANDS LÄN</t>
        </is>
      </c>
      <c r="G345" t="inlineStr">
        <is>
          <t>KRISTINEHAMN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23706-2022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44722</v>
      </c>
      <c r="E346" s="1" t="n">
        <v>46299</v>
      </c>
      <c r="F346" t="inlineStr">
        <is>
          <t>VÄRMLANDS LÄN</t>
        </is>
      </c>
      <c r="G346" t="inlineStr">
        <is>
          <t>KRISTINEHAMN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13021-2023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46299</v>
      </c>
      <c r="F347" t="inlineStr">
        <is>
          <t>VÄRMLANDS LÄN</t>
        </is>
      </c>
      <c r="G347" t="inlineStr">
        <is>
          <t>KRISTINEHAMN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17110-2022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44677</v>
      </c>
      <c r="E348" s="1" t="n">
        <v>46299</v>
      </c>
      <c r="F348" t="inlineStr">
        <is>
          <t>VÄRMLANDS LÄN</t>
        </is>
      </c>
      <c r="G348" t="inlineStr">
        <is>
          <t>KRISTINEHAMN</t>
        </is>
      </c>
      <c r="I348" t="n">
        <v>5.6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47398-2023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46299</v>
      </c>
      <c r="F349" t="inlineStr">
        <is>
          <t>VÄRMLANDS LÄN</t>
        </is>
      </c>
      <c r="G349" t="inlineStr">
        <is>
          <t>KRISTINEHAMN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46299</v>
      </c>
      <c r="F350" t="inlineStr">
        <is>
          <t>VÄRMLANDS LÄN</t>
        </is>
      </c>
      <c r="G350" t="inlineStr">
        <is>
          <t>KRISTINEHAMN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45302</v>
      </c>
      <c r="E351" s="1" t="n">
        <v>46299</v>
      </c>
      <c r="F351" t="inlineStr">
        <is>
          <t>VÄRMLANDS LÄN</t>
        </is>
      </c>
      <c r="G351" t="inlineStr">
        <is>
          <t>KRISTINEHAMN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46299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46299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45058</v>
      </c>
      <c r="E354" s="1" t="n">
        <v>46299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Kommuner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45442</v>
      </c>
      <c r="E355" s="1" t="n">
        <v>46299</v>
      </c>
      <c r="F355" t="inlineStr">
        <is>
          <t>VÄRMLANDS LÄN</t>
        </is>
      </c>
      <c r="G355" t="inlineStr">
        <is>
          <t>KRISTINEHAMN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45226</v>
      </c>
      <c r="E356" s="1" t="n">
        <v>46299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46299</v>
      </c>
      <c r="F357" t="inlineStr">
        <is>
          <t>VÄRMLANDS LÄN</t>
        </is>
      </c>
      <c r="G357" t="inlineStr">
        <is>
          <t>KRISTINEHAMN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60738-2023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46299</v>
      </c>
      <c r="F358" t="inlineStr">
        <is>
          <t>VÄRMLANDS LÄN</t>
        </is>
      </c>
      <c r="G358" t="inlineStr">
        <is>
          <t>KRISTINEHAMN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45679</v>
      </c>
      <c r="E359" s="1" t="n">
        <v>46299</v>
      </c>
      <c r="F359" t="inlineStr">
        <is>
          <t>VÄRMLANDS LÄN</t>
        </is>
      </c>
      <c r="G359" t="inlineStr">
        <is>
          <t>KRISTINEHAMN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46299</v>
      </c>
      <c r="F360" t="inlineStr">
        <is>
          <t>VÄRMLANDS LÄN</t>
        </is>
      </c>
      <c r="G360" t="inlineStr">
        <is>
          <t>KRISTINEHAMN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45379</v>
      </c>
      <c r="E361" s="1" t="n">
        <v>46299</v>
      </c>
      <c r="F361" t="inlineStr">
        <is>
          <t>VÄRMLANDS LÄN</t>
        </is>
      </c>
      <c r="G361" t="inlineStr">
        <is>
          <t>KRISTINEHAMN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31829-2026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46230</v>
      </c>
      <c r="E362" s="1" t="n">
        <v>46299</v>
      </c>
      <c r="F362" t="inlineStr">
        <is>
          <t>VÄRMLANDS LÄN</t>
        </is>
      </c>
      <c r="G362" t="inlineStr">
        <is>
          <t>KRISTINEHAMN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37180-2026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46274</v>
      </c>
      <c r="E363" s="1" t="n">
        <v>46299</v>
      </c>
      <c r="F363" t="inlineStr">
        <is>
          <t>VÄRMLANDS LÄN</t>
        </is>
      </c>
      <c r="G363" t="inlineStr">
        <is>
          <t>KRISTINEHAMN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46274</v>
      </c>
      <c r="E364" s="1" t="n">
        <v>46299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38080-2026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46281</v>
      </c>
      <c r="E365" s="1" t="n">
        <v>46299</v>
      </c>
      <c r="F365" t="inlineStr">
        <is>
          <t>VÄRMLANDS LÄN</t>
        </is>
      </c>
      <c r="G365" t="inlineStr">
        <is>
          <t>KRISTINEHAMN</t>
        </is>
      </c>
      <c r="I365" t="n">
        <v>6.4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46281</v>
      </c>
      <c r="E366" s="1" t="n">
        <v>46299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Sveaskog</t>
        </is>
      </c>
      <c r="I366" t="n">
        <v>14.1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54690-2022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44883</v>
      </c>
      <c r="E367" s="1" t="n">
        <v>46299</v>
      </c>
      <c r="F367" t="inlineStr">
        <is>
          <t>VÄRMLANDS LÄN</t>
        </is>
      </c>
      <c r="G367" t="inlineStr">
        <is>
          <t>KRISTINEHAMN</t>
        </is>
      </c>
      <c r="I367" t="n">
        <v>11.1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44085-2023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46299</v>
      </c>
      <c r="F368" t="inlineStr">
        <is>
          <t>VÄRMLANDS LÄN</t>
        </is>
      </c>
      <c r="G368" t="inlineStr">
        <is>
          <t>KRISTINEHAMN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46282</v>
      </c>
      <c r="E369" s="1" t="n">
        <v>46299</v>
      </c>
      <c r="F369" t="inlineStr">
        <is>
          <t>VÄRMLANDS LÄN</t>
        </is>
      </c>
      <c r="G369" t="inlineStr">
        <is>
          <t>KRISTINEHAMN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22896-2023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45072</v>
      </c>
      <c r="E370" s="1" t="n">
        <v>46299</v>
      </c>
      <c r="F370" t="inlineStr">
        <is>
          <t>VÄRMLANDS LÄN</t>
        </is>
      </c>
      <c r="G370" t="inlineStr">
        <is>
          <t>KRISTINEHAMN</t>
        </is>
      </c>
      <c r="H370" t="inlineStr">
        <is>
          <t>Bergvik skog väst AB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38486-2026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46282</v>
      </c>
      <c r="E371" s="1" t="n">
        <v>46299</v>
      </c>
      <c r="F371" t="inlineStr">
        <is>
          <t>VÄRMLANDS LÄN</t>
        </is>
      </c>
      <c r="G371" t="inlineStr">
        <is>
          <t>KRISTINEHAMN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38485-2026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46282</v>
      </c>
      <c r="E372" s="1" t="n">
        <v>46299</v>
      </c>
      <c r="F372" t="inlineStr">
        <is>
          <t>VÄRMLANDS LÄN</t>
        </is>
      </c>
      <c r="G372" t="inlineStr">
        <is>
          <t>KRISTINEHAMN</t>
        </is>
      </c>
      <c r="I372" t="n">
        <v>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10032-2023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44985</v>
      </c>
      <c r="E373" s="1" t="n">
        <v>46299</v>
      </c>
      <c r="F373" t="inlineStr">
        <is>
          <t>VÄRMLANDS LÄN</t>
        </is>
      </c>
      <c r="G373" t="inlineStr">
        <is>
          <t>KRISTINEHAMN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38840-2026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46286</v>
      </c>
      <c r="E374" s="1" t="n">
        <v>46299</v>
      </c>
      <c r="F374" t="inlineStr">
        <is>
          <t>VÄRMLANDS LÄN</t>
        </is>
      </c>
      <c r="G374" t="inlineStr">
        <is>
          <t>KRISTINEHAMN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47467-2023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46299</v>
      </c>
      <c r="F375" t="inlineStr">
        <is>
          <t>VÄRMLANDS LÄN</t>
        </is>
      </c>
      <c r="G375" t="inlineStr">
        <is>
          <t>KRISTINEHAMN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47091-2022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44851</v>
      </c>
      <c r="E376" s="1" t="n">
        <v>46299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Kommuner</t>
        </is>
      </c>
      <c r="I376" t="n">
        <v>8.6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42597-2023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45181</v>
      </c>
      <c r="E377" s="1" t="n">
        <v>46299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25570-2023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45082</v>
      </c>
      <c r="E378" s="1" t="n">
        <v>46299</v>
      </c>
      <c r="F378" t="inlineStr">
        <is>
          <t>VÄRMLANDS LÄN</t>
        </is>
      </c>
      <c r="G378" t="inlineStr">
        <is>
          <t>KRISTINEHAMN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12319-2022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44637</v>
      </c>
      <c r="E379" s="1" t="n">
        <v>46299</v>
      </c>
      <c r="F379" t="inlineStr">
        <is>
          <t>VÄRMLANDS LÄN</t>
        </is>
      </c>
      <c r="G379" t="inlineStr">
        <is>
          <t>KRISTINEHAMN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32624-2024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45513</v>
      </c>
      <c r="E380" s="1" t="n">
        <v>46299</v>
      </c>
      <c r="F380" t="inlineStr">
        <is>
          <t>VÄRMLANDS LÄN</t>
        </is>
      </c>
      <c r="G380" t="inlineStr">
        <is>
          <t>KRISTINEHAMN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46299</v>
      </c>
      <c r="F381" t="inlineStr">
        <is>
          <t>VÄRMLANDS LÄN</t>
        </is>
      </c>
      <c r="G381" t="inlineStr">
        <is>
          <t>KRISTINEHAMN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13293-2024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45386</v>
      </c>
      <c r="E382" s="1" t="n">
        <v>46299</v>
      </c>
      <c r="F382" t="inlineStr">
        <is>
          <t>VÄRMLANDS LÄN</t>
        </is>
      </c>
      <c r="G382" t="inlineStr">
        <is>
          <t>KRISTINEHAMN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28759-2022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44749</v>
      </c>
      <c r="E383" s="1" t="n">
        <v>46299</v>
      </c>
      <c r="F383" t="inlineStr">
        <is>
          <t>VÄRMLANDS LÄN</t>
        </is>
      </c>
      <c r="G383" t="inlineStr">
        <is>
          <t>KRISTINEHAMN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44985</v>
      </c>
      <c r="E384" s="1" t="n">
        <v>46299</v>
      </c>
      <c r="F384" t="inlineStr">
        <is>
          <t>VÄRMLANDS LÄN</t>
        </is>
      </c>
      <c r="G384" t="inlineStr">
        <is>
          <t>KRISTINEHAMN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46299</v>
      </c>
      <c r="F385" t="inlineStr">
        <is>
          <t>VÄRMLANDS LÄN</t>
        </is>
      </c>
      <c r="G385" t="inlineStr">
        <is>
          <t>KRISTINEHAMN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44987</v>
      </c>
      <c r="E386" s="1" t="n">
        <v>46299</v>
      </c>
      <c r="F386" t="inlineStr">
        <is>
          <t>VÄRMLANDS LÄN</t>
        </is>
      </c>
      <c r="G386" t="inlineStr">
        <is>
          <t>KRISTINEHAMN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62453-2022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44924</v>
      </c>
      <c r="E387" s="1" t="n">
        <v>46299</v>
      </c>
      <c r="F387" t="inlineStr">
        <is>
          <t>VÄRMLANDS LÄN</t>
        </is>
      </c>
      <c r="G387" t="inlineStr">
        <is>
          <t>KRISTINEHAMN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48405-2023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45201</v>
      </c>
      <c r="E388" s="1" t="n">
        <v>46299</v>
      </c>
      <c r="F388" t="inlineStr">
        <is>
          <t>VÄRMLANDS LÄN</t>
        </is>
      </c>
      <c r="G388" t="inlineStr">
        <is>
          <t>KRISTINEHAMN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27939-2023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45098</v>
      </c>
      <c r="E389" s="1" t="n">
        <v>46299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40141-2026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46299</v>
      </c>
      <c r="F390" t="inlineStr">
        <is>
          <t>VÄRMLANDS LÄN</t>
        </is>
      </c>
      <c r="G390" t="inlineStr">
        <is>
          <t>KRISTINEHAMN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12041-2024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45377</v>
      </c>
      <c r="E391" s="1" t="n">
        <v>46299</v>
      </c>
      <c r="F391" t="inlineStr">
        <is>
          <t>VÄRMLANDS LÄN</t>
        </is>
      </c>
      <c r="G391" t="inlineStr">
        <is>
          <t>KRISTINEHAMN</t>
        </is>
      </c>
      <c r="I391" t="n">
        <v>13.2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46299</v>
      </c>
      <c r="F392" t="inlineStr">
        <is>
          <t>VÄRMLANDS LÄN</t>
        </is>
      </c>
      <c r="G392" t="inlineStr">
        <is>
          <t>KRISTINEHAMN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45366</v>
      </c>
      <c r="E393" s="1" t="n">
        <v>46299</v>
      </c>
      <c r="F393" t="inlineStr">
        <is>
          <t>VÄRMLANDS LÄN</t>
        </is>
      </c>
      <c r="G393" t="inlineStr">
        <is>
          <t>KRISTINEHAMN</t>
        </is>
      </c>
      <c r="I393" t="n">
        <v>19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62623-2023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45267</v>
      </c>
      <c r="E394" s="1" t="n">
        <v>46299</v>
      </c>
      <c r="F394" t="inlineStr">
        <is>
          <t>VÄRMLANDS LÄN</t>
        </is>
      </c>
      <c r="G394" t="inlineStr">
        <is>
          <t>KRISTINEHAMN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45266</v>
      </c>
      <c r="E395" s="1" t="n">
        <v>46299</v>
      </c>
      <c r="F395" t="inlineStr">
        <is>
          <t>VÄRMLANDS LÄN</t>
        </is>
      </c>
      <c r="G395" t="inlineStr">
        <is>
          <t>KRISTINEHAMN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62032-2024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45656</v>
      </c>
      <c r="E396" s="1" t="n">
        <v>46299</v>
      </c>
      <c r="F396" t="inlineStr">
        <is>
          <t>VÄRMLANDS LÄN</t>
        </is>
      </c>
      <c r="G396" t="inlineStr">
        <is>
          <t>KRISTINEHAMN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59144-2021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44490</v>
      </c>
      <c r="E397" s="1" t="n">
        <v>46299</v>
      </c>
      <c r="F397" t="inlineStr">
        <is>
          <t>VÄRMLANDS LÄN</t>
        </is>
      </c>
      <c r="G397" t="inlineStr">
        <is>
          <t>KRISTINEHAMN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4180-2024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46299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14183-2022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44651</v>
      </c>
      <c r="E399" s="1" t="n">
        <v>46299</v>
      </c>
      <c r="F399" t="inlineStr">
        <is>
          <t>VÄRMLANDS LÄN</t>
        </is>
      </c>
      <c r="G399" t="inlineStr">
        <is>
          <t>KRISTINEHAMN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46287</v>
      </c>
      <c r="E400" s="1" t="n">
        <v>46299</v>
      </c>
      <c r="F400" t="inlineStr">
        <is>
          <t>VÄRMLANDS LÄN</t>
        </is>
      </c>
      <c r="G400" t="inlineStr">
        <is>
          <t>KRISTINEHAMN</t>
        </is>
      </c>
      <c r="I400" t="n">
        <v>10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12467-2024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45379</v>
      </c>
      <c r="E401" s="1" t="n">
        <v>46299</v>
      </c>
      <c r="F401" t="inlineStr">
        <is>
          <t>VÄRMLANDS LÄN</t>
        </is>
      </c>
      <c r="G401" t="inlineStr">
        <is>
          <t>KRISTINEHAMN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60567-2024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45644</v>
      </c>
      <c r="E402" s="1" t="n">
        <v>46299</v>
      </c>
      <c r="F402" t="inlineStr">
        <is>
          <t>VÄRMLANDS LÄN</t>
        </is>
      </c>
      <c r="G402" t="inlineStr">
        <is>
          <t>KRISTINEHAMN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23705-2022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44722</v>
      </c>
      <c r="E403" s="1" t="n">
        <v>46299</v>
      </c>
      <c r="F403" t="inlineStr">
        <is>
          <t>VÄRMLANDS LÄN</t>
        </is>
      </c>
      <c r="G403" t="inlineStr">
        <is>
          <t>KRISTINEHAMN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30986-2026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46213</v>
      </c>
      <c r="E404" s="1" t="n">
        <v>46299</v>
      </c>
      <c r="F404" t="inlineStr">
        <is>
          <t>VÄRMLANDS LÄN</t>
        </is>
      </c>
      <c r="G404" t="inlineStr">
        <is>
          <t>KRISTINEHAMN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45685</v>
      </c>
      <c r="E405" s="1" t="n">
        <v>46299</v>
      </c>
      <c r="F405" t="inlineStr">
        <is>
          <t>VÄRMLANDS LÄN</t>
        </is>
      </c>
      <c r="G405" t="inlineStr">
        <is>
          <t>KRISTINEHAMN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45705</v>
      </c>
      <c r="E406" s="1" t="n">
        <v>46299</v>
      </c>
      <c r="F406" t="inlineStr">
        <is>
          <t>VÄRMLANDS LÄN</t>
        </is>
      </c>
      <c r="G406" t="inlineStr">
        <is>
          <t>KRISTINEHAMN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45119</v>
      </c>
      <c r="E407" s="1" t="n">
        <v>46299</v>
      </c>
      <c r="F407" t="inlineStr">
        <is>
          <t>VÄRMLANDS LÄN</t>
        </is>
      </c>
      <c r="G407" t="inlineStr">
        <is>
          <t>KRISTINEHAMN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70126-2021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44533</v>
      </c>
      <c r="E408" s="1" t="n">
        <v>46299</v>
      </c>
      <c r="F408" t="inlineStr">
        <is>
          <t>VÄRMLANDS LÄN</t>
        </is>
      </c>
      <c r="G408" t="inlineStr">
        <is>
          <t>KRISTINEHAMN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46526-2022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44847</v>
      </c>
      <c r="E409" s="1" t="n">
        <v>46299</v>
      </c>
      <c r="F409" t="inlineStr">
        <is>
          <t>VÄRMLANDS LÄN</t>
        </is>
      </c>
      <c r="G409" t="inlineStr">
        <is>
          <t>KRISTINEHAMN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49245-2024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45595</v>
      </c>
      <c r="E410" s="1" t="n">
        <v>46299</v>
      </c>
      <c r="F410" t="inlineStr">
        <is>
          <t>VÄRMLANDS LÄN</t>
        </is>
      </c>
      <c r="G410" t="inlineStr">
        <is>
          <t>KRISTINEHAMN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25494-2023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45081</v>
      </c>
      <c r="E411" s="1" t="n">
        <v>46299</v>
      </c>
      <c r="F411" t="inlineStr">
        <is>
          <t>VÄRMLANDS LÄN</t>
        </is>
      </c>
      <c r="G411" t="inlineStr">
        <is>
          <t>KRISTINEHAMN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6933-2025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46299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Naturvårdsverket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44994</v>
      </c>
      <c r="E413" s="1" t="n">
        <v>46299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45243</v>
      </c>
      <c r="E414" s="1" t="n">
        <v>46299</v>
      </c>
      <c r="F414" t="inlineStr">
        <is>
          <t>VÄRMLANDS LÄN</t>
        </is>
      </c>
      <c r="G414" t="inlineStr">
        <is>
          <t>KRISTINEHAMN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44480</v>
      </c>
      <c r="E415" s="1" t="n">
        <v>46299</v>
      </c>
      <c r="F415" t="inlineStr">
        <is>
          <t>VÄRMLANDS LÄN</t>
        </is>
      </c>
      <c r="G415" t="inlineStr">
        <is>
          <t>KRISTINEHAMN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45315</v>
      </c>
      <c r="E416" s="1" t="n">
        <v>46299</v>
      </c>
      <c r="F416" t="inlineStr">
        <is>
          <t>VÄRMLANDS LÄN</t>
        </is>
      </c>
      <c r="G416" t="inlineStr">
        <is>
          <t>KRISTINEHAMN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7222-2024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45344</v>
      </c>
      <c r="E417" s="1" t="n">
        <v>46299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Naturvårdsverket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65050-2023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45282</v>
      </c>
      <c r="E418" s="1" t="n">
        <v>46299</v>
      </c>
      <c r="F418" t="inlineStr">
        <is>
          <t>VÄRMLANDS LÄN</t>
        </is>
      </c>
      <c r="G418" t="inlineStr">
        <is>
          <t>KRISTINEHAMN</t>
        </is>
      </c>
      <c r="I418" t="n">
        <v>9.6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56661-2023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46299</v>
      </c>
      <c r="F419" t="inlineStr">
        <is>
          <t>VÄRMLANDS LÄN</t>
        </is>
      </c>
      <c r="G419" t="inlineStr">
        <is>
          <t>KRISTINEHAMN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56664-2023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45243</v>
      </c>
      <c r="E420" s="1" t="n">
        <v>46299</v>
      </c>
      <c r="F420" t="inlineStr">
        <is>
          <t>VÄRMLANDS LÄN</t>
        </is>
      </c>
      <c r="G420" t="inlineStr">
        <is>
          <t>KRISTINEHAMN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33464-2023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45118</v>
      </c>
      <c r="E421" s="1" t="n">
        <v>46299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19292-2025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45769</v>
      </c>
      <c r="E422" s="1" t="n">
        <v>46299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Kyrkan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37742-2023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45159</v>
      </c>
      <c r="E423" s="1" t="n">
        <v>46299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56697-2022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44888</v>
      </c>
      <c r="E424" s="1" t="n">
        <v>46299</v>
      </c>
      <c r="F424" t="inlineStr">
        <is>
          <t>VÄRMLANDS LÄN</t>
        </is>
      </c>
      <c r="G424" t="inlineStr">
        <is>
          <t>KRISTINEHAMN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23707-2022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46299</v>
      </c>
      <c r="F425" t="inlineStr">
        <is>
          <t>VÄRMLANDS LÄN</t>
        </is>
      </c>
      <c r="G425" t="inlineStr">
        <is>
          <t>KRISTINEHAMN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12395-2024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45379</v>
      </c>
      <c r="E426" s="1" t="n">
        <v>46299</v>
      </c>
      <c r="F426" t="inlineStr">
        <is>
          <t>VÄRMLANDS LÄN</t>
        </is>
      </c>
      <c r="G426" t="inlineStr">
        <is>
          <t>KRISTINEHAMN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28834-2024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45478</v>
      </c>
      <c r="E427" s="1" t="n">
        <v>46299</v>
      </c>
      <c r="F427" t="inlineStr">
        <is>
          <t>VÄRMLANDS LÄN</t>
        </is>
      </c>
      <c r="G427" t="inlineStr">
        <is>
          <t>KRISTINEHAMN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44770</v>
      </c>
      <c r="E428" s="1" t="n">
        <v>46299</v>
      </c>
      <c r="F428" t="inlineStr">
        <is>
          <t>VÄRMLANDS LÄN</t>
        </is>
      </c>
      <c r="G428" t="inlineStr">
        <is>
          <t>KRISTINEHAMN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45701</v>
      </c>
      <c r="E429" s="1" t="n">
        <v>46299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21602-2025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45783</v>
      </c>
      <c r="E430" s="1" t="n">
        <v>46299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59190-2024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46299</v>
      </c>
      <c r="F431" t="inlineStr">
        <is>
          <t>VÄRMLANDS LÄN</t>
        </is>
      </c>
      <c r="G431" t="inlineStr">
        <is>
          <t>KRISTINEHAMN</t>
        </is>
      </c>
      <c r="I431" t="n">
        <v>8.300000000000001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1219-2020</t>
        </is>
      </c>
      <c r="B432" t="inlineStr">
        <is>
          <t>samrådsanmälan</t>
        </is>
      </c>
      <c r="C432" t="n">
        <v/>
      </c>
      <c r="D432" s="1" t="n">
        <v>43980</v>
      </c>
      <c r="E432" s="1" t="n">
        <v>46299</v>
      </c>
      <c r="F432" t="inlineStr">
        <is>
          <t>VÄRMLANDS LÄN</t>
        </is>
      </c>
      <c r="G432" t="inlineStr">
        <is>
          <t>KRISTINEHAMN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4147-2023</t>
        </is>
      </c>
      <c r="B433" t="inlineStr">
        <is>
          <t>samrådsanmälan</t>
        </is>
      </c>
      <c r="C433" t="inlineStr">
        <is>
          <t>Skogsgödsling</t>
        </is>
      </c>
      <c r="D433" s="1" t="n">
        <v>45247</v>
      </c>
      <c r="E433" s="1" t="n">
        <v>46299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Naturvårdsverket</t>
        </is>
      </c>
      <c r="I433" t="n">
        <v>13.5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4149-2023</t>
        </is>
      </c>
      <c r="B434" t="inlineStr">
        <is>
          <t>samrådsanmälan</t>
        </is>
      </c>
      <c r="C434" t="inlineStr">
        <is>
          <t>Skogsgödsling</t>
        </is>
      </c>
      <c r="D434" s="1" t="n">
        <v>45247</v>
      </c>
      <c r="E434" s="1" t="n">
        <v>46299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Naturvårdsverket</t>
        </is>
      </c>
      <c r="I434" t="n">
        <v>9.5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1815-2022</t>
        </is>
      </c>
      <c r="B435" t="inlineStr">
        <is>
          <t>samrådsanmälan</t>
        </is>
      </c>
      <c r="C435" t="inlineStr">
        <is>
          <t>Åtgärd i nyckelbiotop</t>
        </is>
      </c>
      <c r="D435" s="1" t="n">
        <v>44657</v>
      </c>
      <c r="E435" s="1" t="n">
        <v>46299</v>
      </c>
      <c r="F435" t="inlineStr">
        <is>
          <t>VÄRMLANDS LÄN</t>
        </is>
      </c>
      <c r="G435" t="inlineStr">
        <is>
          <t>KRISTINEHAMN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2254-2023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45103</v>
      </c>
      <c r="E436" s="1" t="n">
        <v>46299</v>
      </c>
      <c r="F436" t="inlineStr">
        <is>
          <t>VÄRMLANDS LÄN</t>
        </is>
      </c>
      <c r="G436" t="inlineStr">
        <is>
          <t>KRISTINEHAMN</t>
        </is>
      </c>
      <c r="I436" t="n">
        <v>51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2879-2022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44711</v>
      </c>
      <c r="E437" s="1" t="n">
        <v>46299</v>
      </c>
      <c r="F437" t="inlineStr">
        <is>
          <t>VÄRMLANDS LÄN</t>
        </is>
      </c>
      <c r="G437" t="inlineStr">
        <is>
          <t>KRISTINEHAMN</t>
        </is>
      </c>
      <c r="I437" t="n">
        <v>25.9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1899-2024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45442</v>
      </c>
      <c r="E438" s="1" t="n">
        <v>46299</v>
      </c>
      <c r="F438" t="inlineStr">
        <is>
          <t>VÄRMLANDS LÄN</t>
        </is>
      </c>
      <c r="G438" t="inlineStr">
        <is>
          <t>KRISTINEHAMN</t>
        </is>
      </c>
      <c r="I438" t="n">
        <v>21.4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2301-2024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45463</v>
      </c>
      <c r="E439" s="1" t="n">
        <v>46299</v>
      </c>
      <c r="F439" t="inlineStr">
        <is>
          <t>VÄRMLANDS LÄN</t>
        </is>
      </c>
      <c r="G439" t="inlineStr">
        <is>
          <t>KRISTINEHAMN</t>
        </is>
      </c>
      <c r="H439" t="inlineStr">
        <is>
          <t>Bergvik skog väst AB</t>
        </is>
      </c>
      <c r="I439" t="n">
        <v>28.1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2553-2024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46299</v>
      </c>
      <c r="F440" t="inlineStr">
        <is>
          <t>VÄRMLANDS LÄN</t>
        </is>
      </c>
      <c r="G440" t="inlineStr">
        <is>
          <t>KRISTINEHAMN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3378-2024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46299</v>
      </c>
      <c r="F441" t="inlineStr">
        <is>
          <t>VÄRMLANDS LÄN</t>
        </is>
      </c>
      <c r="G441" t="inlineStr">
        <is>
          <t>KRISTINEHAMN</t>
        </is>
      </c>
      <c r="I441" t="n">
        <v>53.7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2393-2022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44690</v>
      </c>
      <c r="E442" s="1" t="n">
        <v>46299</v>
      </c>
      <c r="F442" t="inlineStr">
        <is>
          <t>VÄRMLANDS LÄN</t>
        </is>
      </c>
      <c r="G442" t="inlineStr">
        <is>
          <t>KRISTINEHAMN</t>
        </is>
      </c>
      <c r="I442" t="n">
        <v>51.7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1903-2024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46299</v>
      </c>
      <c r="F443" t="inlineStr">
        <is>
          <t>VÄRMLANDS LÄN</t>
        </is>
      </c>
      <c r="G443" t="inlineStr">
        <is>
          <t>KRISTINEHAMN</t>
        </is>
      </c>
      <c r="I443" t="n">
        <v>104.3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717-2023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44985</v>
      </c>
      <c r="E444" s="1" t="n">
        <v>46299</v>
      </c>
      <c r="F444" t="inlineStr">
        <is>
          <t>VÄRMLANDS LÄN</t>
        </is>
      </c>
      <c r="G444" t="inlineStr">
        <is>
          <t>KRISTINEHAMN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1412-2024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45414</v>
      </c>
      <c r="E445" s="1" t="n">
        <v>46299</v>
      </c>
      <c r="F445" t="inlineStr">
        <is>
          <t>VÄRMLANDS LÄN</t>
        </is>
      </c>
      <c r="G445" t="inlineStr">
        <is>
          <t>KRISTINEHAMN</t>
        </is>
      </c>
      <c r="I445" t="n">
        <v>42.9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1900-2024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46299</v>
      </c>
      <c r="F446" t="inlineStr">
        <is>
          <t>VÄRMLANDS LÄN</t>
        </is>
      </c>
      <c r="G446" t="inlineStr">
        <is>
          <t>KRISTINEHAMN</t>
        </is>
      </c>
      <c r="I446" t="n">
        <v>63.5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3374-2024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45533</v>
      </c>
      <c r="E447" s="1" t="n">
        <v>46299</v>
      </c>
      <c r="F447" t="inlineStr">
        <is>
          <t>VÄRMLANDS LÄN</t>
        </is>
      </c>
      <c r="G447" t="inlineStr">
        <is>
          <t>KRISTINEHAMN</t>
        </is>
      </c>
      <c r="I447" t="n">
        <v>18.3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2464-2023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45118</v>
      </c>
      <c r="E448" s="1" t="n">
        <v>46299</v>
      </c>
      <c r="F448" t="inlineStr">
        <is>
          <t>VÄRMLANDS LÄN</t>
        </is>
      </c>
      <c r="G448" t="inlineStr">
        <is>
          <t>KRISTINEHAMN</t>
        </is>
      </c>
      <c r="I448" t="n">
        <v>42.3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4146-2023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45247</v>
      </c>
      <c r="E449" s="1" t="n">
        <v>46299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Bergvik skog väst AB</t>
        </is>
      </c>
      <c r="I449" t="n">
        <v>11.6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3007-2024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45512</v>
      </c>
      <c r="E450" s="1" t="n">
        <v>46299</v>
      </c>
      <c r="F450" t="inlineStr">
        <is>
          <t>VÄRMLANDS LÄN</t>
        </is>
      </c>
      <c r="G450" t="inlineStr">
        <is>
          <t>KRISTINEHAMN</t>
        </is>
      </c>
      <c r="I450" t="n">
        <v>56.9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1418-2025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45783</v>
      </c>
      <c r="E451" s="1" t="n">
        <v>46299</v>
      </c>
      <c r="F451" t="inlineStr">
        <is>
          <t>VÄRMLANDS LÄN</t>
        </is>
      </c>
      <c r="G451" t="inlineStr">
        <is>
          <t>KRISTINEHAMN</t>
        </is>
      </c>
      <c r="H451" t="inlineStr">
        <is>
          <t>Sveaskog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1546-2025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45792</v>
      </c>
      <c r="E452" s="1" t="n">
        <v>46299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Sveaskog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1698-2025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45805</v>
      </c>
      <c r="E453" s="1" t="n">
        <v>46299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Sveaskog</t>
        </is>
      </c>
      <c r="I453" t="n">
        <v>12.6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121-2026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46040</v>
      </c>
      <c r="E454" s="1" t="n">
        <v>46299</v>
      </c>
      <c r="F454" t="inlineStr">
        <is>
          <t>VÄRMLANDS LÄN</t>
        </is>
      </c>
      <c r="G454" t="inlineStr">
        <is>
          <t>KRISTINEHAMN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865-2026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46106</v>
      </c>
      <c r="E455" s="1" t="n">
        <v>46299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99-2026</t>
        </is>
      </c>
      <c r="B456" t="inlineStr">
        <is>
          <t>samrådsanmälan</t>
        </is>
      </c>
      <c r="C456" t="inlineStr">
        <is>
          <t>Skogsgödsling</t>
        </is>
      </c>
      <c r="D456" s="1" t="n">
        <v>46036</v>
      </c>
      <c r="E456" s="1" t="n">
        <v>46299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Naturvårdsverket</t>
        </is>
      </c>
      <c r="I456" t="n">
        <v>80.8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2026-10-04T01:57:26Z</dcterms:created>
  <dcterms:modified xmlns:dcterms="http://purl.org/dc/terms/" xmlns:xsi="http://www.w3.org/2001/XMLSchema-instance" xsi:type="dcterms:W3CDTF">2026-10-04T01:57:26Z</dcterms:modified>
</cp:coreProperties>
</file>