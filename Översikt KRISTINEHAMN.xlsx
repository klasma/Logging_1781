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46192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46192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46192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46192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46192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46192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45122-2022</t>
        </is>
      </c>
      <c r="B14" s="1" t="n">
        <v>44843</v>
      </c>
      <c r="C14" s="1" t="n">
        <v>46192</v>
      </c>
      <c r="D14" t="inlineStr">
        <is>
          <t>VÄRMLANDS LÄN</t>
        </is>
      </c>
      <c r="E14" t="inlineStr">
        <is>
          <t>KRISTINEHAMN</t>
        </is>
      </c>
      <c r="G14" t="n">
        <v>3.3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Dvärglin</t>
        </is>
      </c>
      <c r="S14">
        <f>HYPERLINK("https://klasma.github.io/Logging_1781/artfynd/A 45122-2022 artfynd.xlsx", "A 45122-2022")</f>
        <v/>
      </c>
      <c r="T14">
        <f>HYPERLINK("https://klasma.github.io/Logging_1781/kartor/A 45122-2022 karta.png", "A 45122-2022")</f>
        <v/>
      </c>
      <c r="V14">
        <f>HYPERLINK("https://klasma.github.io/Logging_1781/klagomål/A 45122-2022 FSC-klagomål.docx", "A 45122-2022")</f>
        <v/>
      </c>
      <c r="W14">
        <f>HYPERLINK("https://klasma.github.io/Logging_1781/klagomålsmail/A 45122-2022 FSC-klagomål mail.docx", "A 45122-2022")</f>
        <v/>
      </c>
      <c r="X14">
        <f>HYPERLINK("https://klasma.github.io/Logging_1781/tillsyn/A 45122-2022 tillsynsbegäran.docx", "A 45122-2022")</f>
        <v/>
      </c>
      <c r="Y14">
        <f>HYPERLINK("https://klasma.github.io/Logging_1781/tillsynsmail/A 45122-2022 tillsynsbegäran mail.docx", "A 45122-2022")</f>
        <v/>
      </c>
    </row>
    <row r="15" ht="15" customHeight="1">
      <c r="A15" t="inlineStr">
        <is>
          <t>A 13025-2023</t>
        </is>
      </c>
      <c r="B15" s="1" t="n">
        <v>45002</v>
      </c>
      <c r="C15" s="1" t="n">
        <v>46192</v>
      </c>
      <c r="D15" t="inlineStr">
        <is>
          <t>VÄRMLANDS LÄN</t>
        </is>
      </c>
      <c r="E15" t="inlineStr">
        <is>
          <t>KRISTINEHAMN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HYPERLINK("https://klasma.github.io/Logging_1781/artfynd/A 13025-2023 artfynd.xlsx", "A 13025-2023")</f>
        <v/>
      </c>
      <c r="T15">
        <f>HYPERLINK("https://klasma.github.io/Logging_1781/kartor/A 13025-2023 karta.png", "A 13025-2023")</f>
        <v/>
      </c>
      <c r="V15">
        <f>HYPERLINK("https://klasma.github.io/Logging_1781/klagomål/A 13025-2023 FSC-klagomål.docx", "A 13025-2023")</f>
        <v/>
      </c>
      <c r="W15">
        <f>HYPERLINK("https://klasma.github.io/Logging_1781/klagomålsmail/A 13025-2023 FSC-klagomål mail.docx", "A 13025-2023")</f>
        <v/>
      </c>
      <c r="X15">
        <f>HYPERLINK("https://klasma.github.io/Logging_1781/tillsyn/A 13025-2023 tillsynsbegäran.docx", "A 13025-2023")</f>
        <v/>
      </c>
      <c r="Y15">
        <f>HYPERLINK("https://klasma.github.io/Logging_1781/tillsynsmail/A 13025-2023 tillsynsbegäran mail.docx", "A 13025-2023")</f>
        <v/>
      </c>
    </row>
    <row r="16" ht="15" customHeight="1">
      <c r="A16" t="inlineStr">
        <is>
          <t>A 59096-2024</t>
        </is>
      </c>
      <c r="B16" s="1" t="n">
        <v>45637</v>
      </c>
      <c r="C16" s="1" t="n">
        <v>46192</v>
      </c>
      <c r="D16" t="inlineStr">
        <is>
          <t>VÄRMLANDS LÄN</t>
        </is>
      </c>
      <c r="E16" t="inlineStr">
        <is>
          <t>KRISTINEHAMN</t>
        </is>
      </c>
      <c r="G16" t="n">
        <v>4.4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59096-2024 artfynd.xlsx", "A 59096-2024")</f>
        <v/>
      </c>
      <c r="T16">
        <f>HYPERLINK("https://klasma.github.io/Logging_1781/kartor/A 59096-2024 karta.png", "A 59096-2024")</f>
        <v/>
      </c>
      <c r="V16">
        <f>HYPERLINK("https://klasma.github.io/Logging_1781/klagomål/A 59096-2024 FSC-klagomål.docx", "A 59096-2024")</f>
        <v/>
      </c>
      <c r="W16">
        <f>HYPERLINK("https://klasma.github.io/Logging_1781/klagomålsmail/A 59096-2024 FSC-klagomål mail.docx", "A 59096-2024")</f>
        <v/>
      </c>
      <c r="X16">
        <f>HYPERLINK("https://klasma.github.io/Logging_1781/tillsyn/A 59096-2024 tillsynsbegäran.docx", "A 59096-2024")</f>
        <v/>
      </c>
      <c r="Y16">
        <f>HYPERLINK("https://klasma.github.io/Logging_1781/tillsynsmail/A 59096-2024 tillsynsbegäran mail.docx", "A 59096-2024")</f>
        <v/>
      </c>
    </row>
    <row r="17" ht="15" customHeight="1">
      <c r="A17" t="inlineStr">
        <is>
          <t>A 53111-2025</t>
        </is>
      </c>
      <c r="B17" s="1" t="n">
        <v>45958</v>
      </c>
      <c r="C17" s="1" t="n">
        <v>46192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13.7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HYPERLINK("https://klasma.github.io/Logging_1781/artfynd/A 53111-2025 artfynd.xlsx", "A 53111-2025")</f>
        <v/>
      </c>
      <c r="T17">
        <f>HYPERLINK("https://klasma.github.io/Logging_1781/kartor/A 53111-2025 karta.png", "A 53111-2025")</f>
        <v/>
      </c>
      <c r="V17">
        <f>HYPERLINK("https://klasma.github.io/Logging_1781/klagomål/A 53111-2025 FSC-klagomål.docx", "A 53111-2025")</f>
        <v/>
      </c>
      <c r="W17">
        <f>HYPERLINK("https://klasma.github.io/Logging_1781/klagomålsmail/A 53111-2025 FSC-klagomål mail.docx", "A 53111-2025")</f>
        <v/>
      </c>
      <c r="X17">
        <f>HYPERLINK("https://klasma.github.io/Logging_1781/tillsyn/A 53111-2025 tillsynsbegäran.docx", "A 53111-2025")</f>
        <v/>
      </c>
      <c r="Y17">
        <f>HYPERLINK("https://klasma.github.io/Logging_1781/tillsynsmail/A 53111-2025 tillsynsbegäran mail.docx", "A 53111-2025")</f>
        <v/>
      </c>
      <c r="Z17">
        <f>HYPERLINK("https://klasma.github.io/Logging_1781/fåglar/A 53111-2025 prioriterade fågelarter.docx", "A 53111-2025")</f>
        <v/>
      </c>
    </row>
    <row r="18" ht="15" customHeight="1">
      <c r="A18" t="inlineStr">
        <is>
          <t>A 53607-2025</t>
        </is>
      </c>
      <c r="B18" s="1" t="n">
        <v>45960</v>
      </c>
      <c r="C18" s="1" t="n">
        <v>46192</v>
      </c>
      <c r="D18" t="inlineStr">
        <is>
          <t>VÄRMLANDS LÄN</t>
        </is>
      </c>
      <c r="E18" t="inlineStr">
        <is>
          <t>KRISTINEHAMN</t>
        </is>
      </c>
      <c r="F18" t="inlineStr">
        <is>
          <t>Naturvårdsverket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HYPERLINK("https://klasma.github.io/Logging_1781/artfynd/A 53607-2025 artfynd.xlsx", "A 53607-2025")</f>
        <v/>
      </c>
      <c r="T18">
        <f>HYPERLINK("https://klasma.github.io/Logging_1781/kartor/A 53607-2025 karta.png", "A 53607-2025")</f>
        <v/>
      </c>
      <c r="V18">
        <f>HYPERLINK("https://klasma.github.io/Logging_1781/klagomål/A 53607-2025 FSC-klagomål.docx", "A 53607-2025")</f>
        <v/>
      </c>
      <c r="W18">
        <f>HYPERLINK("https://klasma.github.io/Logging_1781/klagomålsmail/A 53607-2025 FSC-klagomål mail.docx", "A 53607-2025")</f>
        <v/>
      </c>
      <c r="X18">
        <f>HYPERLINK("https://klasma.github.io/Logging_1781/tillsyn/A 53607-2025 tillsynsbegäran.docx", "A 53607-2025")</f>
        <v/>
      </c>
      <c r="Y18">
        <f>HYPERLINK("https://klasma.github.io/Logging_1781/tillsynsmail/A 53607-2025 tillsynsbegäran mail.docx", "A 53607-2025")</f>
        <v/>
      </c>
    </row>
    <row r="19" ht="15" customHeight="1">
      <c r="A19" t="inlineStr">
        <is>
          <t>A 53630-2025</t>
        </is>
      </c>
      <c r="B19" s="1" t="n">
        <v>45960</v>
      </c>
      <c r="C19" s="1" t="n">
        <v>46192</v>
      </c>
      <c r="D19" t="inlineStr">
        <is>
          <t>VÄRMLANDS LÄN</t>
        </is>
      </c>
      <c r="E19" t="inlineStr">
        <is>
          <t>KRISTINEHAMN</t>
        </is>
      </c>
      <c r="F19" t="inlineStr">
        <is>
          <t>Naturvårdsverket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HYPERLINK("https://klasma.github.io/Logging_1781/artfynd/A 53630-2025 artfynd.xlsx", "A 53630-2025")</f>
        <v/>
      </c>
      <c r="T19">
        <f>HYPERLINK("https://klasma.github.io/Logging_1781/kartor/A 53630-2025 karta.png", "A 53630-2025")</f>
        <v/>
      </c>
      <c r="V19">
        <f>HYPERLINK("https://klasma.github.io/Logging_1781/klagomål/A 53630-2025 FSC-klagomål.docx", "A 53630-2025")</f>
        <v/>
      </c>
      <c r="W19">
        <f>HYPERLINK("https://klasma.github.io/Logging_1781/klagomålsmail/A 53630-2025 FSC-klagomål mail.docx", "A 53630-2025")</f>
        <v/>
      </c>
      <c r="X19">
        <f>HYPERLINK("https://klasma.github.io/Logging_1781/tillsyn/A 53630-2025 tillsynsbegäran.docx", "A 53630-2025")</f>
        <v/>
      </c>
      <c r="Y19">
        <f>HYPERLINK("https://klasma.github.io/Logging_1781/tillsynsmail/A 53630-2025 tillsynsbegäran mail.docx", "A 53630-2025")</f>
        <v/>
      </c>
    </row>
    <row r="20" ht="15" customHeight="1">
      <c r="A20" t="inlineStr">
        <is>
          <t>A 58021-2025</t>
        </is>
      </c>
      <c r="B20" s="1" t="n">
        <v>45982</v>
      </c>
      <c r="C20" s="1" t="n">
        <v>46192</v>
      </c>
      <c r="D20" t="inlineStr">
        <is>
          <t>VÄRMLANDS LÄN</t>
        </is>
      </c>
      <c r="E20" t="inlineStr">
        <is>
          <t>KRISTINEHAMN</t>
        </is>
      </c>
      <c r="G20" t="n">
        <v>4.2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HYPERLINK("https://klasma.github.io/Logging_1781/artfynd/A 58021-2025 artfynd.xlsx", "A 58021-2025")</f>
        <v/>
      </c>
      <c r="T20">
        <f>HYPERLINK("https://klasma.github.io/Logging_1781/kartor/A 58021-2025 karta.png", "A 58021-2025")</f>
        <v/>
      </c>
      <c r="V20">
        <f>HYPERLINK("https://klasma.github.io/Logging_1781/klagomål/A 58021-2025 FSC-klagomål.docx", "A 58021-2025")</f>
        <v/>
      </c>
      <c r="W20">
        <f>HYPERLINK("https://klasma.github.io/Logging_1781/klagomålsmail/A 58021-2025 FSC-klagomål mail.docx", "A 58021-2025")</f>
        <v/>
      </c>
      <c r="X20">
        <f>HYPERLINK("https://klasma.github.io/Logging_1781/tillsyn/A 58021-2025 tillsynsbegäran.docx", "A 58021-2025")</f>
        <v/>
      </c>
      <c r="Y20">
        <f>HYPERLINK("https://klasma.github.io/Logging_1781/tillsynsmail/A 58021-2025 tillsynsbegäran mail.docx", "A 58021-2025")</f>
        <v/>
      </c>
    </row>
    <row r="21" ht="15" customHeight="1">
      <c r="A21" t="inlineStr">
        <is>
          <t>A 3302-2022</t>
        </is>
      </c>
      <c r="B21" s="1" t="n">
        <v>44584</v>
      </c>
      <c r="C21" s="1" t="n">
        <v>46192</v>
      </c>
      <c r="D21" t="inlineStr">
        <is>
          <t>VÄRMLANDS LÄN</t>
        </is>
      </c>
      <c r="E21" t="inlineStr">
        <is>
          <t>KRISTINEHAMN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3302-2022 artfynd.xlsx", "A 3302-2022")</f>
        <v/>
      </c>
      <c r="T21">
        <f>HYPERLINK("https://klasma.github.io/Logging_1781/kartor/A 3302-2022 karta.png", "A 3302-2022")</f>
        <v/>
      </c>
      <c r="V21">
        <f>HYPERLINK("https://klasma.github.io/Logging_1781/klagomål/A 3302-2022 FSC-klagomål.docx", "A 3302-2022")</f>
        <v/>
      </c>
      <c r="W21">
        <f>HYPERLINK("https://klasma.github.io/Logging_1781/klagomålsmail/A 3302-2022 FSC-klagomål mail.docx", "A 3302-2022")</f>
        <v/>
      </c>
      <c r="X21">
        <f>HYPERLINK("https://klasma.github.io/Logging_1781/tillsyn/A 3302-2022 tillsynsbegäran.docx", "A 3302-2022")</f>
        <v/>
      </c>
      <c r="Y21">
        <f>HYPERLINK("https://klasma.github.io/Logging_1781/tillsynsmail/A 3302-2022 tillsynsbegäran mail.docx", "A 3302-2022")</f>
        <v/>
      </c>
    </row>
    <row r="22" ht="15" customHeight="1">
      <c r="A22" t="inlineStr">
        <is>
          <t>A 61238-2025</t>
        </is>
      </c>
      <c r="B22" s="1" t="n">
        <v>46000</v>
      </c>
      <c r="C22" s="1" t="n">
        <v>46192</v>
      </c>
      <c r="D22" t="inlineStr">
        <is>
          <t>VÄRMLANDS LÄN</t>
        </is>
      </c>
      <c r="E22" t="inlineStr">
        <is>
          <t>KRISTINEHAMN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HYPERLINK("https://klasma.github.io/Logging_1781/artfynd/A 61238-2025 artfynd.xlsx", "A 61238-2025")</f>
        <v/>
      </c>
      <c r="T22">
        <f>HYPERLINK("https://klasma.github.io/Logging_1781/kartor/A 61238-2025 karta.png", "A 61238-2025")</f>
        <v/>
      </c>
      <c r="V22">
        <f>HYPERLINK("https://klasma.github.io/Logging_1781/klagomål/A 61238-2025 FSC-klagomål.docx", "A 61238-2025")</f>
        <v/>
      </c>
      <c r="W22">
        <f>HYPERLINK("https://klasma.github.io/Logging_1781/klagomålsmail/A 61238-2025 FSC-klagomål mail.docx", "A 61238-2025")</f>
        <v/>
      </c>
      <c r="X22">
        <f>HYPERLINK("https://klasma.github.io/Logging_1781/tillsyn/A 61238-2025 tillsynsbegäran.docx", "A 61238-2025")</f>
        <v/>
      </c>
      <c r="Y22">
        <f>HYPERLINK("https://klasma.github.io/Logging_1781/tillsynsmail/A 61238-2025 tillsynsbegäran mail.docx", "A 61238-2025")</f>
        <v/>
      </c>
      <c r="Z22">
        <f>HYPERLINK("https://klasma.github.io/Logging_1781/fåglar/A 61238-2025 prioriterade fågelarter.docx", "A 61238-2025")</f>
        <v/>
      </c>
    </row>
    <row r="23" ht="15" customHeight="1">
      <c r="A23" t="inlineStr">
        <is>
          <t>A 8714-2024</t>
        </is>
      </c>
      <c r="B23" s="1" t="n">
        <v>45356</v>
      </c>
      <c r="C23" s="1" t="n">
        <v>46192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Bombmurkla</t>
        </is>
      </c>
      <c r="S23">
        <f>HYPERLINK("https://klasma.github.io/Logging_1781/artfynd/A 8714-2024 artfynd.xlsx", "A 8714-2024")</f>
        <v/>
      </c>
      <c r="T23">
        <f>HYPERLINK("https://klasma.github.io/Logging_1781/kartor/A 8714-2024 karta.png", "A 8714-2024")</f>
        <v/>
      </c>
      <c r="V23">
        <f>HYPERLINK("https://klasma.github.io/Logging_1781/klagomål/A 8714-2024 FSC-klagomål.docx", "A 8714-2024")</f>
        <v/>
      </c>
      <c r="W23">
        <f>HYPERLINK("https://klasma.github.io/Logging_1781/klagomålsmail/A 8714-2024 FSC-klagomål mail.docx", "A 8714-2024")</f>
        <v/>
      </c>
      <c r="X23">
        <f>HYPERLINK("https://klasma.github.io/Logging_1781/tillsyn/A 8714-2024 tillsynsbegäran.docx", "A 8714-2024")</f>
        <v/>
      </c>
      <c r="Y23">
        <f>HYPERLINK("https://klasma.github.io/Logging_1781/tillsynsmail/A 8714-2024 tillsynsbegäran mail.docx", "A 8714-2024")</f>
        <v/>
      </c>
    </row>
    <row r="24" ht="15" customHeight="1">
      <c r="A24" t="inlineStr">
        <is>
          <t>A 60714-2025</t>
        </is>
      </c>
      <c r="B24" s="1" t="n">
        <v>45996</v>
      </c>
      <c r="C24" s="1" t="n">
        <v>46192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HYPERLINK("https://klasma.github.io/Logging_1781/artfynd/A 60714-2025 artfynd.xlsx", "A 60714-2025")</f>
        <v/>
      </c>
      <c r="T24">
        <f>HYPERLINK("https://klasma.github.io/Logging_1781/kartor/A 60714-2025 karta.png", "A 60714-2025")</f>
        <v/>
      </c>
      <c r="V24">
        <f>HYPERLINK("https://klasma.github.io/Logging_1781/klagomål/A 60714-2025 FSC-klagomål.docx", "A 60714-2025")</f>
        <v/>
      </c>
      <c r="W24">
        <f>HYPERLINK("https://klasma.github.io/Logging_1781/klagomålsmail/A 60714-2025 FSC-klagomål mail.docx", "A 60714-2025")</f>
        <v/>
      </c>
      <c r="X24">
        <f>HYPERLINK("https://klasma.github.io/Logging_1781/tillsyn/A 60714-2025 tillsynsbegäran.docx", "A 60714-2025")</f>
        <v/>
      </c>
      <c r="Y24">
        <f>HYPERLINK("https://klasma.github.io/Logging_1781/tillsynsmail/A 60714-2025 tillsynsbegäran mail.docx", "A 60714-2025")</f>
        <v/>
      </c>
    </row>
    <row r="25" ht="15" customHeight="1">
      <c r="A25" t="inlineStr">
        <is>
          <t>A 54771-2022</t>
        </is>
      </c>
      <c r="B25" s="1" t="n">
        <v>44883</v>
      </c>
      <c r="C25" s="1" t="n">
        <v>46192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HYPERLINK("https://klasma.github.io/Logging_1781/artfynd/A 54771-2022 artfynd.xlsx", "A 54771-2022")</f>
        <v/>
      </c>
      <c r="T25">
        <f>HYPERLINK("https://klasma.github.io/Logging_1781/kartor/A 54771-2022 karta.png", "A 54771-2022")</f>
        <v/>
      </c>
      <c r="V25">
        <f>HYPERLINK("https://klasma.github.io/Logging_1781/klagomål/A 54771-2022 FSC-klagomål.docx", "A 54771-2022")</f>
        <v/>
      </c>
      <c r="W25">
        <f>HYPERLINK("https://klasma.github.io/Logging_1781/klagomålsmail/A 54771-2022 FSC-klagomål mail.docx", "A 54771-2022")</f>
        <v/>
      </c>
      <c r="X25">
        <f>HYPERLINK("https://klasma.github.io/Logging_1781/tillsyn/A 54771-2022 tillsynsbegäran.docx", "A 54771-2022")</f>
        <v/>
      </c>
      <c r="Y25">
        <f>HYPERLINK("https://klasma.github.io/Logging_1781/tillsynsmail/A 54771-2022 tillsynsbegäran mail.docx", "A 54771-2022")</f>
        <v/>
      </c>
      <c r="Z25">
        <f>HYPERLINK("https://klasma.github.io/Logging_1781/fåglar/A 54771-2022 prioriterade fågelarter.docx", "A 54771-2022")</f>
        <v/>
      </c>
    </row>
    <row r="26" ht="15" customHeight="1">
      <c r="A26" t="inlineStr">
        <is>
          <t>A 14760-2026</t>
        </is>
      </c>
      <c r="B26" s="1" t="n">
        <v>46101</v>
      </c>
      <c r="C26" s="1" t="n">
        <v>46192</v>
      </c>
      <c r="D26" t="inlineStr">
        <is>
          <t>VÄRMLANDS LÄN</t>
        </is>
      </c>
      <c r="E26" t="inlineStr">
        <is>
          <t>KRISTINEHAMN</t>
        </is>
      </c>
      <c r="F26" t="inlineStr">
        <is>
          <t>Sveaskog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HYPERLINK("https://klasma.github.io/Logging_1781/artfynd/A 14760-2026 artfynd.xlsx", "A 14760-2026")</f>
        <v/>
      </c>
      <c r="T26">
        <f>HYPERLINK("https://klasma.github.io/Logging_1781/kartor/A 14760-2026 karta.png", "A 14760-2026")</f>
        <v/>
      </c>
      <c r="V26">
        <f>HYPERLINK("https://klasma.github.io/Logging_1781/klagomål/A 14760-2026 FSC-klagomål.docx", "A 14760-2026")</f>
        <v/>
      </c>
      <c r="W26">
        <f>HYPERLINK("https://klasma.github.io/Logging_1781/klagomålsmail/A 14760-2026 FSC-klagomål mail.docx", "A 14760-2026")</f>
        <v/>
      </c>
      <c r="X26">
        <f>HYPERLINK("https://klasma.github.io/Logging_1781/tillsyn/A 14760-2026 tillsynsbegäran.docx", "A 14760-2026")</f>
        <v/>
      </c>
      <c r="Y26">
        <f>HYPERLINK("https://klasma.github.io/Logging_1781/tillsynsmail/A 14760-2026 tillsynsbegäran mail.docx", "A 14760-2026")</f>
        <v/>
      </c>
    </row>
    <row r="27" ht="15" customHeight="1">
      <c r="A27" t="inlineStr">
        <is>
          <t>A 14762-2026</t>
        </is>
      </c>
      <c r="B27" s="1" t="n">
        <v>46101</v>
      </c>
      <c r="C27" s="1" t="n">
        <v>46192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HYPERLINK("https://klasma.github.io/Logging_1781/artfynd/A 14762-2026 artfynd.xlsx", "A 14762-2026")</f>
        <v/>
      </c>
      <c r="T27">
        <f>HYPERLINK("https://klasma.github.io/Logging_1781/kartor/A 14762-2026 karta.png", "A 14762-2026")</f>
        <v/>
      </c>
      <c r="V27">
        <f>HYPERLINK("https://klasma.github.io/Logging_1781/klagomål/A 14762-2026 FSC-klagomål.docx", "A 14762-2026")</f>
        <v/>
      </c>
      <c r="W27">
        <f>HYPERLINK("https://klasma.github.io/Logging_1781/klagomålsmail/A 14762-2026 FSC-klagomål mail.docx", "A 14762-2026")</f>
        <v/>
      </c>
      <c r="X27">
        <f>HYPERLINK("https://klasma.github.io/Logging_1781/tillsyn/A 14762-2026 tillsynsbegäran.docx", "A 14762-2026")</f>
        <v/>
      </c>
      <c r="Y27">
        <f>HYPERLINK("https://klasma.github.io/Logging_1781/tillsynsmail/A 14762-2026 tillsynsbegäran mail.docx", "A 14762-2026")</f>
        <v/>
      </c>
    </row>
    <row r="28" ht="15" customHeight="1">
      <c r="A28" t="inlineStr">
        <is>
          <t>A 25888-2025</t>
        </is>
      </c>
      <c r="B28" s="1" t="n">
        <v>45804</v>
      </c>
      <c r="C28" s="1" t="n">
        <v>46192</v>
      </c>
      <c r="D28" t="inlineStr">
        <is>
          <t>VÄRMLANDS LÄN</t>
        </is>
      </c>
      <c r="E28" t="inlineStr">
        <is>
          <t>KRISTINEHAMN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HYPERLINK("https://klasma.github.io/Logging_1781/artfynd/A 25888-2025 artfynd.xlsx", "A 25888-2025")</f>
        <v/>
      </c>
      <c r="T28">
        <f>HYPERLINK("https://klasma.github.io/Logging_1781/kartor/A 25888-2025 karta.png", "A 25888-2025")</f>
        <v/>
      </c>
      <c r="V28">
        <f>HYPERLINK("https://klasma.github.io/Logging_1781/klagomål/A 25888-2025 FSC-klagomål.docx", "A 25888-2025")</f>
        <v/>
      </c>
      <c r="W28">
        <f>HYPERLINK("https://klasma.github.io/Logging_1781/klagomålsmail/A 25888-2025 FSC-klagomål mail.docx", "A 25888-2025")</f>
        <v/>
      </c>
      <c r="X28">
        <f>HYPERLINK("https://klasma.github.io/Logging_1781/tillsyn/A 25888-2025 tillsynsbegäran.docx", "A 25888-2025")</f>
        <v/>
      </c>
      <c r="Y28">
        <f>HYPERLINK("https://klasma.github.io/Logging_1781/tillsynsmail/A 25888-2025 tillsynsbegäran mail.docx", "A 25888-2025")</f>
        <v/>
      </c>
      <c r="Z28">
        <f>HYPERLINK("https://klasma.github.io/Logging_1781/fåglar/A 25888-2025 prioriterade fågelarter.docx", "A 25888-2025")</f>
        <v/>
      </c>
    </row>
    <row r="29" ht="15" customHeight="1">
      <c r="A29" t="inlineStr">
        <is>
          <t>A 12593-2024</t>
        </is>
      </c>
      <c r="B29" s="1" t="n">
        <v>45380</v>
      </c>
      <c r="C29" s="1" t="n">
        <v>46192</v>
      </c>
      <c r="D29" t="inlineStr">
        <is>
          <t>VÄRMLANDS LÄN</t>
        </is>
      </c>
      <c r="E29" t="inlineStr">
        <is>
          <t>KRISTINEHAMN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Bombmurkla</t>
        </is>
      </c>
      <c r="S29">
        <f>HYPERLINK("https://klasma.github.io/Logging_1781/artfynd/A 12593-2024 artfynd.xlsx", "A 12593-2024")</f>
        <v/>
      </c>
      <c r="T29">
        <f>HYPERLINK("https://klasma.github.io/Logging_1781/kartor/A 12593-2024 karta.png", "A 12593-2024")</f>
        <v/>
      </c>
      <c r="V29">
        <f>HYPERLINK("https://klasma.github.io/Logging_1781/klagomål/A 12593-2024 FSC-klagomål.docx", "A 12593-2024")</f>
        <v/>
      </c>
      <c r="W29">
        <f>HYPERLINK("https://klasma.github.io/Logging_1781/klagomålsmail/A 12593-2024 FSC-klagomål mail.docx", "A 12593-2024")</f>
        <v/>
      </c>
      <c r="X29">
        <f>HYPERLINK("https://klasma.github.io/Logging_1781/tillsyn/A 12593-2024 tillsynsbegäran.docx", "A 12593-2024")</f>
        <v/>
      </c>
      <c r="Y29">
        <f>HYPERLINK("https://klasma.github.io/Logging_1781/tillsynsmail/A 12593-2024 tillsynsbegäran mail.docx", "A 12593-2024")</f>
        <v/>
      </c>
    </row>
    <row r="30" ht="15" customHeight="1">
      <c r="A30" t="inlineStr">
        <is>
          <t>A 28394-2025</t>
        </is>
      </c>
      <c r="B30" s="1" t="n">
        <v>45819</v>
      </c>
      <c r="C30" s="1" t="n">
        <v>46192</v>
      </c>
      <c r="D30" t="inlineStr">
        <is>
          <t>VÄRMLANDS LÄN</t>
        </is>
      </c>
      <c r="E30" t="inlineStr">
        <is>
          <t>KRISTINEHAMN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 vårtrattskivling</t>
        </is>
      </c>
      <c r="S30">
        <f>HYPERLINK("https://klasma.github.io/Logging_1781/artfynd/A 28394-2025 artfynd.xlsx", "A 28394-2025")</f>
        <v/>
      </c>
      <c r="T30">
        <f>HYPERLINK("https://klasma.github.io/Logging_1781/kartor/A 28394-2025 karta.png", "A 28394-2025")</f>
        <v/>
      </c>
      <c r="V30">
        <f>HYPERLINK("https://klasma.github.io/Logging_1781/klagomål/A 28394-2025 FSC-klagomål.docx", "A 28394-2025")</f>
        <v/>
      </c>
      <c r="W30">
        <f>HYPERLINK("https://klasma.github.io/Logging_1781/klagomålsmail/A 28394-2025 FSC-klagomål mail.docx", "A 28394-2025")</f>
        <v/>
      </c>
      <c r="X30">
        <f>HYPERLINK("https://klasma.github.io/Logging_1781/tillsyn/A 28394-2025 tillsynsbegäran.docx", "A 28394-2025")</f>
        <v/>
      </c>
      <c r="Y30">
        <f>HYPERLINK("https://klasma.github.io/Logging_1781/tillsynsmail/A 28394-2025 tillsynsbegäran mail.docx", "A 28394-2025")</f>
        <v/>
      </c>
    </row>
    <row r="31" ht="15" customHeight="1">
      <c r="A31" t="inlineStr">
        <is>
          <t>A 20746-2026</t>
        </is>
      </c>
      <c r="B31" s="1" t="n">
        <v>46141</v>
      </c>
      <c r="C31" s="1" t="n">
        <v>46192</v>
      </c>
      <c r="D31" t="inlineStr">
        <is>
          <t>VÄRMLANDS LÄN</t>
        </is>
      </c>
      <c r="E31" t="inlineStr">
        <is>
          <t>KRISTINEHAMN</t>
        </is>
      </c>
      <c r="F31" t="inlineStr">
        <is>
          <t>Naturvårdsverket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HYPERLINK("https://klasma.github.io/Logging_1781/artfynd/A 20746-2026 artfynd.xlsx", "A 20746-2026")</f>
        <v/>
      </c>
      <c r="T31">
        <f>HYPERLINK("https://klasma.github.io/Logging_1781/kartor/A 20746-2026 karta.png", "A 20746-2026")</f>
        <v/>
      </c>
      <c r="V31">
        <f>HYPERLINK("https://klasma.github.io/Logging_1781/klagomål/A 20746-2026 FSC-klagomål.docx", "A 20746-2026")</f>
        <v/>
      </c>
      <c r="W31">
        <f>HYPERLINK("https://klasma.github.io/Logging_1781/klagomålsmail/A 20746-2026 FSC-klagomål mail.docx", "A 20746-2026")</f>
        <v/>
      </c>
      <c r="X31">
        <f>HYPERLINK("https://klasma.github.io/Logging_1781/tillsyn/A 20746-2026 tillsynsbegäran.docx", "A 20746-2026")</f>
        <v/>
      </c>
      <c r="Y31">
        <f>HYPERLINK("https://klasma.github.io/Logging_1781/tillsynsmail/A 20746-2026 tillsynsbegäran mail.docx", "A 20746-2026")</f>
        <v/>
      </c>
    </row>
    <row r="32" ht="15" customHeight="1">
      <c r="A32" t="inlineStr">
        <is>
          <t>A 42411-2022</t>
        </is>
      </c>
      <c r="B32" s="1" t="n">
        <v>44831</v>
      </c>
      <c r="C32" s="1" t="n">
        <v>46192</v>
      </c>
      <c r="D32" t="inlineStr">
        <is>
          <t>VÄRMLANDS LÄN</t>
        </is>
      </c>
      <c r="E32" t="inlineStr">
        <is>
          <t>KRISTINEHAMN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15419-2022</t>
        </is>
      </c>
      <c r="B33" s="1" t="n">
        <v>44659</v>
      </c>
      <c r="C33" s="1" t="n">
        <v>46192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17860-2022</t>
        </is>
      </c>
      <c r="B34" s="1" t="n">
        <v>44683</v>
      </c>
      <c r="C34" s="1" t="n">
        <v>46192</v>
      </c>
      <c r="D34" t="inlineStr">
        <is>
          <t>VÄRMLANDS LÄN</t>
        </is>
      </c>
      <c r="E34" t="inlineStr">
        <is>
          <t>KRISTINEHAMN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39638-2021</t>
        </is>
      </c>
      <c r="B35" s="1" t="n">
        <v>44413</v>
      </c>
      <c r="C35" s="1" t="n">
        <v>46192</v>
      </c>
      <c r="D35" t="inlineStr">
        <is>
          <t>VÄRMLANDS LÄN</t>
        </is>
      </c>
      <c r="E35" t="inlineStr">
        <is>
          <t>KRISTINEHAMN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39659-2021</t>
        </is>
      </c>
      <c r="B36" s="1" t="n">
        <v>44413</v>
      </c>
      <c r="C36" s="1" t="n">
        <v>46192</v>
      </c>
      <c r="D36" t="inlineStr">
        <is>
          <t>VÄRMLANDS LÄN</t>
        </is>
      </c>
      <c r="E36" t="inlineStr">
        <is>
          <t>KRISTINEHAMN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52836-2021</t>
        </is>
      </c>
      <c r="B37" s="1" t="n">
        <v>44466</v>
      </c>
      <c r="C37" s="1" t="n">
        <v>46192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11746-2022</t>
        </is>
      </c>
      <c r="B38" s="1" t="n">
        <v>44634</v>
      </c>
      <c r="C38" s="1" t="n">
        <v>46192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40243-2021</t>
        </is>
      </c>
      <c r="B39" s="1" t="n">
        <v>44419</v>
      </c>
      <c r="C39" s="1" t="n">
        <v>46192</v>
      </c>
      <c r="D39" t="inlineStr">
        <is>
          <t>VÄRMLANDS LÄN</t>
        </is>
      </c>
      <c r="E39" t="inlineStr">
        <is>
          <t>KRISTINEHAMN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26045-2022</t>
        </is>
      </c>
      <c r="B40" s="1" t="n">
        <v>44734</v>
      </c>
      <c r="C40" s="1" t="n">
        <v>46192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46192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74403-2021</t>
        </is>
      </c>
      <c r="B42" s="1" t="n">
        <v>44559</v>
      </c>
      <c r="C42" s="1" t="n">
        <v>46192</v>
      </c>
      <c r="D42" t="inlineStr">
        <is>
          <t>VÄRMLANDS LÄN</t>
        </is>
      </c>
      <c r="E42" t="inlineStr">
        <is>
          <t>KRISTINEHAMN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46192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46192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46192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</v>
      </c>
      <c r="C46" s="1" t="n">
        <v>46192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46192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46192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46192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</v>
      </c>
      <c r="C50" s="1" t="n">
        <v>46192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46192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46192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31114-2022</t>
        </is>
      </c>
      <c r="B53" s="1" t="n">
        <v>44769</v>
      </c>
      <c r="C53" s="1" t="n">
        <v>46192</v>
      </c>
      <c r="D53" t="inlineStr">
        <is>
          <t>VÄRMLANDS LÄN</t>
        </is>
      </c>
      <c r="E53" t="inlineStr">
        <is>
          <t>KRISTINEHAMN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46192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</v>
      </c>
      <c r="C55" s="1" t="n">
        <v>46192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35973-2021</t>
        </is>
      </c>
      <c r="B56" s="1" t="n">
        <v>44389</v>
      </c>
      <c r="C56" s="1" t="n">
        <v>46192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47952-2021</t>
        </is>
      </c>
      <c r="B57" s="1" t="n">
        <v>44448</v>
      </c>
      <c r="C57" s="1" t="n">
        <v>46192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43558-2022</t>
        </is>
      </c>
      <c r="B58" s="1" t="n">
        <v>44834</v>
      </c>
      <c r="C58" s="1" t="n">
        <v>46192</v>
      </c>
      <c r="D58" t="inlineStr">
        <is>
          <t>VÄRMLANDS LÄN</t>
        </is>
      </c>
      <c r="E58" t="inlineStr">
        <is>
          <t>KRISTINEHAMN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46192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46192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46192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46192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39628-2021</t>
        </is>
      </c>
      <c r="B63" s="1" t="n">
        <v>44413</v>
      </c>
      <c r="C63" s="1" t="n">
        <v>46192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49714-2021</t>
        </is>
      </c>
      <c r="B64" s="1" t="n">
        <v>44455</v>
      </c>
      <c r="C64" s="1" t="n">
        <v>46192</v>
      </c>
      <c r="D64" t="inlineStr">
        <is>
          <t>VÄRMLANDS LÄN</t>
        </is>
      </c>
      <c r="E64" t="inlineStr">
        <is>
          <t>KRISTINEHAMN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73568-2021</t>
        </is>
      </c>
      <c r="B65" s="1" t="n">
        <v>44551</v>
      </c>
      <c r="C65" s="1" t="n">
        <v>46192</v>
      </c>
      <c r="D65" t="inlineStr">
        <is>
          <t>VÄRMLANDS LÄN</t>
        </is>
      </c>
      <c r="E65" t="inlineStr">
        <is>
          <t>KRISTINEHAMN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61768-2021</t>
        </is>
      </c>
      <c r="B66" s="1" t="n">
        <v>44501</v>
      </c>
      <c r="C66" s="1" t="n">
        <v>46192</v>
      </c>
      <c r="D66" t="inlineStr">
        <is>
          <t>VÄRMLANDS LÄN</t>
        </is>
      </c>
      <c r="E66" t="inlineStr">
        <is>
          <t>KRISTINEHAMN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</v>
      </c>
      <c r="C67" s="1" t="n">
        <v>46192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46192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46192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46192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46192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46192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46192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46192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46192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</v>
      </c>
      <c r="C76" s="1" t="n">
        <v>46192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</v>
      </c>
      <c r="C77" s="1" t="n">
        <v>46192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</v>
      </c>
      <c r="C78" s="1" t="n">
        <v>46192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47949-2021</t>
        </is>
      </c>
      <c r="B79" s="1" t="n">
        <v>44448</v>
      </c>
      <c r="C79" s="1" t="n">
        <v>46192</v>
      </c>
      <c r="D79" t="inlineStr">
        <is>
          <t>VÄRMLANDS LÄN</t>
        </is>
      </c>
      <c r="E79" t="inlineStr">
        <is>
          <t>KRISTINEHAMN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46192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42408-2022</t>
        </is>
      </c>
      <c r="B81" s="1" t="n">
        <v>44831</v>
      </c>
      <c r="C81" s="1" t="n">
        <v>46192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46192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24710-2024</t>
        </is>
      </c>
      <c r="B83" s="1" t="n">
        <v>45460</v>
      </c>
      <c r="C83" s="1" t="n">
        <v>46192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15406-2024</t>
        </is>
      </c>
      <c r="B84" s="1" t="n">
        <v>45401</v>
      </c>
      <c r="C84" s="1" t="n">
        <v>46192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</v>
      </c>
      <c r="C85" s="1" t="n">
        <v>46192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58319-2024</t>
        </is>
      </c>
      <c r="B86" s="1" t="n">
        <v>45631</v>
      </c>
      <c r="C86" s="1" t="n">
        <v>46192</v>
      </c>
      <c r="D86" t="inlineStr">
        <is>
          <t>VÄRMLANDS LÄN</t>
        </is>
      </c>
      <c r="E86" t="inlineStr">
        <is>
          <t>KRISTINEHAMN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46192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46192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46192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61942-2022</t>
        </is>
      </c>
      <c r="B90" s="1" t="n">
        <v>44918</v>
      </c>
      <c r="C90" s="1" t="n">
        <v>46192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41857-2023</t>
        </is>
      </c>
      <c r="B91" s="1" t="n">
        <v>45176</v>
      </c>
      <c r="C91" s="1" t="n">
        <v>46192</v>
      </c>
      <c r="D91" t="inlineStr">
        <is>
          <t>VÄRMLANDS LÄN</t>
        </is>
      </c>
      <c r="E91" t="inlineStr">
        <is>
          <t>KRISTINEHAMN</t>
        </is>
      </c>
      <c r="F91" t="inlineStr">
        <is>
          <t>Naturvårdsverket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46192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61034-2021</t>
        </is>
      </c>
      <c r="B93" s="1" t="n">
        <v>44497</v>
      </c>
      <c r="C93" s="1" t="n">
        <v>46192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4277-2024</t>
        </is>
      </c>
      <c r="B94" s="1" t="n">
        <v>45324</v>
      </c>
      <c r="C94" s="1" t="n">
        <v>46192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45563-2022</t>
        </is>
      </c>
      <c r="B95" s="1" t="n">
        <v>44841</v>
      </c>
      <c r="C95" s="1" t="n">
        <v>46192</v>
      </c>
      <c r="D95" t="inlineStr">
        <is>
          <t>VÄRMLANDS LÄN</t>
        </is>
      </c>
      <c r="E95" t="inlineStr">
        <is>
          <t>KRISTINEHAMN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</v>
      </c>
      <c r="C96" s="1" t="n">
        <v>46192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46192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56666-2023</t>
        </is>
      </c>
      <c r="B98" s="1" t="n">
        <v>45243</v>
      </c>
      <c r="C98" s="1" t="n">
        <v>46192</v>
      </c>
      <c r="D98" t="inlineStr">
        <is>
          <t>VÄRMLANDS LÄN</t>
        </is>
      </c>
      <c r="E98" t="inlineStr">
        <is>
          <t>KRISTINEHAMN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56667-2023</t>
        </is>
      </c>
      <c r="B99" s="1" t="n">
        <v>45243</v>
      </c>
      <c r="C99" s="1" t="n">
        <v>46192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56673-2023</t>
        </is>
      </c>
      <c r="B100" s="1" t="n">
        <v>45243</v>
      </c>
      <c r="C100" s="1" t="n">
        <v>46192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4495-2025</t>
        </is>
      </c>
      <c r="B101" s="1" t="n">
        <v>45686</v>
      </c>
      <c r="C101" s="1" t="n">
        <v>46192</v>
      </c>
      <c r="D101" t="inlineStr">
        <is>
          <t>VÄRMLANDS LÄN</t>
        </is>
      </c>
      <c r="E101" t="inlineStr">
        <is>
          <t>KRISTINEHAMN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21702-2024</t>
        </is>
      </c>
      <c r="B102" s="1" t="n">
        <v>45442</v>
      </c>
      <c r="C102" s="1" t="n">
        <v>46192</v>
      </c>
      <c r="D102" t="inlineStr">
        <is>
          <t>VÄRMLANDS LÄN</t>
        </is>
      </c>
      <c r="E102" t="inlineStr">
        <is>
          <t>KRISTINEHAMN</t>
        </is>
      </c>
      <c r="G102" t="n">
        <v>14.9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1266-2024</t>
        </is>
      </c>
      <c r="B103" s="1" t="n">
        <v>45302</v>
      </c>
      <c r="C103" s="1" t="n">
        <v>46192</v>
      </c>
      <c r="D103" t="inlineStr">
        <is>
          <t>VÄRMLANDS LÄN</t>
        </is>
      </c>
      <c r="E103" t="inlineStr">
        <is>
          <t>KRISTINEHAMN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23704-2022</t>
        </is>
      </c>
      <c r="B104" s="1" t="n">
        <v>44722</v>
      </c>
      <c r="C104" s="1" t="n">
        <v>46192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23706-2022</t>
        </is>
      </c>
      <c r="B105" s="1" t="n">
        <v>44722</v>
      </c>
      <c r="C105" s="1" t="n">
        <v>46192</v>
      </c>
      <c r="D105" t="inlineStr">
        <is>
          <t>VÄRMLANDS LÄN</t>
        </is>
      </c>
      <c r="E105" t="inlineStr">
        <is>
          <t>KRISTINEHAMN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21679-2022</t>
        </is>
      </c>
      <c r="B106" s="1" t="n">
        <v>44707</v>
      </c>
      <c r="C106" s="1" t="n">
        <v>46192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13021-2023</t>
        </is>
      </c>
      <c r="B107" s="1" t="n">
        <v>45002</v>
      </c>
      <c r="C107" s="1" t="n">
        <v>46192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21549-2022</t>
        </is>
      </c>
      <c r="B108" s="1" t="n">
        <v>44706</v>
      </c>
      <c r="C108" s="1" t="n">
        <v>46192</v>
      </c>
      <c r="D108" t="inlineStr">
        <is>
          <t>VÄRMLANDS LÄN</t>
        </is>
      </c>
      <c r="E108" t="inlineStr">
        <is>
          <t>KRISTINEHAMN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25454-2023</t>
        </is>
      </c>
      <c r="B109" s="1" t="n">
        <v>45081</v>
      </c>
      <c r="C109" s="1" t="n">
        <v>46192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25628-2025</t>
        </is>
      </c>
      <c r="B110" s="1" t="n">
        <v>45803</v>
      </c>
      <c r="C110" s="1" t="n">
        <v>46192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17110-2022</t>
        </is>
      </c>
      <c r="B111" s="1" t="n">
        <v>44677</v>
      </c>
      <c r="C111" s="1" t="n">
        <v>46192</v>
      </c>
      <c r="D111" t="inlineStr">
        <is>
          <t>VÄRMLANDS LÄN</t>
        </is>
      </c>
      <c r="E111" t="inlineStr">
        <is>
          <t>KRISTINEHAMN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48416-2021</t>
        </is>
      </c>
      <c r="B112" s="1" t="n">
        <v>44452</v>
      </c>
      <c r="C112" s="1" t="n">
        <v>46192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47398-2023</t>
        </is>
      </c>
      <c r="B113" s="1" t="n">
        <v>45202</v>
      </c>
      <c r="C113" s="1" t="n">
        <v>46192</v>
      </c>
      <c r="D113" t="inlineStr">
        <is>
          <t>VÄRMLANDS LÄN</t>
        </is>
      </c>
      <c r="E113" t="inlineStr">
        <is>
          <t>KRISTINEHAMN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34891-2023</t>
        </is>
      </c>
      <c r="B114" s="1" t="n">
        <v>45141</v>
      </c>
      <c r="C114" s="1" t="n">
        <v>46192</v>
      </c>
      <c r="D114" t="inlineStr">
        <is>
          <t>VÄRMLANDS LÄN</t>
        </is>
      </c>
      <c r="E114" t="inlineStr">
        <is>
          <t>KRISTINEHAMN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28485-2024</t>
        </is>
      </c>
      <c r="B115" s="1" t="n">
        <v>45477</v>
      </c>
      <c r="C115" s="1" t="n">
        <v>46192</v>
      </c>
      <c r="D115" t="inlineStr">
        <is>
          <t>VÄRMLANDS LÄN</t>
        </is>
      </c>
      <c r="E115" t="inlineStr">
        <is>
          <t>KRISTINEHAMN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68505-2021</t>
        </is>
      </c>
      <c r="B116" s="1" t="n">
        <v>44525</v>
      </c>
      <c r="C116" s="1" t="n">
        <v>46192</v>
      </c>
      <c r="D116" t="inlineStr">
        <is>
          <t>VÄRMLANDS LÄN</t>
        </is>
      </c>
      <c r="E116" t="inlineStr">
        <is>
          <t>KRISTINEHAMN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11020-2023</t>
        </is>
      </c>
      <c r="B117" s="1" t="n">
        <v>44991</v>
      </c>
      <c r="C117" s="1" t="n">
        <v>46192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27033-2023</t>
        </is>
      </c>
      <c r="B118" s="1" t="n">
        <v>45095</v>
      </c>
      <c r="C118" s="1" t="n">
        <v>46192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8173-2023</t>
        </is>
      </c>
      <c r="B119" s="1" t="n">
        <v>44974</v>
      </c>
      <c r="C119" s="1" t="n">
        <v>46192</v>
      </c>
      <c r="D119" t="inlineStr">
        <is>
          <t>VÄRMLANDS LÄN</t>
        </is>
      </c>
      <c r="E119" t="inlineStr">
        <is>
          <t>KRISTINEHAMN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27515-2023</t>
        </is>
      </c>
      <c r="B120" s="1" t="n">
        <v>45097</v>
      </c>
      <c r="C120" s="1" t="n">
        <v>46192</v>
      </c>
      <c r="D120" t="inlineStr">
        <is>
          <t>VÄRMLANDS LÄN</t>
        </is>
      </c>
      <c r="E120" t="inlineStr">
        <is>
          <t>KRISTINEHAMN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1150-2024</t>
        </is>
      </c>
      <c r="B121" s="1" t="n">
        <v>45302</v>
      </c>
      <c r="C121" s="1" t="n">
        <v>46192</v>
      </c>
      <c r="D121" t="inlineStr">
        <is>
          <t>VÄRMLANDS LÄN</t>
        </is>
      </c>
      <c r="E121" t="inlineStr">
        <is>
          <t>KRISTINEHAMN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13118-2025</t>
        </is>
      </c>
      <c r="B122" s="1" t="n">
        <v>45734</v>
      </c>
      <c r="C122" s="1" t="n">
        <v>46192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48379-2025</t>
        </is>
      </c>
      <c r="B123" s="1" t="n">
        <v>45933</v>
      </c>
      <c r="C123" s="1" t="n">
        <v>46192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62864-2023</t>
        </is>
      </c>
      <c r="B124" s="1" t="n">
        <v>45272</v>
      </c>
      <c r="C124" s="1" t="n">
        <v>46192</v>
      </c>
      <c r="D124" t="inlineStr">
        <is>
          <t>VÄRMLANDS LÄN</t>
        </is>
      </c>
      <c r="E124" t="inlineStr">
        <is>
          <t>KRISTINEHAMN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41770-2025</t>
        </is>
      </c>
      <c r="B125" s="1" t="n">
        <v>45902</v>
      </c>
      <c r="C125" s="1" t="n">
        <v>46192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50420-2025</t>
        </is>
      </c>
      <c r="B126" s="1" t="n">
        <v>45944</v>
      </c>
      <c r="C126" s="1" t="n">
        <v>46192</v>
      </c>
      <c r="D126" t="inlineStr">
        <is>
          <t>VÄRMLANDS LÄN</t>
        </is>
      </c>
      <c r="E126" t="inlineStr">
        <is>
          <t>KRISTINEHAMN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56875-2022</t>
        </is>
      </c>
      <c r="B127" s="1" t="n">
        <v>44894</v>
      </c>
      <c r="C127" s="1" t="n">
        <v>46192</v>
      </c>
      <c r="D127" t="inlineStr">
        <is>
          <t>VÄRMLANDS LÄN</t>
        </is>
      </c>
      <c r="E127" t="inlineStr">
        <is>
          <t>KRISTINEHAMN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55363-2023</t>
        </is>
      </c>
      <c r="B128" s="1" t="n">
        <v>45238</v>
      </c>
      <c r="C128" s="1" t="n">
        <v>46192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Kommuner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41768-2025</t>
        </is>
      </c>
      <c r="B129" s="1" t="n">
        <v>45902</v>
      </c>
      <c r="C129" s="1" t="n">
        <v>46192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38490-2021</t>
        </is>
      </c>
      <c r="B130" s="1" t="n">
        <v>44407</v>
      </c>
      <c r="C130" s="1" t="n">
        <v>46192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23948-2022</t>
        </is>
      </c>
      <c r="B131" s="1" t="n">
        <v>44722</v>
      </c>
      <c r="C131" s="1" t="n">
        <v>46192</v>
      </c>
      <c r="D131" t="inlineStr">
        <is>
          <t>VÄRMLANDS LÄN</t>
        </is>
      </c>
      <c r="E131" t="inlineStr">
        <is>
          <t>KRISTINEHAMN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42577-2025</t>
        </is>
      </c>
      <c r="B132" s="1" t="n">
        <v>45905</v>
      </c>
      <c r="C132" s="1" t="n">
        <v>46192</v>
      </c>
      <c r="D132" t="inlineStr">
        <is>
          <t>VÄRMLANDS LÄN</t>
        </is>
      </c>
      <c r="E132" t="inlineStr">
        <is>
          <t>KRISTINEHAMN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42178-2025</t>
        </is>
      </c>
      <c r="B133" s="1" t="n">
        <v>45904</v>
      </c>
      <c r="C133" s="1" t="n">
        <v>46192</v>
      </c>
      <c r="D133" t="inlineStr">
        <is>
          <t>VÄRMLANDS LÄN</t>
        </is>
      </c>
      <c r="E133" t="inlineStr">
        <is>
          <t>KRISTINEHAMN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52088-2025</t>
        </is>
      </c>
      <c r="B134" s="1" t="n">
        <v>45952</v>
      </c>
      <c r="C134" s="1" t="n">
        <v>46192</v>
      </c>
      <c r="D134" t="inlineStr">
        <is>
          <t>VÄRMLANDS LÄN</t>
        </is>
      </c>
      <c r="E134" t="inlineStr">
        <is>
          <t>KRISTINEHAMN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52118-2025</t>
        </is>
      </c>
      <c r="B135" s="1" t="n">
        <v>45952</v>
      </c>
      <c r="C135" s="1" t="n">
        <v>46192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14340-2024</t>
        </is>
      </c>
      <c r="B136" s="1" t="n">
        <v>45393</v>
      </c>
      <c r="C136" s="1" t="n">
        <v>46192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51616-2023</t>
        </is>
      </c>
      <c r="B137" s="1" t="n">
        <v>45222</v>
      </c>
      <c r="C137" s="1" t="n">
        <v>46192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24118-2024</t>
        </is>
      </c>
      <c r="B138" s="1" t="n">
        <v>45456</v>
      </c>
      <c r="C138" s="1" t="n">
        <v>46192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50159-2024</t>
        </is>
      </c>
      <c r="B139" s="1" t="n">
        <v>45600</v>
      </c>
      <c r="C139" s="1" t="n">
        <v>46192</v>
      </c>
      <c r="D139" t="inlineStr">
        <is>
          <t>VÄRMLANDS LÄN</t>
        </is>
      </c>
      <c r="E139" t="inlineStr">
        <is>
          <t>KRISTINEHAMN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55890-2023</t>
        </is>
      </c>
      <c r="B140" s="1" t="n">
        <v>45239</v>
      </c>
      <c r="C140" s="1" t="n">
        <v>46192</v>
      </c>
      <c r="D140" t="inlineStr">
        <is>
          <t>VÄRMLANDS LÄN</t>
        </is>
      </c>
      <c r="E140" t="inlineStr">
        <is>
          <t>KRISTINEHAMN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20696-2023</t>
        </is>
      </c>
      <c r="B141" s="1" t="n">
        <v>45058</v>
      </c>
      <c r="C141" s="1" t="n">
        <v>46192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Kommuner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47465-2023</t>
        </is>
      </c>
      <c r="B142" s="1" t="n">
        <v>45202</v>
      </c>
      <c r="C142" s="1" t="n">
        <v>46192</v>
      </c>
      <c r="D142" t="inlineStr">
        <is>
          <t>VÄRMLANDS LÄN</t>
        </is>
      </c>
      <c r="E142" t="inlineStr">
        <is>
          <t>KRISTINEHAMN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52404-2025</t>
        </is>
      </c>
      <c r="B143" s="1" t="n">
        <v>45954</v>
      </c>
      <c r="C143" s="1" t="n">
        <v>46192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53405-2025</t>
        </is>
      </c>
      <c r="B144" s="1" t="n">
        <v>45959</v>
      </c>
      <c r="C144" s="1" t="n">
        <v>46192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21688-2024</t>
        </is>
      </c>
      <c r="B145" s="1" t="n">
        <v>45442</v>
      </c>
      <c r="C145" s="1" t="n">
        <v>46192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53371-2025</t>
        </is>
      </c>
      <c r="B146" s="1" t="n">
        <v>45959</v>
      </c>
      <c r="C146" s="1" t="n">
        <v>46192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54548-2023</t>
        </is>
      </c>
      <c r="B147" s="1" t="n">
        <v>45226</v>
      </c>
      <c r="C147" s="1" t="n">
        <v>46192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54552-2023</t>
        </is>
      </c>
      <c r="B148" s="1" t="n">
        <v>45226</v>
      </c>
      <c r="C148" s="1" t="n">
        <v>46192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5494-2025</t>
        </is>
      </c>
      <c r="B149" s="1" t="n">
        <v>45693</v>
      </c>
      <c r="C149" s="1" t="n">
        <v>46192</v>
      </c>
      <c r="D149" t="inlineStr">
        <is>
          <t>VÄRMLANDS LÄN</t>
        </is>
      </c>
      <c r="E149" t="inlineStr">
        <is>
          <t>KRISTINEHAMN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60738-2023</t>
        </is>
      </c>
      <c r="B150" s="1" t="n">
        <v>45260</v>
      </c>
      <c r="C150" s="1" t="n">
        <v>46192</v>
      </c>
      <c r="D150" t="inlineStr">
        <is>
          <t>VÄRMLANDS LÄN</t>
        </is>
      </c>
      <c r="E150" t="inlineStr">
        <is>
          <t>KRISTINEHAMN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3316-2025</t>
        </is>
      </c>
      <c r="B151" s="1" t="n">
        <v>45679</v>
      </c>
      <c r="C151" s="1" t="n">
        <v>46192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5250-2023</t>
        </is>
      </c>
      <c r="B152" s="1" t="n">
        <v>44959</v>
      </c>
      <c r="C152" s="1" t="n">
        <v>46192</v>
      </c>
      <c r="D152" t="inlineStr">
        <is>
          <t>VÄRMLANDS LÄN</t>
        </is>
      </c>
      <c r="E152" t="inlineStr">
        <is>
          <t>KRISTINEHAMN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12416-2024</t>
        </is>
      </c>
      <c r="B153" s="1" t="n">
        <v>45379</v>
      </c>
      <c r="C153" s="1" t="n">
        <v>46192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12423-2024</t>
        </is>
      </c>
      <c r="B154" s="1" t="n">
        <v>45379</v>
      </c>
      <c r="C154" s="1" t="n">
        <v>46192</v>
      </c>
      <c r="D154" t="inlineStr">
        <is>
          <t>VÄRMLANDS LÄN</t>
        </is>
      </c>
      <c r="E154" t="inlineStr">
        <is>
          <t>KRISTINEHAMN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42947-2021</t>
        </is>
      </c>
      <c r="B155" s="1" t="n">
        <v>44431</v>
      </c>
      <c r="C155" s="1" t="n">
        <v>46192</v>
      </c>
      <c r="D155" t="inlineStr">
        <is>
          <t>VÄRMLANDS LÄN</t>
        </is>
      </c>
      <c r="E155" t="inlineStr">
        <is>
          <t>KRISTINEHAMN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53819-2025</t>
        </is>
      </c>
      <c r="B156" s="1" t="n">
        <v>45961</v>
      </c>
      <c r="C156" s="1" t="n">
        <v>46192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53909-2025</t>
        </is>
      </c>
      <c r="B157" s="1" t="n">
        <v>45961</v>
      </c>
      <c r="C157" s="1" t="n">
        <v>46192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51700-2023</t>
        </is>
      </c>
      <c r="B158" s="1" t="n">
        <v>45222</v>
      </c>
      <c r="C158" s="1" t="n">
        <v>46192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49335-2021</t>
        </is>
      </c>
      <c r="B159" s="1" t="n">
        <v>44454</v>
      </c>
      <c r="C159" s="1" t="n">
        <v>46192</v>
      </c>
      <c r="D159" t="inlineStr">
        <is>
          <t>VÄRMLANDS LÄN</t>
        </is>
      </c>
      <c r="E159" t="inlineStr">
        <is>
          <t>KRISTINEHAMN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22637-2024</t>
        </is>
      </c>
      <c r="B160" s="1" t="n">
        <v>45447</v>
      </c>
      <c r="C160" s="1" t="n">
        <v>46192</v>
      </c>
      <c r="D160" t="inlineStr">
        <is>
          <t>VÄRMLANDS LÄN</t>
        </is>
      </c>
      <c r="E160" t="inlineStr">
        <is>
          <t>KRISTINEHAMN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386-2025</t>
        </is>
      </c>
      <c r="B161" s="1" t="n">
        <v>45662</v>
      </c>
      <c r="C161" s="1" t="n">
        <v>46192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54690-2022</t>
        </is>
      </c>
      <c r="B162" s="1" t="n">
        <v>44883</v>
      </c>
      <c r="C162" s="1" t="n">
        <v>46192</v>
      </c>
      <c r="D162" t="inlineStr">
        <is>
          <t>VÄRMLANDS LÄN</t>
        </is>
      </c>
      <c r="E162" t="inlineStr">
        <is>
          <t>KRISTINEHAMN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44085-2023</t>
        </is>
      </c>
      <c r="B163" s="1" t="n">
        <v>45188</v>
      </c>
      <c r="C163" s="1" t="n">
        <v>46192</v>
      </c>
      <c r="D163" t="inlineStr">
        <is>
          <t>VÄRMLANDS LÄN</t>
        </is>
      </c>
      <c r="E163" t="inlineStr">
        <is>
          <t>KRISTINEHAMN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32404-2023</t>
        </is>
      </c>
      <c r="B164" s="1" t="n">
        <v>45110</v>
      </c>
      <c r="C164" s="1" t="n">
        <v>46192</v>
      </c>
      <c r="D164" t="inlineStr">
        <is>
          <t>VÄRMLANDS LÄN</t>
        </is>
      </c>
      <c r="E164" t="inlineStr">
        <is>
          <t>KRISTINEHAMN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56315-2025</t>
        </is>
      </c>
      <c r="B165" s="1" t="n">
        <v>45974</v>
      </c>
      <c r="C165" s="1" t="n">
        <v>46192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22896-2023</t>
        </is>
      </c>
      <c r="B166" s="1" t="n">
        <v>45072</v>
      </c>
      <c r="C166" s="1" t="n">
        <v>46192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10032-2023</t>
        </is>
      </c>
      <c r="B167" s="1" t="n">
        <v>44985</v>
      </c>
      <c r="C167" s="1" t="n">
        <v>46192</v>
      </c>
      <c r="D167" t="inlineStr">
        <is>
          <t>VÄRMLANDS LÄN</t>
        </is>
      </c>
      <c r="E167" t="inlineStr">
        <is>
          <t>KRISTINEHAMN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4304-2022</t>
        </is>
      </c>
      <c r="B168" s="1" t="n">
        <v>44588</v>
      </c>
      <c r="C168" s="1" t="n">
        <v>46192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6927-2025</t>
        </is>
      </c>
      <c r="B169" s="1" t="n">
        <v>45701</v>
      </c>
      <c r="C169" s="1" t="n">
        <v>46192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47467-2023</t>
        </is>
      </c>
      <c r="B170" s="1" t="n">
        <v>45202</v>
      </c>
      <c r="C170" s="1" t="n">
        <v>46192</v>
      </c>
      <c r="D170" t="inlineStr">
        <is>
          <t>VÄRMLANDS LÄN</t>
        </is>
      </c>
      <c r="E170" t="inlineStr">
        <is>
          <t>KRISTINEHAMN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47091-2022</t>
        </is>
      </c>
      <c r="B171" s="1" t="n">
        <v>44851</v>
      </c>
      <c r="C171" s="1" t="n">
        <v>46192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18954-2023</t>
        </is>
      </c>
      <c r="B172" s="1" t="n">
        <v>45044</v>
      </c>
      <c r="C172" s="1" t="n">
        <v>46192</v>
      </c>
      <c r="D172" t="inlineStr">
        <is>
          <t>VÄRMLANDS LÄN</t>
        </is>
      </c>
      <c r="E172" t="inlineStr">
        <is>
          <t>KRISTINEHAMN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62767-2023</t>
        </is>
      </c>
      <c r="B173" s="1" t="n">
        <v>45268</v>
      </c>
      <c r="C173" s="1" t="n">
        <v>46192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56930-2023</t>
        </is>
      </c>
      <c r="B174" s="1" t="n">
        <v>45244</v>
      </c>
      <c r="C174" s="1" t="n">
        <v>46192</v>
      </c>
      <c r="D174" t="inlineStr">
        <is>
          <t>VÄRMLANDS LÄN</t>
        </is>
      </c>
      <c r="E174" t="inlineStr">
        <is>
          <t>KRISTINEHAMN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42597-2023</t>
        </is>
      </c>
      <c r="B175" s="1" t="n">
        <v>45181</v>
      </c>
      <c r="C175" s="1" t="n">
        <v>46192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25570-2023</t>
        </is>
      </c>
      <c r="B176" s="1" t="n">
        <v>45082</v>
      </c>
      <c r="C176" s="1" t="n">
        <v>46192</v>
      </c>
      <c r="D176" t="inlineStr">
        <is>
          <t>VÄRMLANDS LÄN</t>
        </is>
      </c>
      <c r="E176" t="inlineStr">
        <is>
          <t>KRISTINEHAMN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12319-2022</t>
        </is>
      </c>
      <c r="B177" s="1" t="n">
        <v>44637</v>
      </c>
      <c r="C177" s="1" t="n">
        <v>46192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38404-2022</t>
        </is>
      </c>
      <c r="B178" s="1" t="n">
        <v>44812</v>
      </c>
      <c r="C178" s="1" t="n">
        <v>46192</v>
      </c>
      <c r="D178" t="inlineStr">
        <is>
          <t>VÄRMLANDS LÄN</t>
        </is>
      </c>
      <c r="E178" t="inlineStr">
        <is>
          <t>KRISTINEHAMN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1399-2024</t>
        </is>
      </c>
      <c r="B179" s="1" t="n">
        <v>45303</v>
      </c>
      <c r="C179" s="1" t="n">
        <v>46192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45690-2021</t>
        </is>
      </c>
      <c r="B180" s="1" t="n">
        <v>44441</v>
      </c>
      <c r="C180" s="1" t="n">
        <v>46192</v>
      </c>
      <c r="D180" t="inlineStr">
        <is>
          <t>VÄRMLANDS LÄN</t>
        </is>
      </c>
      <c r="E180" t="inlineStr">
        <is>
          <t>KRISTINEHAMN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43654-2024</t>
        </is>
      </c>
      <c r="B181" s="1" t="n">
        <v>45569</v>
      </c>
      <c r="C181" s="1" t="n">
        <v>46192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59456-2025</t>
        </is>
      </c>
      <c r="B182" s="1" t="n">
        <v>45989</v>
      </c>
      <c r="C182" s="1" t="n">
        <v>46192</v>
      </c>
      <c r="D182" t="inlineStr">
        <is>
          <t>VÄRMLANDS LÄN</t>
        </is>
      </c>
      <c r="E182" t="inlineStr">
        <is>
          <t>KRISTINEHAMN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32624-2024</t>
        </is>
      </c>
      <c r="B183" s="1" t="n">
        <v>45513</v>
      </c>
      <c r="C183" s="1" t="n">
        <v>46192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6644-2024</t>
        </is>
      </c>
      <c r="B184" s="1" t="n">
        <v>45341</v>
      </c>
      <c r="C184" s="1" t="n">
        <v>46192</v>
      </c>
      <c r="D184" t="inlineStr">
        <is>
          <t>VÄRMLANDS LÄN</t>
        </is>
      </c>
      <c r="E184" t="inlineStr">
        <is>
          <t>KRISTINEHAMN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34893-2023</t>
        </is>
      </c>
      <c r="B185" s="1" t="n">
        <v>45141</v>
      </c>
      <c r="C185" s="1" t="n">
        <v>46192</v>
      </c>
      <c r="D185" t="inlineStr">
        <is>
          <t>VÄRMLANDS LÄN</t>
        </is>
      </c>
      <c r="E185" t="inlineStr">
        <is>
          <t>KRISTINEHAMN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13293-2024</t>
        </is>
      </c>
      <c r="B186" s="1" t="n">
        <v>45386</v>
      </c>
      <c r="C186" s="1" t="n">
        <v>46192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62498-2022</t>
        </is>
      </c>
      <c r="B187" s="1" t="n">
        <v>44917</v>
      </c>
      <c r="C187" s="1" t="n">
        <v>46192</v>
      </c>
      <c r="D187" t="inlineStr">
        <is>
          <t>VÄRMLANDS LÄN</t>
        </is>
      </c>
      <c r="E187" t="inlineStr">
        <is>
          <t>KRISTINEHAMN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28759-2022</t>
        </is>
      </c>
      <c r="B188" s="1" t="n">
        <v>44749</v>
      </c>
      <c r="C188" s="1" t="n">
        <v>46192</v>
      </c>
      <c r="D188" t="inlineStr">
        <is>
          <t>VÄRMLANDS LÄN</t>
        </is>
      </c>
      <c r="E188" t="inlineStr">
        <is>
          <t>KRISTINEHAMN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60363-2025</t>
        </is>
      </c>
      <c r="B189" s="1" t="n">
        <v>45995</v>
      </c>
      <c r="C189" s="1" t="n">
        <v>46192</v>
      </c>
      <c r="D189" t="inlineStr">
        <is>
          <t>VÄRMLANDS LÄN</t>
        </is>
      </c>
      <c r="E189" t="inlineStr">
        <is>
          <t>KRISTINEHAMN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60381-2025</t>
        </is>
      </c>
      <c r="B190" s="1" t="n">
        <v>45995</v>
      </c>
      <c r="C190" s="1" t="n">
        <v>46192</v>
      </c>
      <c r="D190" t="inlineStr">
        <is>
          <t>VÄRMLANDS LÄN</t>
        </is>
      </c>
      <c r="E190" t="inlineStr">
        <is>
          <t>KRISTINEHAMN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10030-2023</t>
        </is>
      </c>
      <c r="B191" s="1" t="n">
        <v>44985</v>
      </c>
      <c r="C191" s="1" t="n">
        <v>46192</v>
      </c>
      <c r="D191" t="inlineStr">
        <is>
          <t>VÄRMLANDS LÄN</t>
        </is>
      </c>
      <c r="E191" t="inlineStr">
        <is>
          <t>KRISTINEHAMN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60791-2025</t>
        </is>
      </c>
      <c r="B192" s="1" t="n">
        <v>45999</v>
      </c>
      <c r="C192" s="1" t="n">
        <v>46192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27210-2022</t>
        </is>
      </c>
      <c r="B193" s="1" t="n">
        <v>44741</v>
      </c>
      <c r="C193" s="1" t="n">
        <v>46192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60942-2025</t>
        </is>
      </c>
      <c r="B194" s="1" t="n">
        <v>45999</v>
      </c>
      <c r="C194" s="1" t="n">
        <v>46192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47466-2023</t>
        </is>
      </c>
      <c r="B195" s="1" t="n">
        <v>45202</v>
      </c>
      <c r="C195" s="1" t="n">
        <v>46192</v>
      </c>
      <c r="D195" t="inlineStr">
        <is>
          <t>VÄRMLANDS LÄN</t>
        </is>
      </c>
      <c r="E195" t="inlineStr">
        <is>
          <t>KRISTINEHAMN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60924-2025</t>
        </is>
      </c>
      <c r="B196" s="1" t="n">
        <v>45999</v>
      </c>
      <c r="C196" s="1" t="n">
        <v>46192</v>
      </c>
      <c r="D196" t="inlineStr">
        <is>
          <t>VÄRMLANDS LÄN</t>
        </is>
      </c>
      <c r="E196" t="inlineStr">
        <is>
          <t>KRISTINEHAMN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10501-2023</t>
        </is>
      </c>
      <c r="B197" s="1" t="n">
        <v>44987</v>
      </c>
      <c r="C197" s="1" t="n">
        <v>46192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60915-2025</t>
        </is>
      </c>
      <c r="B198" s="1" t="n">
        <v>45999</v>
      </c>
      <c r="C198" s="1" t="n">
        <v>46192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60902-2025</t>
        </is>
      </c>
      <c r="B199" s="1" t="n">
        <v>45999</v>
      </c>
      <c r="C199" s="1" t="n">
        <v>46192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60884-2025</t>
        </is>
      </c>
      <c r="B200" s="1" t="n">
        <v>45999</v>
      </c>
      <c r="C200" s="1" t="n">
        <v>46192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Bergvik skog väst AB</t>
        </is>
      </c>
      <c r="G200" t="n">
        <v>16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59854-2023</t>
        </is>
      </c>
      <c r="B201" s="1" t="n">
        <v>45253</v>
      </c>
      <c r="C201" s="1" t="n">
        <v>46192</v>
      </c>
      <c r="D201" t="inlineStr">
        <is>
          <t>VÄRMLANDS LÄN</t>
        </is>
      </c>
      <c r="E201" t="inlineStr">
        <is>
          <t>KRISTINEHAMN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62453-2022</t>
        </is>
      </c>
      <c r="B202" s="1" t="n">
        <v>44924</v>
      </c>
      <c r="C202" s="1" t="n">
        <v>46192</v>
      </c>
      <c r="D202" t="inlineStr">
        <is>
          <t>VÄRMLANDS LÄN</t>
        </is>
      </c>
      <c r="E202" t="inlineStr">
        <is>
          <t>KRISTINEHAMN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48405-2023</t>
        </is>
      </c>
      <c r="B203" s="1" t="n">
        <v>45201</v>
      </c>
      <c r="C203" s="1" t="n">
        <v>46192</v>
      </c>
      <c r="D203" t="inlineStr">
        <is>
          <t>VÄRMLANDS LÄN</t>
        </is>
      </c>
      <c r="E203" t="inlineStr">
        <is>
          <t>KRISTINEHAMN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62517-2022</t>
        </is>
      </c>
      <c r="B204" s="1" t="n">
        <v>44917</v>
      </c>
      <c r="C204" s="1" t="n">
        <v>46192</v>
      </c>
      <c r="D204" t="inlineStr">
        <is>
          <t>VÄRMLANDS LÄN</t>
        </is>
      </c>
      <c r="E204" t="inlineStr">
        <is>
          <t>KRISTINEHAMN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57565-2023</t>
        </is>
      </c>
      <c r="B205" s="1" t="n">
        <v>45246</v>
      </c>
      <c r="C205" s="1" t="n">
        <v>46192</v>
      </c>
      <c r="D205" t="inlineStr">
        <is>
          <t>VÄRMLANDS LÄN</t>
        </is>
      </c>
      <c r="E205" t="inlineStr">
        <is>
          <t>KRISTINEHAMN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27939-2023</t>
        </is>
      </c>
      <c r="B206" s="1" t="n">
        <v>45098</v>
      </c>
      <c r="C206" s="1" t="n">
        <v>46192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61479-2025</t>
        </is>
      </c>
      <c r="B207" s="1" t="n">
        <v>46001</v>
      </c>
      <c r="C207" s="1" t="n">
        <v>46192</v>
      </c>
      <c r="D207" t="inlineStr">
        <is>
          <t>VÄRMLANDS LÄN</t>
        </is>
      </c>
      <c r="E207" t="inlineStr">
        <is>
          <t>KRISTINEHAMN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61081-2025</t>
        </is>
      </c>
      <c r="B208" s="1" t="n">
        <v>46000</v>
      </c>
      <c r="C208" s="1" t="n">
        <v>46192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12041-2024</t>
        </is>
      </c>
      <c r="B209" s="1" t="n">
        <v>45377</v>
      </c>
      <c r="C209" s="1" t="n">
        <v>46192</v>
      </c>
      <c r="D209" t="inlineStr">
        <is>
          <t>VÄRMLANDS LÄN</t>
        </is>
      </c>
      <c r="E209" t="inlineStr">
        <is>
          <t>KRISTINEHAMN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61048-2025</t>
        </is>
      </c>
      <c r="B210" s="1" t="n">
        <v>46000</v>
      </c>
      <c r="C210" s="1" t="n">
        <v>46192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29017-2023</t>
        </is>
      </c>
      <c r="B211" s="1" t="n">
        <v>45104</v>
      </c>
      <c r="C211" s="1" t="n">
        <v>46192</v>
      </c>
      <c r="D211" t="inlineStr">
        <is>
          <t>VÄRMLANDS LÄN</t>
        </is>
      </c>
      <c r="E211" t="inlineStr">
        <is>
          <t>KRISTINEHAMN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47424-2023</t>
        </is>
      </c>
      <c r="B212" s="1" t="n">
        <v>45202</v>
      </c>
      <c r="C212" s="1" t="n">
        <v>46192</v>
      </c>
      <c r="D212" t="inlineStr">
        <is>
          <t>VÄRMLANDS LÄN</t>
        </is>
      </c>
      <c r="E212" t="inlineStr">
        <is>
          <t>KRISTINEHAMN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61891-2025</t>
        </is>
      </c>
      <c r="B213" s="1" t="n">
        <v>46003</v>
      </c>
      <c r="C213" s="1" t="n">
        <v>46192</v>
      </c>
      <c r="D213" t="inlineStr">
        <is>
          <t>VÄRMLANDS LÄN</t>
        </is>
      </c>
      <c r="E213" t="inlineStr">
        <is>
          <t>KRISTINEHAMN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61888-2025</t>
        </is>
      </c>
      <c r="B214" s="1" t="n">
        <v>46003</v>
      </c>
      <c r="C214" s="1" t="n">
        <v>46192</v>
      </c>
      <c r="D214" t="inlineStr">
        <is>
          <t>VÄRMLANDS LÄN</t>
        </is>
      </c>
      <c r="E214" t="inlineStr">
        <is>
          <t>KRISTINEHAMN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27525-2022</t>
        </is>
      </c>
      <c r="B215" s="1" t="n">
        <v>44742</v>
      </c>
      <c r="C215" s="1" t="n">
        <v>46192</v>
      </c>
      <c r="D215" t="inlineStr">
        <is>
          <t>VÄRMLANDS LÄN</t>
        </is>
      </c>
      <c r="E215" t="inlineStr">
        <is>
          <t>KRISTINEHAMN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27531-2022</t>
        </is>
      </c>
      <c r="B216" s="1" t="n">
        <v>44742</v>
      </c>
      <c r="C216" s="1" t="n">
        <v>46192</v>
      </c>
      <c r="D216" t="inlineStr">
        <is>
          <t>VÄRMLANDS LÄN</t>
        </is>
      </c>
      <c r="E216" t="inlineStr">
        <is>
          <t>KRISTINEHAMN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47371-2023</t>
        </is>
      </c>
      <c r="B217" s="1" t="n">
        <v>45202</v>
      </c>
      <c r="C217" s="1" t="n">
        <v>46192</v>
      </c>
      <c r="D217" t="inlineStr">
        <is>
          <t>VÄRMLANDS LÄN</t>
        </is>
      </c>
      <c r="E217" t="inlineStr">
        <is>
          <t>KRISTINEHAMN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10522-2024</t>
        </is>
      </c>
      <c r="B218" s="1" t="n">
        <v>45366</v>
      </c>
      <c r="C218" s="1" t="n">
        <v>46192</v>
      </c>
      <c r="D218" t="inlineStr">
        <is>
          <t>VÄRMLANDS LÄN</t>
        </is>
      </c>
      <c r="E218" t="inlineStr">
        <is>
          <t>KRISTINEHAMN</t>
        </is>
      </c>
      <c r="G218" t="n">
        <v>19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62623-2023</t>
        </is>
      </c>
      <c r="B219" s="1" t="n">
        <v>45267</v>
      </c>
      <c r="C219" s="1" t="n">
        <v>46192</v>
      </c>
      <c r="D219" t="inlineStr">
        <is>
          <t>VÄRMLANDS LÄN</t>
        </is>
      </c>
      <c r="E219" t="inlineStr">
        <is>
          <t>KRISTINEHAMN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10999-2024</t>
        </is>
      </c>
      <c r="B220" s="1" t="n">
        <v>45370</v>
      </c>
      <c r="C220" s="1" t="n">
        <v>46192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62349-2025</t>
        </is>
      </c>
      <c r="B221" s="1" t="n">
        <v>46006</v>
      </c>
      <c r="C221" s="1" t="n">
        <v>46192</v>
      </c>
      <c r="D221" t="inlineStr">
        <is>
          <t>VÄRMLANDS LÄN</t>
        </is>
      </c>
      <c r="E221" t="inlineStr">
        <is>
          <t>KRISTINEHAMN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61988-2023</t>
        </is>
      </c>
      <c r="B222" s="1" t="n">
        <v>45266</v>
      </c>
      <c r="C222" s="1" t="n">
        <v>46192</v>
      </c>
      <c r="D222" t="inlineStr">
        <is>
          <t>VÄRMLANDS LÄN</t>
        </is>
      </c>
      <c r="E222" t="inlineStr">
        <is>
          <t>KRISTINEHAMN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63016-2025</t>
        </is>
      </c>
      <c r="B223" s="1" t="n">
        <v>46009</v>
      </c>
      <c r="C223" s="1" t="n">
        <v>46192</v>
      </c>
      <c r="D223" t="inlineStr">
        <is>
          <t>VÄRMLANDS LÄN</t>
        </is>
      </c>
      <c r="E223" t="inlineStr">
        <is>
          <t>KRISTINEHAMN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62032-2024</t>
        </is>
      </c>
      <c r="B224" s="1" t="n">
        <v>45656</v>
      </c>
      <c r="C224" s="1" t="n">
        <v>46192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62641-2025</t>
        </is>
      </c>
      <c r="B225" s="1" t="n">
        <v>46008</v>
      </c>
      <c r="C225" s="1" t="n">
        <v>46192</v>
      </c>
      <c r="D225" t="inlineStr">
        <is>
          <t>VÄRMLANDS LÄN</t>
        </is>
      </c>
      <c r="E225" t="inlineStr">
        <is>
          <t>KRISTINEHAMN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59144-2021</t>
        </is>
      </c>
      <c r="B226" s="1" t="n">
        <v>44490</v>
      </c>
      <c r="C226" s="1" t="n">
        <v>46192</v>
      </c>
      <c r="D226" t="inlineStr">
        <is>
          <t>VÄRMLANDS LÄN</t>
        </is>
      </c>
      <c r="E226" t="inlineStr">
        <is>
          <t>KRISTINEHAMN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4180-2024</t>
        </is>
      </c>
      <c r="B227" s="1" t="n">
        <v>45323</v>
      </c>
      <c r="C227" s="1" t="n">
        <v>46192</v>
      </c>
      <c r="D227" t="inlineStr">
        <is>
          <t>VÄRMLANDS LÄN</t>
        </is>
      </c>
      <c r="E227" t="inlineStr">
        <is>
          <t>KRISTINEHAMN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12568-2023</t>
        </is>
      </c>
      <c r="B228" s="1" t="n">
        <v>45000</v>
      </c>
      <c r="C228" s="1" t="n">
        <v>46192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63018-2025</t>
        </is>
      </c>
      <c r="B229" s="1" t="n">
        <v>46009</v>
      </c>
      <c r="C229" s="1" t="n">
        <v>46192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14183-2022</t>
        </is>
      </c>
      <c r="B230" s="1" t="n">
        <v>44651</v>
      </c>
      <c r="C230" s="1" t="n">
        <v>46192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12467-2024</t>
        </is>
      </c>
      <c r="B231" s="1" t="n">
        <v>45379</v>
      </c>
      <c r="C231" s="1" t="n">
        <v>46192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60567-2024</t>
        </is>
      </c>
      <c r="B232" s="1" t="n">
        <v>45644</v>
      </c>
      <c r="C232" s="1" t="n">
        <v>46192</v>
      </c>
      <c r="D232" t="inlineStr">
        <is>
          <t>VÄRMLANDS LÄN</t>
        </is>
      </c>
      <c r="E232" t="inlineStr">
        <is>
          <t>KRISTINEHAMN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2522-2026</t>
        </is>
      </c>
      <c r="B233" s="1" t="n">
        <v>46037</v>
      </c>
      <c r="C233" s="1" t="n">
        <v>46192</v>
      </c>
      <c r="D233" t="inlineStr">
        <is>
          <t>VÄRMLANDS LÄN</t>
        </is>
      </c>
      <c r="E233" t="inlineStr">
        <is>
          <t>KRISTINEHAMN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23705-2022</t>
        </is>
      </c>
      <c r="B234" s="1" t="n">
        <v>44722</v>
      </c>
      <c r="C234" s="1" t="n">
        <v>46192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18319-2023</t>
        </is>
      </c>
      <c r="B235" s="1" t="n">
        <v>45041</v>
      </c>
      <c r="C235" s="1" t="n">
        <v>46192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19447-2024</t>
        </is>
      </c>
      <c r="B236" s="1" t="n">
        <v>45429</v>
      </c>
      <c r="C236" s="1" t="n">
        <v>46192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2927-2025</t>
        </is>
      </c>
      <c r="B237" s="1" t="n">
        <v>45678</v>
      </c>
      <c r="C237" s="1" t="n">
        <v>46192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56671-2023</t>
        </is>
      </c>
      <c r="B238" s="1" t="n">
        <v>45243</v>
      </c>
      <c r="C238" s="1" t="n">
        <v>46192</v>
      </c>
      <c r="D238" t="inlineStr">
        <is>
          <t>VÄRMLANDS LÄN</t>
        </is>
      </c>
      <c r="E238" t="inlineStr">
        <is>
          <t>KRISTINEHAMN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4335-2025</t>
        </is>
      </c>
      <c r="B239" s="1" t="n">
        <v>45685</v>
      </c>
      <c r="C239" s="1" t="n">
        <v>46192</v>
      </c>
      <c r="D239" t="inlineStr">
        <is>
          <t>VÄRMLANDS LÄN</t>
        </is>
      </c>
      <c r="E239" t="inlineStr">
        <is>
          <t>KRISTINEHAMN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7695-2025</t>
        </is>
      </c>
      <c r="B240" s="1" t="n">
        <v>45705</v>
      </c>
      <c r="C240" s="1" t="n">
        <v>46192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24117-2024</t>
        </is>
      </c>
      <c r="B241" s="1" t="n">
        <v>45456</v>
      </c>
      <c r="C241" s="1" t="n">
        <v>46192</v>
      </c>
      <c r="D241" t="inlineStr">
        <is>
          <t>VÄRMLANDS LÄN</t>
        </is>
      </c>
      <c r="E241" t="inlineStr">
        <is>
          <t>KRISTINEHAMN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32161-2023</t>
        </is>
      </c>
      <c r="B242" s="1" t="n">
        <v>45119</v>
      </c>
      <c r="C242" s="1" t="n">
        <v>46192</v>
      </c>
      <c r="D242" t="inlineStr">
        <is>
          <t>VÄRMLANDS LÄN</t>
        </is>
      </c>
      <c r="E242" t="inlineStr">
        <is>
          <t>KRISTINEHAMN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70126-2021</t>
        </is>
      </c>
      <c r="B243" s="1" t="n">
        <v>44533</v>
      </c>
      <c r="C243" s="1" t="n">
        <v>46192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1756-2026</t>
        </is>
      </c>
      <c r="B244" s="1" t="n">
        <v>46034</v>
      </c>
      <c r="C244" s="1" t="n">
        <v>46192</v>
      </c>
      <c r="D244" t="inlineStr">
        <is>
          <t>VÄRMLANDS LÄN</t>
        </is>
      </c>
      <c r="E244" t="inlineStr">
        <is>
          <t>KRISTINEHAMN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1740-2026</t>
        </is>
      </c>
      <c r="B245" s="1" t="n">
        <v>46034</v>
      </c>
      <c r="C245" s="1" t="n">
        <v>46192</v>
      </c>
      <c r="D245" t="inlineStr">
        <is>
          <t>VÄRMLANDS LÄN</t>
        </is>
      </c>
      <c r="E245" t="inlineStr">
        <is>
          <t>KRISTINEHAMN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46526-2022</t>
        </is>
      </c>
      <c r="B246" s="1" t="n">
        <v>44847</v>
      </c>
      <c r="C246" s="1" t="n">
        <v>46192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12520-2024</t>
        </is>
      </c>
      <c r="B247" s="1" t="n">
        <v>45379</v>
      </c>
      <c r="C247" s="1" t="n">
        <v>46192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2077-2026</t>
        </is>
      </c>
      <c r="B248" s="1" t="n">
        <v>46036</v>
      </c>
      <c r="C248" s="1" t="n">
        <v>46192</v>
      </c>
      <c r="D248" t="inlineStr">
        <is>
          <t>VÄRMLANDS LÄN</t>
        </is>
      </c>
      <c r="E248" t="inlineStr">
        <is>
          <t>KRISTINEHAMN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49245-2024</t>
        </is>
      </c>
      <c r="B249" s="1" t="n">
        <v>45595</v>
      </c>
      <c r="C249" s="1" t="n">
        <v>46192</v>
      </c>
      <c r="D249" t="inlineStr">
        <is>
          <t>VÄRMLANDS LÄN</t>
        </is>
      </c>
      <c r="E249" t="inlineStr">
        <is>
          <t>KRISTINEHAMN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1090-2025</t>
        </is>
      </c>
      <c r="B250" s="1" t="n">
        <v>45666</v>
      </c>
      <c r="C250" s="1" t="n">
        <v>46192</v>
      </c>
      <c r="D250" t="inlineStr">
        <is>
          <t>VÄRMLANDS LÄN</t>
        </is>
      </c>
      <c r="E250" t="inlineStr">
        <is>
          <t>KRISTINEHAMN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25494-2023</t>
        </is>
      </c>
      <c r="B251" s="1" t="n">
        <v>45081</v>
      </c>
      <c r="C251" s="1" t="n">
        <v>46192</v>
      </c>
      <c r="D251" t="inlineStr">
        <is>
          <t>VÄRMLANDS LÄN</t>
        </is>
      </c>
      <c r="E251" t="inlineStr">
        <is>
          <t>KRISTINEHAMN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3038-2026</t>
        </is>
      </c>
      <c r="B252" s="1" t="n">
        <v>46038</v>
      </c>
      <c r="C252" s="1" t="n">
        <v>46192</v>
      </c>
      <c r="D252" t="inlineStr">
        <is>
          <t>VÄRMLANDS LÄN</t>
        </is>
      </c>
      <c r="E252" t="inlineStr">
        <is>
          <t>KRISTINEHAMN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</v>
      </c>
      <c r="C253" s="1" t="n">
        <v>46192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4284-2022</t>
        </is>
      </c>
      <c r="B254" s="1" t="n">
        <v>44588</v>
      </c>
      <c r="C254" s="1" t="n">
        <v>46192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39779-2023</t>
        </is>
      </c>
      <c r="B255" s="1" t="n">
        <v>45167</v>
      </c>
      <c r="C255" s="1" t="n">
        <v>46192</v>
      </c>
      <c r="D255" t="inlineStr">
        <is>
          <t>VÄRMLANDS LÄN</t>
        </is>
      </c>
      <c r="E255" t="inlineStr">
        <is>
          <t>KRISTINEHAMN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3030-2026</t>
        </is>
      </c>
      <c r="B256" s="1" t="n">
        <v>46038</v>
      </c>
      <c r="C256" s="1" t="n">
        <v>46192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3034-2026</t>
        </is>
      </c>
      <c r="B257" s="1" t="n">
        <v>46038</v>
      </c>
      <c r="C257" s="1" t="n">
        <v>46192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56668-2023</t>
        </is>
      </c>
      <c r="B258" s="1" t="n">
        <v>45243</v>
      </c>
      <c r="C258" s="1" t="n">
        <v>46192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46333-2023</t>
        </is>
      </c>
      <c r="B259" s="1" t="n">
        <v>45191</v>
      </c>
      <c r="C259" s="1" t="n">
        <v>46192</v>
      </c>
      <c r="D259" t="inlineStr">
        <is>
          <t>VÄRMLANDS LÄN</t>
        </is>
      </c>
      <c r="E259" t="inlineStr">
        <is>
          <t>KRISTINEHAMN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26042-2022</t>
        </is>
      </c>
      <c r="B260" s="1" t="n">
        <v>44734</v>
      </c>
      <c r="C260" s="1" t="n">
        <v>46192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41297-2021</t>
        </is>
      </c>
      <c r="B261" s="1" t="n">
        <v>44424</v>
      </c>
      <c r="C261" s="1" t="n">
        <v>46192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56802-2024</t>
        </is>
      </c>
      <c r="B262" s="1" t="n">
        <v>45628</v>
      </c>
      <c r="C262" s="1" t="n">
        <v>46192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2524-2024</t>
        </is>
      </c>
      <c r="B263" s="1" t="n">
        <v>45313</v>
      </c>
      <c r="C263" s="1" t="n">
        <v>46192</v>
      </c>
      <c r="D263" t="inlineStr">
        <is>
          <t>VÄRMLANDS LÄN</t>
        </is>
      </c>
      <c r="E263" t="inlineStr">
        <is>
          <t>KRISTINEHAMN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61675-2024</t>
        </is>
      </c>
      <c r="B264" s="1" t="n">
        <v>45647</v>
      </c>
      <c r="C264" s="1" t="n">
        <v>46192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6933-2025</t>
        </is>
      </c>
      <c r="B265" s="1" t="n">
        <v>45701</v>
      </c>
      <c r="C265" s="1" t="n">
        <v>46192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18775-2025</t>
        </is>
      </c>
      <c r="B266" s="1" t="n">
        <v>45763</v>
      </c>
      <c r="C266" s="1" t="n">
        <v>46192</v>
      </c>
      <c r="D266" t="inlineStr">
        <is>
          <t>VÄRMLANDS LÄN</t>
        </is>
      </c>
      <c r="E266" t="inlineStr">
        <is>
          <t>KRISTINEHAMN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11784-2023</t>
        </is>
      </c>
      <c r="B267" s="1" t="n">
        <v>44994</v>
      </c>
      <c r="C267" s="1" t="n">
        <v>46192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54603-2021</t>
        </is>
      </c>
      <c r="B268" s="1" t="n">
        <v>44473</v>
      </c>
      <c r="C268" s="1" t="n">
        <v>46192</v>
      </c>
      <c r="D268" t="inlineStr">
        <is>
          <t>VÄRMLANDS LÄN</t>
        </is>
      </c>
      <c r="E268" t="inlineStr">
        <is>
          <t>KRISTINEHAMN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47368-2023</t>
        </is>
      </c>
      <c r="B269" s="1" t="n">
        <v>45202</v>
      </c>
      <c r="C269" s="1" t="n">
        <v>46192</v>
      </c>
      <c r="D269" t="inlineStr">
        <is>
          <t>VÄRMLANDS LÄN</t>
        </is>
      </c>
      <c r="E269" t="inlineStr">
        <is>
          <t>KRISTINEHAMN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4963-2026</t>
        </is>
      </c>
      <c r="B270" s="1" t="n">
        <v>46049</v>
      </c>
      <c r="C270" s="1" t="n">
        <v>46192</v>
      </c>
      <c r="D270" t="inlineStr">
        <is>
          <t>VÄRMLANDS LÄN</t>
        </is>
      </c>
      <c r="E270" t="inlineStr">
        <is>
          <t>KRISTINEHAMN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4580-2026</t>
        </is>
      </c>
      <c r="B271" s="1" t="n">
        <v>46048</v>
      </c>
      <c r="C271" s="1" t="n">
        <v>46192</v>
      </c>
      <c r="D271" t="inlineStr">
        <is>
          <t>VÄRMLANDS LÄN</t>
        </is>
      </c>
      <c r="E271" t="inlineStr">
        <is>
          <t>KRISTINEHAMN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5528-2026</t>
        </is>
      </c>
      <c r="B272" s="1" t="n">
        <v>46049</v>
      </c>
      <c r="C272" s="1" t="n">
        <v>46192</v>
      </c>
      <c r="D272" t="inlineStr">
        <is>
          <t>VÄRMLANDS LÄN</t>
        </is>
      </c>
      <c r="E272" t="inlineStr">
        <is>
          <t>KRISTINEHAMN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6259-2026</t>
        </is>
      </c>
      <c r="B273" s="1" t="n">
        <v>46051</v>
      </c>
      <c r="C273" s="1" t="n">
        <v>46192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62495-2022</t>
        </is>
      </c>
      <c r="B274" s="1" t="n">
        <v>44917</v>
      </c>
      <c r="C274" s="1" t="n">
        <v>46192</v>
      </c>
      <c r="D274" t="inlineStr">
        <is>
          <t>VÄRMLANDS LÄN</t>
        </is>
      </c>
      <c r="E274" t="inlineStr">
        <is>
          <t>KRISTINEHAMN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13459-2024</t>
        </is>
      </c>
      <c r="B275" s="1" t="n">
        <v>45387</v>
      </c>
      <c r="C275" s="1" t="n">
        <v>46192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19638-2025</t>
        </is>
      </c>
      <c r="B276" s="1" t="n">
        <v>45770</v>
      </c>
      <c r="C276" s="1" t="n">
        <v>46192</v>
      </c>
      <c r="D276" t="inlineStr">
        <is>
          <t>VÄRMLANDS LÄN</t>
        </is>
      </c>
      <c r="E276" t="inlineStr">
        <is>
          <t>KRISTINEHAMN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56662-2023</t>
        </is>
      </c>
      <c r="B277" s="1" t="n">
        <v>45243</v>
      </c>
      <c r="C277" s="1" t="n">
        <v>46192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56522-2021</t>
        </is>
      </c>
      <c r="B278" s="1" t="n">
        <v>44480</v>
      </c>
      <c r="C278" s="1" t="n">
        <v>46192</v>
      </c>
      <c r="D278" t="inlineStr">
        <is>
          <t>VÄRMLANDS LÄN</t>
        </is>
      </c>
      <c r="E278" t="inlineStr">
        <is>
          <t>KRISTINEHAMN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2945-2024</t>
        </is>
      </c>
      <c r="B279" s="1" t="n">
        <v>45315</v>
      </c>
      <c r="C279" s="1" t="n">
        <v>46192</v>
      </c>
      <c r="D279" t="inlineStr">
        <is>
          <t>VÄRMLANDS LÄN</t>
        </is>
      </c>
      <c r="E279" t="inlineStr">
        <is>
          <t>KRISTINEHAMN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7222-2024</t>
        </is>
      </c>
      <c r="B280" s="1" t="n">
        <v>45344</v>
      </c>
      <c r="C280" s="1" t="n">
        <v>46192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65050-2023</t>
        </is>
      </c>
      <c r="B281" s="1" t="n">
        <v>45282</v>
      </c>
      <c r="C281" s="1" t="n">
        <v>46192</v>
      </c>
      <c r="D281" t="inlineStr">
        <is>
          <t>VÄRMLANDS LÄN</t>
        </is>
      </c>
      <c r="E281" t="inlineStr">
        <is>
          <t>KRISTINEHAMN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58893-2023</t>
        </is>
      </c>
      <c r="B282" s="1" t="n">
        <v>45252</v>
      </c>
      <c r="C282" s="1" t="n">
        <v>46192</v>
      </c>
      <c r="D282" t="inlineStr">
        <is>
          <t>VÄRMLANDS LÄN</t>
        </is>
      </c>
      <c r="E282" t="inlineStr">
        <is>
          <t>KRISTINEHAMN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50103-2023</t>
        </is>
      </c>
      <c r="B283" s="1" t="n">
        <v>45208</v>
      </c>
      <c r="C283" s="1" t="n">
        <v>46192</v>
      </c>
      <c r="D283" t="inlineStr">
        <is>
          <t>VÄRMLANDS LÄN</t>
        </is>
      </c>
      <c r="E283" t="inlineStr">
        <is>
          <t>KRISTINEHAMN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56661-2023</t>
        </is>
      </c>
      <c r="B284" s="1" t="n">
        <v>45243</v>
      </c>
      <c r="C284" s="1" t="n">
        <v>46192</v>
      </c>
      <c r="D284" t="inlineStr">
        <is>
          <t>VÄRMLANDS LÄN</t>
        </is>
      </c>
      <c r="E284" t="inlineStr">
        <is>
          <t>KRISTINEHAMN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56664-2023</t>
        </is>
      </c>
      <c r="B285" s="1" t="n">
        <v>45243</v>
      </c>
      <c r="C285" s="1" t="n">
        <v>46192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34299-2021</t>
        </is>
      </c>
      <c r="B286" s="1" t="n">
        <v>44379</v>
      </c>
      <c r="C286" s="1" t="n">
        <v>46192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33464-2023</t>
        </is>
      </c>
      <c r="B287" s="1" t="n">
        <v>45118</v>
      </c>
      <c r="C287" s="1" t="n">
        <v>46192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19292-2025</t>
        </is>
      </c>
      <c r="B288" s="1" t="n">
        <v>45769</v>
      </c>
      <c r="C288" s="1" t="n">
        <v>46192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55003-2021</t>
        </is>
      </c>
      <c r="B289" s="1" t="n">
        <v>44474</v>
      </c>
      <c r="C289" s="1" t="n">
        <v>46192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37742-2023</t>
        </is>
      </c>
      <c r="B290" s="1" t="n">
        <v>45159</v>
      </c>
      <c r="C290" s="1" t="n">
        <v>46192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56697-2022</t>
        </is>
      </c>
      <c r="B291" s="1" t="n">
        <v>44888</v>
      </c>
      <c r="C291" s="1" t="n">
        <v>46192</v>
      </c>
      <c r="D291" t="inlineStr">
        <is>
          <t>VÄRMLANDS LÄN</t>
        </is>
      </c>
      <c r="E291" t="inlineStr">
        <is>
          <t>KRISTINEHAMN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14772-2022</t>
        </is>
      </c>
      <c r="B292" s="1" t="n">
        <v>44656</v>
      </c>
      <c r="C292" s="1" t="n">
        <v>46192</v>
      </c>
      <c r="D292" t="inlineStr">
        <is>
          <t>VÄRMLANDS LÄN</t>
        </is>
      </c>
      <c r="E292" t="inlineStr">
        <is>
          <t>KRISTINEHAMN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47770-2023</t>
        </is>
      </c>
      <c r="B293" s="1" t="n">
        <v>45203</v>
      </c>
      <c r="C293" s="1" t="n">
        <v>46192</v>
      </c>
      <c r="D293" t="inlineStr">
        <is>
          <t>VÄRMLANDS LÄN</t>
        </is>
      </c>
      <c r="E293" t="inlineStr">
        <is>
          <t>KRISTINEHAMN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23707-2022</t>
        </is>
      </c>
      <c r="B294" s="1" t="n">
        <v>44722</v>
      </c>
      <c r="C294" s="1" t="n">
        <v>46192</v>
      </c>
      <c r="D294" t="inlineStr">
        <is>
          <t>VÄRMLANDS LÄN</t>
        </is>
      </c>
      <c r="E294" t="inlineStr">
        <is>
          <t>KRISTINEHAMN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4796-2024</t>
        </is>
      </c>
      <c r="B295" s="1" t="n">
        <v>45328</v>
      </c>
      <c r="C295" s="1" t="n">
        <v>46192</v>
      </c>
      <c r="D295" t="inlineStr">
        <is>
          <t>VÄRMLANDS LÄN</t>
        </is>
      </c>
      <c r="E295" t="inlineStr">
        <is>
          <t>KRISTINEHAMN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12395-2024</t>
        </is>
      </c>
      <c r="B296" s="1" t="n">
        <v>45379</v>
      </c>
      <c r="C296" s="1" t="n">
        <v>46192</v>
      </c>
      <c r="D296" t="inlineStr">
        <is>
          <t>VÄRMLANDS LÄN</t>
        </is>
      </c>
      <c r="E296" t="inlineStr">
        <is>
          <t>KRISTINEHAMN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28834-2024</t>
        </is>
      </c>
      <c r="B297" s="1" t="n">
        <v>45478</v>
      </c>
      <c r="C297" s="1" t="n">
        <v>46192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24385-2023</t>
        </is>
      </c>
      <c r="B298" s="1" t="n">
        <v>45076</v>
      </c>
      <c r="C298" s="1" t="n">
        <v>46192</v>
      </c>
      <c r="D298" t="inlineStr">
        <is>
          <t>VÄRMLANDS LÄN</t>
        </is>
      </c>
      <c r="E298" t="inlineStr">
        <is>
          <t>KRISTINEHAMN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24146-2023</t>
        </is>
      </c>
      <c r="B299" s="1" t="n">
        <v>45079</v>
      </c>
      <c r="C299" s="1" t="n">
        <v>46192</v>
      </c>
      <c r="D299" t="inlineStr">
        <is>
          <t>VÄRMLANDS LÄN</t>
        </is>
      </c>
      <c r="E299" t="inlineStr">
        <is>
          <t>KRISTINEHAMN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3790-2025</t>
        </is>
      </c>
      <c r="B300" s="1" t="n">
        <v>45681</v>
      </c>
      <c r="C300" s="1" t="n">
        <v>46192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31152-2022</t>
        </is>
      </c>
      <c r="B301" s="1" t="n">
        <v>44770</v>
      </c>
      <c r="C301" s="1" t="n">
        <v>46192</v>
      </c>
      <c r="D301" t="inlineStr">
        <is>
          <t>VÄRMLANDS LÄN</t>
        </is>
      </c>
      <c r="E301" t="inlineStr">
        <is>
          <t>KRISTINEHAMN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6936-2025</t>
        </is>
      </c>
      <c r="B302" s="1" t="n">
        <v>45701</v>
      </c>
      <c r="C302" s="1" t="n">
        <v>46192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10548-2024</t>
        </is>
      </c>
      <c r="B303" s="1" t="n">
        <v>45366</v>
      </c>
      <c r="C303" s="1" t="n">
        <v>46192</v>
      </c>
      <c r="D303" t="inlineStr">
        <is>
          <t>VÄRMLANDS LÄN</t>
        </is>
      </c>
      <c r="E303" t="inlineStr">
        <is>
          <t>KRISTINEHAMN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13505-2022</t>
        </is>
      </c>
      <c r="B304" s="1" t="n">
        <v>44648</v>
      </c>
      <c r="C304" s="1" t="n">
        <v>46192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6113-2025</t>
        </is>
      </c>
      <c r="B305" s="1" t="n">
        <v>45698</v>
      </c>
      <c r="C305" s="1" t="n">
        <v>46192</v>
      </c>
      <c r="D305" t="inlineStr">
        <is>
          <t>VÄRMLANDS LÄN</t>
        </is>
      </c>
      <c r="E305" t="inlineStr">
        <is>
          <t>KRISTINEHAMN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3793-2025</t>
        </is>
      </c>
      <c r="B306" s="1" t="n">
        <v>45681</v>
      </c>
      <c r="C306" s="1" t="n">
        <v>46192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61719-2023</t>
        </is>
      </c>
      <c r="B307" s="1" t="n">
        <v>45265</v>
      </c>
      <c r="C307" s="1" t="n">
        <v>46192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12458-2024</t>
        </is>
      </c>
      <c r="B308" s="1" t="n">
        <v>45379</v>
      </c>
      <c r="C308" s="1" t="n">
        <v>46192</v>
      </c>
      <c r="D308" t="inlineStr">
        <is>
          <t>VÄRMLANDS LÄN</t>
        </is>
      </c>
      <c r="E308" t="inlineStr">
        <is>
          <t>KRISTINEHAMN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19974-2025</t>
        </is>
      </c>
      <c r="B309" s="1" t="n">
        <v>45771</v>
      </c>
      <c r="C309" s="1" t="n">
        <v>46192</v>
      </c>
      <c r="D309" t="inlineStr">
        <is>
          <t>VÄRMLANDS LÄN</t>
        </is>
      </c>
      <c r="E309" t="inlineStr">
        <is>
          <t>KRISTINEHAMN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21602-2025</t>
        </is>
      </c>
      <c r="B310" s="1" t="n">
        <v>45783</v>
      </c>
      <c r="C310" s="1" t="n">
        <v>46192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8758-2023</t>
        </is>
      </c>
      <c r="B311" s="1" t="n">
        <v>44978</v>
      </c>
      <c r="C311" s="1" t="n">
        <v>46192</v>
      </c>
      <c r="D311" t="inlineStr">
        <is>
          <t>VÄRMLANDS LÄN</t>
        </is>
      </c>
      <c r="E311" t="inlineStr">
        <is>
          <t>KRISTINEHAMN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54606-2021</t>
        </is>
      </c>
      <c r="B312" s="1" t="n">
        <v>44473</v>
      </c>
      <c r="C312" s="1" t="n">
        <v>46192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11463-2026</t>
        </is>
      </c>
      <c r="B313" s="1" t="n">
        <v>46083</v>
      </c>
      <c r="C313" s="1" t="n">
        <v>46192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59190-2024</t>
        </is>
      </c>
      <c r="B314" s="1" t="n">
        <v>45636</v>
      </c>
      <c r="C314" s="1" t="n">
        <v>46192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9606-2024</t>
        </is>
      </c>
      <c r="B315" s="1" t="n">
        <v>45361</v>
      </c>
      <c r="C315" s="1" t="n">
        <v>46192</v>
      </c>
      <c r="D315" t="inlineStr">
        <is>
          <t>VÄRMLANDS LÄN</t>
        </is>
      </c>
      <c r="E315" t="inlineStr">
        <is>
          <t>KRISTINEHAMN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12934-2026</t>
        </is>
      </c>
      <c r="B316" s="1" t="n">
        <v>46092</v>
      </c>
      <c r="C316" s="1" t="n">
        <v>46192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36774-2022</t>
        </is>
      </c>
      <c r="B317" s="1" t="n">
        <v>44805</v>
      </c>
      <c r="C317" s="1" t="n">
        <v>46192</v>
      </c>
      <c r="D317" t="inlineStr">
        <is>
          <t>VÄRMLANDS LÄN</t>
        </is>
      </c>
      <c r="E317" t="inlineStr">
        <is>
          <t>KRISTINEHAMN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12930-2026</t>
        </is>
      </c>
      <c r="B318" s="1" t="n">
        <v>46092</v>
      </c>
      <c r="C318" s="1" t="n">
        <v>46192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12932-2026</t>
        </is>
      </c>
      <c r="B319" s="1" t="n">
        <v>46092</v>
      </c>
      <c r="C319" s="1" t="n">
        <v>46192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27961-2023</t>
        </is>
      </c>
      <c r="B320" s="1" t="n">
        <v>45098</v>
      </c>
      <c r="C320" s="1" t="n">
        <v>46192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13461-2026</t>
        </is>
      </c>
      <c r="B321" s="1" t="n">
        <v>46094</v>
      </c>
      <c r="C321" s="1" t="n">
        <v>46192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13462-2026</t>
        </is>
      </c>
      <c r="B322" s="1" t="n">
        <v>46094</v>
      </c>
      <c r="C322" s="1" t="n">
        <v>46192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13464-2026</t>
        </is>
      </c>
      <c r="B323" s="1" t="n">
        <v>46094</v>
      </c>
      <c r="C323" s="1" t="n">
        <v>46192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14014-2024</t>
        </is>
      </c>
      <c r="B324" s="1" t="n">
        <v>45392</v>
      </c>
      <c r="C324" s="1" t="n">
        <v>46192</v>
      </c>
      <c r="D324" t="inlineStr">
        <is>
          <t>VÄRMLANDS LÄN</t>
        </is>
      </c>
      <c r="E324" t="inlineStr">
        <is>
          <t>KRISTINEHAMN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3332-2025</t>
        </is>
      </c>
      <c r="B325" s="1" t="n">
        <v>45679</v>
      </c>
      <c r="C325" s="1" t="n">
        <v>46192</v>
      </c>
      <c r="D325" t="inlineStr">
        <is>
          <t>VÄRMLANDS LÄN</t>
        </is>
      </c>
      <c r="E325" t="inlineStr">
        <is>
          <t>KRISTINEHAMN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23270-2024</t>
        </is>
      </c>
      <c r="B326" s="1" t="n">
        <v>45450</v>
      </c>
      <c r="C326" s="1" t="n">
        <v>46192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23510-2025</t>
        </is>
      </c>
      <c r="B327" s="1" t="n">
        <v>45792</v>
      </c>
      <c r="C327" s="1" t="n">
        <v>46192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68526-2021</t>
        </is>
      </c>
      <c r="B328" s="1" t="n">
        <v>44526</v>
      </c>
      <c r="C328" s="1" t="n">
        <v>46192</v>
      </c>
      <c r="D328" t="inlineStr">
        <is>
          <t>VÄRMLANDS LÄN</t>
        </is>
      </c>
      <c r="E328" t="inlineStr">
        <is>
          <t>KRISTINEHAMN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68530-2021</t>
        </is>
      </c>
      <c r="B329" s="1" t="n">
        <v>44526</v>
      </c>
      <c r="C329" s="1" t="n">
        <v>46192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23498-2025</t>
        </is>
      </c>
      <c r="B330" s="1" t="n">
        <v>45792</v>
      </c>
      <c r="C330" s="1" t="n">
        <v>46192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23501-2025</t>
        </is>
      </c>
      <c r="B331" s="1" t="n">
        <v>45792</v>
      </c>
      <c r="C331" s="1" t="n">
        <v>46192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23511-2025</t>
        </is>
      </c>
      <c r="B332" s="1" t="n">
        <v>45792</v>
      </c>
      <c r="C332" s="1" t="n">
        <v>46192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40988-2021</t>
        </is>
      </c>
      <c r="B333" s="1" t="n">
        <v>44421</v>
      </c>
      <c r="C333" s="1" t="n">
        <v>46192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23502-2025</t>
        </is>
      </c>
      <c r="B334" s="1" t="n">
        <v>45792</v>
      </c>
      <c r="C334" s="1" t="n">
        <v>46192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22201-2022</t>
        </is>
      </c>
      <c r="B335" s="1" t="n">
        <v>44712</v>
      </c>
      <c r="C335" s="1" t="n">
        <v>46192</v>
      </c>
      <c r="D335" t="inlineStr">
        <is>
          <t>VÄRMLANDS LÄN</t>
        </is>
      </c>
      <c r="E335" t="inlineStr">
        <is>
          <t>KRISTINEHAMN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6609-2025</t>
        </is>
      </c>
      <c r="B336" s="1" t="n">
        <v>45700</v>
      </c>
      <c r="C336" s="1" t="n">
        <v>46192</v>
      </c>
      <c r="D336" t="inlineStr">
        <is>
          <t>VÄRMLANDS LÄN</t>
        </is>
      </c>
      <c r="E336" t="inlineStr">
        <is>
          <t>KRISTINEHAMN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4493-2025</t>
        </is>
      </c>
      <c r="B337" s="1" t="n">
        <v>45686</v>
      </c>
      <c r="C337" s="1" t="n">
        <v>46192</v>
      </c>
      <c r="D337" t="inlineStr">
        <is>
          <t>VÄRMLANDS LÄN</t>
        </is>
      </c>
      <c r="E337" t="inlineStr">
        <is>
          <t>KRISTINEHAMN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59862-2024</t>
        </is>
      </c>
      <c r="B338" s="1" t="n">
        <v>45639</v>
      </c>
      <c r="C338" s="1" t="n">
        <v>46192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16427-2024</t>
        </is>
      </c>
      <c r="B339" s="1" t="n">
        <v>45407</v>
      </c>
      <c r="C339" s="1" t="n">
        <v>46192</v>
      </c>
      <c r="D339" t="inlineStr">
        <is>
          <t>VÄRMLANDS LÄN</t>
        </is>
      </c>
      <c r="E339" t="inlineStr">
        <is>
          <t>KRISTINEHAMN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21861-2023</t>
        </is>
      </c>
      <c r="B340" s="1" t="n">
        <v>45068</v>
      </c>
      <c r="C340" s="1" t="n">
        <v>46192</v>
      </c>
      <c r="D340" t="inlineStr">
        <is>
          <t>VÄRMLANDS LÄN</t>
        </is>
      </c>
      <c r="E340" t="inlineStr">
        <is>
          <t>KRISTINEHAMN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58284-2024</t>
        </is>
      </c>
      <c r="B341" s="1" t="n">
        <v>45631</v>
      </c>
      <c r="C341" s="1" t="n">
        <v>46192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29526-2022</t>
        </is>
      </c>
      <c r="B342" s="1" t="n">
        <v>44753</v>
      </c>
      <c r="C342" s="1" t="n">
        <v>46192</v>
      </c>
      <c r="D342" t="inlineStr">
        <is>
          <t>VÄRMLANDS LÄN</t>
        </is>
      </c>
      <c r="E342" t="inlineStr">
        <is>
          <t>KRISTINEHAMN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2406-2025</t>
        </is>
      </c>
      <c r="B343" s="1" t="n">
        <v>45674</v>
      </c>
      <c r="C343" s="1" t="n">
        <v>46192</v>
      </c>
      <c r="D343" t="inlineStr">
        <is>
          <t>VÄRMLANDS LÄN</t>
        </is>
      </c>
      <c r="E343" t="inlineStr">
        <is>
          <t>KRISTINEHAMN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65055-2023</t>
        </is>
      </c>
      <c r="B344" s="1" t="n">
        <v>45282</v>
      </c>
      <c r="C344" s="1" t="n">
        <v>46192</v>
      </c>
      <c r="D344" t="inlineStr">
        <is>
          <t>VÄRMLANDS LÄN</t>
        </is>
      </c>
      <c r="E344" t="inlineStr">
        <is>
          <t>KRISTINEHAMN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14757-2026</t>
        </is>
      </c>
      <c r="B345" s="1" t="n">
        <v>46101</v>
      </c>
      <c r="C345" s="1" t="n">
        <v>46192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14759-2026</t>
        </is>
      </c>
      <c r="B346" s="1" t="n">
        <v>46101</v>
      </c>
      <c r="C346" s="1" t="n">
        <v>46192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15064-2026</t>
        </is>
      </c>
      <c r="B347" s="1" t="n">
        <v>46104</v>
      </c>
      <c r="C347" s="1" t="n">
        <v>46192</v>
      </c>
      <c r="D347" t="inlineStr">
        <is>
          <t>VÄRMLANDS LÄN</t>
        </is>
      </c>
      <c r="E347" t="inlineStr">
        <is>
          <t>KRISTINEHAMN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24651-2025</t>
        </is>
      </c>
      <c r="B348" s="1" t="n">
        <v>45798</v>
      </c>
      <c r="C348" s="1" t="n">
        <v>46192</v>
      </c>
      <c r="D348" t="inlineStr">
        <is>
          <t>VÄRMLANDS LÄN</t>
        </is>
      </c>
      <c r="E348" t="inlineStr">
        <is>
          <t>KRISTINEHAMN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24970-2025</t>
        </is>
      </c>
      <c r="B349" s="1" t="n">
        <v>45799</v>
      </c>
      <c r="C349" s="1" t="n">
        <v>46192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45012-2024</t>
        </is>
      </c>
      <c r="B350" s="1" t="n">
        <v>45575</v>
      </c>
      <c r="C350" s="1" t="n">
        <v>46192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28472-2024</t>
        </is>
      </c>
      <c r="B351" s="1" t="n">
        <v>45477</v>
      </c>
      <c r="C351" s="1" t="n">
        <v>46192</v>
      </c>
      <c r="D351" t="inlineStr">
        <is>
          <t>VÄRMLANDS LÄN</t>
        </is>
      </c>
      <c r="E351" t="inlineStr">
        <is>
          <t>KRISTINEHAMN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15646-2026</t>
        </is>
      </c>
      <c r="B352" s="1" t="n">
        <v>46106</v>
      </c>
      <c r="C352" s="1" t="n">
        <v>46192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39997-2024</t>
        </is>
      </c>
      <c r="B353" s="1" t="n">
        <v>45553</v>
      </c>
      <c r="C353" s="1" t="n">
        <v>46192</v>
      </c>
      <c r="D353" t="inlineStr">
        <is>
          <t>VÄRMLANDS LÄN</t>
        </is>
      </c>
      <c r="E353" t="inlineStr">
        <is>
          <t>KRISTINEHAMN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24655-2025</t>
        </is>
      </c>
      <c r="B354" s="1" t="n">
        <v>45798</v>
      </c>
      <c r="C354" s="1" t="n">
        <v>46192</v>
      </c>
      <c r="D354" t="inlineStr">
        <is>
          <t>VÄRMLANDS LÄN</t>
        </is>
      </c>
      <c r="E354" t="inlineStr">
        <is>
          <t>KRISTINEHAMN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25648-2025</t>
        </is>
      </c>
      <c r="B355" s="1" t="n">
        <v>45803</v>
      </c>
      <c r="C355" s="1" t="n">
        <v>46192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359-2023</t>
        </is>
      </c>
      <c r="B356" s="1" t="n">
        <v>44923</v>
      </c>
      <c r="C356" s="1" t="n">
        <v>46192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21842-2026</t>
        </is>
      </c>
      <c r="B357" s="1" t="n">
        <v>46150</v>
      </c>
      <c r="C357" s="1" t="n">
        <v>46192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8557-2023</t>
        </is>
      </c>
      <c r="B358" s="1" t="n">
        <v>44972</v>
      </c>
      <c r="C358" s="1" t="n">
        <v>46192</v>
      </c>
      <c r="D358" t="inlineStr">
        <is>
          <t>VÄRMLANDS LÄN</t>
        </is>
      </c>
      <c r="E358" t="inlineStr">
        <is>
          <t>KRISTINEHAMN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25484-2025</t>
        </is>
      </c>
      <c r="B359" s="1" t="n">
        <v>45802</v>
      </c>
      <c r="C359" s="1" t="n">
        <v>46192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15860-2023</t>
        </is>
      </c>
      <c r="B360" s="1" t="n">
        <v>45022</v>
      </c>
      <c r="C360" s="1" t="n">
        <v>46192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15827-2026</t>
        </is>
      </c>
      <c r="B361" s="1" t="n">
        <v>46107</v>
      </c>
      <c r="C361" s="1" t="n">
        <v>46192</v>
      </c>
      <c r="D361" t="inlineStr">
        <is>
          <t>VÄRMLANDS LÄN</t>
        </is>
      </c>
      <c r="E361" t="inlineStr">
        <is>
          <t>KRISTINEHAMN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62770-2023</t>
        </is>
      </c>
      <c r="B362" s="1" t="n">
        <v>45268</v>
      </c>
      <c r="C362" s="1" t="n">
        <v>46192</v>
      </c>
      <c r="D362" t="inlineStr">
        <is>
          <t>VÄRMLANDS LÄN</t>
        </is>
      </c>
      <c r="E362" t="inlineStr">
        <is>
          <t>KRISTINEHAMN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21844-2026</t>
        </is>
      </c>
      <c r="B363" s="1" t="n">
        <v>46150</v>
      </c>
      <c r="C363" s="1" t="n">
        <v>46192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26192-2025</t>
        </is>
      </c>
      <c r="B364" s="1" t="n">
        <v>45805</v>
      </c>
      <c r="C364" s="1" t="n">
        <v>46192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9394-2024</t>
        </is>
      </c>
      <c r="B365" s="1" t="n">
        <v>45359</v>
      </c>
      <c r="C365" s="1" t="n">
        <v>46192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52750-2021</t>
        </is>
      </c>
      <c r="B366" s="1" t="n">
        <v>44466</v>
      </c>
      <c r="C366" s="1" t="n">
        <v>46192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26179-2025</t>
        </is>
      </c>
      <c r="B367" s="1" t="n">
        <v>45805</v>
      </c>
      <c r="C367" s="1" t="n">
        <v>46192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12.6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26181-2025</t>
        </is>
      </c>
      <c r="B368" s="1" t="n">
        <v>45805</v>
      </c>
      <c r="C368" s="1" t="n">
        <v>46192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22255-2026</t>
        </is>
      </c>
      <c r="B369" s="1" t="n">
        <v>46154</v>
      </c>
      <c r="C369" s="1" t="n">
        <v>46192</v>
      </c>
      <c r="D369" t="inlineStr">
        <is>
          <t>VÄRMLANDS LÄN</t>
        </is>
      </c>
      <c r="E369" t="inlineStr">
        <is>
          <t>KRISTINEHAMN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26623-2025</t>
        </is>
      </c>
      <c r="B370" s="1" t="n">
        <v>45810</v>
      </c>
      <c r="C370" s="1" t="n">
        <v>46192</v>
      </c>
      <c r="D370" t="inlineStr">
        <is>
          <t>VÄRMLANDS LÄN</t>
        </is>
      </c>
      <c r="E370" t="inlineStr">
        <is>
          <t>KRISTINEHAMN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26871-2025</t>
        </is>
      </c>
      <c r="B371" s="1" t="n">
        <v>45810</v>
      </c>
      <c r="C371" s="1" t="n">
        <v>46192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21271-2025</t>
        </is>
      </c>
      <c r="B372" s="1" t="n">
        <v>45771</v>
      </c>
      <c r="C372" s="1" t="n">
        <v>46192</v>
      </c>
      <c r="D372" t="inlineStr">
        <is>
          <t>VÄRMLANDS LÄN</t>
        </is>
      </c>
      <c r="E372" t="inlineStr">
        <is>
          <t>KRISTINEHAMN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27139-2025</t>
        </is>
      </c>
      <c r="B373" s="1" t="n">
        <v>45812</v>
      </c>
      <c r="C373" s="1" t="n">
        <v>46192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27140-2025</t>
        </is>
      </c>
      <c r="B374" s="1" t="n">
        <v>45812</v>
      </c>
      <c r="C374" s="1" t="n">
        <v>46192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56656-2024</t>
        </is>
      </c>
      <c r="B375" s="1" t="n">
        <v>45625</v>
      </c>
      <c r="C375" s="1" t="n">
        <v>46192</v>
      </c>
      <c r="D375" t="inlineStr">
        <is>
          <t>VÄRMLANDS LÄN</t>
        </is>
      </c>
      <c r="E375" t="inlineStr">
        <is>
          <t>KRISTINEHAMN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39781-2023</t>
        </is>
      </c>
      <c r="B376" s="1" t="n">
        <v>45167</v>
      </c>
      <c r="C376" s="1" t="n">
        <v>46192</v>
      </c>
      <c r="D376" t="inlineStr">
        <is>
          <t>VÄRMLANDS LÄN</t>
        </is>
      </c>
      <c r="E376" t="inlineStr">
        <is>
          <t>KRISTINEHAMN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28731-2025</t>
        </is>
      </c>
      <c r="B377" s="1" t="n">
        <v>45820</v>
      </c>
      <c r="C377" s="1" t="n">
        <v>46192</v>
      </c>
      <c r="D377" t="inlineStr">
        <is>
          <t>VÄRMLANDS LÄN</t>
        </is>
      </c>
      <c r="E377" t="inlineStr">
        <is>
          <t>KRISTINEHAMN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10124-2024</t>
        </is>
      </c>
      <c r="B378" s="1" t="n">
        <v>45364</v>
      </c>
      <c r="C378" s="1" t="n">
        <v>46192</v>
      </c>
      <c r="D378" t="inlineStr">
        <is>
          <t>VÄRMLANDS LÄN</t>
        </is>
      </c>
      <c r="E378" t="inlineStr">
        <is>
          <t>KRISTINEHAMN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58616-2021</t>
        </is>
      </c>
      <c r="B379" s="1" t="n">
        <v>44489</v>
      </c>
      <c r="C379" s="1" t="n">
        <v>46192</v>
      </c>
      <c r="D379" t="inlineStr">
        <is>
          <t>VÄRMLANDS LÄN</t>
        </is>
      </c>
      <c r="E379" t="inlineStr">
        <is>
          <t>KRISTINEHAMN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13032-2024</t>
        </is>
      </c>
      <c r="B380" s="1" t="n">
        <v>45385</v>
      </c>
      <c r="C380" s="1" t="n">
        <v>46192</v>
      </c>
      <c r="D380" t="inlineStr">
        <is>
          <t>VÄRMLANDS LÄN</t>
        </is>
      </c>
      <c r="E380" t="inlineStr">
        <is>
          <t>KRISTINEHAMN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30221-2025</t>
        </is>
      </c>
      <c r="B381" s="1" t="n">
        <v>45827</v>
      </c>
      <c r="C381" s="1" t="n">
        <v>46192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12261-2024</t>
        </is>
      </c>
      <c r="B382" s="1" t="n">
        <v>45378</v>
      </c>
      <c r="C382" s="1" t="n">
        <v>46192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10116-2024</t>
        </is>
      </c>
      <c r="B383" s="1" t="n">
        <v>45364</v>
      </c>
      <c r="C383" s="1" t="n">
        <v>46192</v>
      </c>
      <c r="D383" t="inlineStr">
        <is>
          <t>VÄRMLANDS LÄN</t>
        </is>
      </c>
      <c r="E383" t="inlineStr">
        <is>
          <t>KRISTINEHAMN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10106-2024</t>
        </is>
      </c>
      <c r="B384" s="1" t="n">
        <v>45364</v>
      </c>
      <c r="C384" s="1" t="n">
        <v>46192</v>
      </c>
      <c r="D384" t="inlineStr">
        <is>
          <t>VÄRMLANDS LÄN</t>
        </is>
      </c>
      <c r="E384" t="inlineStr">
        <is>
          <t>KRISTINEHAMN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23147-2026</t>
        </is>
      </c>
      <c r="B385" s="1" t="n">
        <v>46161</v>
      </c>
      <c r="C385" s="1" t="n">
        <v>46192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23294-2026</t>
        </is>
      </c>
      <c r="B386" s="1" t="n">
        <v>46162</v>
      </c>
      <c r="C386" s="1" t="n">
        <v>46192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31528-2025</t>
        </is>
      </c>
      <c r="B387" s="1" t="n">
        <v>45833</v>
      </c>
      <c r="C387" s="1" t="n">
        <v>46192</v>
      </c>
      <c r="D387" t="inlineStr">
        <is>
          <t>VÄRMLANDS LÄN</t>
        </is>
      </c>
      <c r="E387" t="inlineStr">
        <is>
          <t>KRISTINEHAMN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31250-2025</t>
        </is>
      </c>
      <c r="B388" s="1" t="n">
        <v>45832</v>
      </c>
      <c r="C388" s="1" t="n">
        <v>46192</v>
      </c>
      <c r="D388" t="inlineStr">
        <is>
          <t>VÄRMLANDS LÄN</t>
        </is>
      </c>
      <c r="E388" t="inlineStr">
        <is>
          <t>KRISTINEHAMN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31449-2025</t>
        </is>
      </c>
      <c r="B389" s="1" t="n">
        <v>45833</v>
      </c>
      <c r="C389" s="1" t="n">
        <v>46192</v>
      </c>
      <c r="D389" t="inlineStr">
        <is>
          <t>VÄRMLANDS LÄN</t>
        </is>
      </c>
      <c r="E389" t="inlineStr">
        <is>
          <t>KRISTINEHAMN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31327-2025</t>
        </is>
      </c>
      <c r="B390" s="1" t="n">
        <v>45833</v>
      </c>
      <c r="C390" s="1" t="n">
        <v>46192</v>
      </c>
      <c r="D390" t="inlineStr">
        <is>
          <t>VÄRMLANDS LÄN</t>
        </is>
      </c>
      <c r="E390" t="inlineStr">
        <is>
          <t>KRISTINEHAMN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23332-2024</t>
        </is>
      </c>
      <c r="B391" s="1" t="n">
        <v>45453</v>
      </c>
      <c r="C391" s="1" t="n">
        <v>46192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670-2025</t>
        </is>
      </c>
      <c r="B392" s="1" t="n">
        <v>45664</v>
      </c>
      <c r="C392" s="1" t="n">
        <v>46192</v>
      </c>
      <c r="D392" t="inlineStr">
        <is>
          <t>VÄRMLANDS LÄN</t>
        </is>
      </c>
      <c r="E392" t="inlineStr">
        <is>
          <t>KRISTINEHAMN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1099-2025</t>
        </is>
      </c>
      <c r="B393" s="1" t="n">
        <v>45666</v>
      </c>
      <c r="C393" s="1" t="n">
        <v>46192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3932-2024</t>
        </is>
      </c>
      <c r="B394" s="1" t="n">
        <v>45322</v>
      </c>
      <c r="C394" s="1" t="n">
        <v>46192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62777-2023</t>
        </is>
      </c>
      <c r="B395" s="1" t="n">
        <v>45268</v>
      </c>
      <c r="C395" s="1" t="n">
        <v>46192</v>
      </c>
      <c r="D395" t="inlineStr">
        <is>
          <t>VÄRMLANDS LÄN</t>
        </is>
      </c>
      <c r="E395" t="inlineStr">
        <is>
          <t>KRISTINEHAMN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24883-2024</t>
        </is>
      </c>
      <c r="B396" s="1" t="n">
        <v>45461</v>
      </c>
      <c r="C396" s="1" t="n">
        <v>46192</v>
      </c>
      <c r="D396" t="inlineStr">
        <is>
          <t>VÄRMLANDS LÄN</t>
        </is>
      </c>
      <c r="E396" t="inlineStr">
        <is>
          <t>KRISTINEHAMN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24379-2026</t>
        </is>
      </c>
      <c r="B397" s="1" t="n">
        <v>46169</v>
      </c>
      <c r="C397" s="1" t="n">
        <v>46192</v>
      </c>
      <c r="D397" t="inlineStr">
        <is>
          <t>VÄRMLANDS LÄN</t>
        </is>
      </c>
      <c r="E397" t="inlineStr">
        <is>
          <t>KRISTINEHAMN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32821-2023</t>
        </is>
      </c>
      <c r="B398" s="1" t="n">
        <v>45112</v>
      </c>
      <c r="C398" s="1" t="n">
        <v>46192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2522-2024</t>
        </is>
      </c>
      <c r="B399" s="1" t="n">
        <v>45313</v>
      </c>
      <c r="C399" s="1" t="n">
        <v>46192</v>
      </c>
      <c r="D399" t="inlineStr">
        <is>
          <t>VÄRMLANDS LÄN</t>
        </is>
      </c>
      <c r="E399" t="inlineStr">
        <is>
          <t>KRISTINEHAMN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18902-2026</t>
        </is>
      </c>
      <c r="B400" s="1" t="n">
        <v>46129</v>
      </c>
      <c r="C400" s="1" t="n">
        <v>46192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18909-2026</t>
        </is>
      </c>
      <c r="B401" s="1" t="n">
        <v>46129</v>
      </c>
      <c r="C401" s="1" t="n">
        <v>46192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5505-2022</t>
        </is>
      </c>
      <c r="B402" s="1" t="n">
        <v>44595</v>
      </c>
      <c r="C402" s="1" t="n">
        <v>46192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5507-2022</t>
        </is>
      </c>
      <c r="B403" s="1" t="n">
        <v>44595</v>
      </c>
      <c r="C403" s="1" t="n">
        <v>46192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24570-2026</t>
        </is>
      </c>
      <c r="B404" s="1" t="n">
        <v>46170</v>
      </c>
      <c r="C404" s="1" t="n">
        <v>46192</v>
      </c>
      <c r="D404" t="inlineStr">
        <is>
          <t>VÄRMLANDS LÄN</t>
        </is>
      </c>
      <c r="E404" t="inlineStr">
        <is>
          <t>KRISTINEHAMN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24634-2026</t>
        </is>
      </c>
      <c r="B405" s="1" t="n">
        <v>46171</v>
      </c>
      <c r="C405" s="1" t="n">
        <v>46192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1265-2024</t>
        </is>
      </c>
      <c r="B406" s="1" t="n">
        <v>45302</v>
      </c>
      <c r="C406" s="1" t="n">
        <v>46192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21384-2025</t>
        </is>
      </c>
      <c r="B407" s="1" t="n">
        <v>45782</v>
      </c>
      <c r="C407" s="1" t="n">
        <v>46192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32821-2023</t>
        </is>
      </c>
      <c r="B408" s="1" t="n">
        <v>45112</v>
      </c>
      <c r="C408" s="1" t="n">
        <v>46192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47915-2022</t>
        </is>
      </c>
      <c r="B409" s="1" t="n">
        <v>44855</v>
      </c>
      <c r="C409" s="1" t="n">
        <v>46192</v>
      </c>
      <c r="D409" t="inlineStr">
        <is>
          <t>VÄRMLANDS LÄN</t>
        </is>
      </c>
      <c r="E409" t="inlineStr">
        <is>
          <t>KRISTINEHAMN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46138-2024</t>
        </is>
      </c>
      <c r="B410" s="1" t="n">
        <v>45581</v>
      </c>
      <c r="C410" s="1" t="n">
        <v>46192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19226-2026</t>
        </is>
      </c>
      <c r="B411" s="1" t="n">
        <v>46132</v>
      </c>
      <c r="C411" s="1" t="n">
        <v>46192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6278-2023</t>
        </is>
      </c>
      <c r="B412" s="1" t="n">
        <v>44965</v>
      </c>
      <c r="C412" s="1" t="n">
        <v>46192</v>
      </c>
      <c r="D412" t="inlineStr">
        <is>
          <t>VÄRMLANDS LÄN</t>
        </is>
      </c>
      <c r="E412" t="inlineStr">
        <is>
          <t>KRISTINEHAMN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59203-2024</t>
        </is>
      </c>
      <c r="B413" s="1" t="n">
        <v>45636</v>
      </c>
      <c r="C413" s="1" t="n">
        <v>46192</v>
      </c>
      <c r="D413" t="inlineStr">
        <is>
          <t>VÄRMLANDS LÄN</t>
        </is>
      </c>
      <c r="E413" t="inlineStr">
        <is>
          <t>KRISTINEHAMN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47951-2021</t>
        </is>
      </c>
      <c r="B414" s="1" t="n">
        <v>44448</v>
      </c>
      <c r="C414" s="1" t="n">
        <v>46192</v>
      </c>
      <c r="D414" t="inlineStr">
        <is>
          <t>VÄRMLANDS LÄN</t>
        </is>
      </c>
      <c r="E414" t="inlineStr">
        <is>
          <t>KRISTINEHAMN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28827-2024</t>
        </is>
      </c>
      <c r="B415" s="1" t="n">
        <v>45478</v>
      </c>
      <c r="C415" s="1" t="n">
        <v>46192</v>
      </c>
      <c r="D415" t="inlineStr">
        <is>
          <t>VÄRMLANDS LÄN</t>
        </is>
      </c>
      <c r="E415" t="inlineStr">
        <is>
          <t>KRISTINEHAMN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28836-2024</t>
        </is>
      </c>
      <c r="B416" s="1" t="n">
        <v>45478</v>
      </c>
      <c r="C416" s="1" t="n">
        <v>46192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19971-2025</t>
        </is>
      </c>
      <c r="B417" s="1" t="n">
        <v>45771</v>
      </c>
      <c r="C417" s="1" t="n">
        <v>46192</v>
      </c>
      <c r="D417" t="inlineStr">
        <is>
          <t>VÄRMLANDS LÄN</t>
        </is>
      </c>
      <c r="E417" t="inlineStr">
        <is>
          <t>KRISTINEHAMN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37267-2025</t>
        </is>
      </c>
      <c r="B418" s="1" t="n">
        <v>45876</v>
      </c>
      <c r="C418" s="1" t="n">
        <v>46192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37266-2025</t>
        </is>
      </c>
      <c r="B419" s="1" t="n">
        <v>45876</v>
      </c>
      <c r="C419" s="1" t="n">
        <v>46192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2963-2024</t>
        </is>
      </c>
      <c r="B420" s="1" t="n">
        <v>45315</v>
      </c>
      <c r="C420" s="1" t="n">
        <v>46192</v>
      </c>
      <c r="D420" t="inlineStr">
        <is>
          <t>VÄRMLANDS LÄN</t>
        </is>
      </c>
      <c r="E420" t="inlineStr">
        <is>
          <t>KRISTINEHAMN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55719-2024</t>
        </is>
      </c>
      <c r="B421" s="1" t="n">
        <v>45622</v>
      </c>
      <c r="C421" s="1" t="n">
        <v>46192</v>
      </c>
      <c r="D421" t="inlineStr">
        <is>
          <t>VÄRMLANDS LÄN</t>
        </is>
      </c>
      <c r="E421" t="inlineStr">
        <is>
          <t>KRISTINEHAMN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26028-2025</t>
        </is>
      </c>
      <c r="B422" s="1" t="n">
        <v>45804</v>
      </c>
      <c r="C422" s="1" t="n">
        <v>46192</v>
      </c>
      <c r="D422" t="inlineStr">
        <is>
          <t>VÄRMLANDS LÄN</t>
        </is>
      </c>
      <c r="E422" t="inlineStr">
        <is>
          <t>KRISTINEHAMN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39159-2025</t>
        </is>
      </c>
      <c r="B423" s="1" t="n">
        <v>45888</v>
      </c>
      <c r="C423" s="1" t="n">
        <v>46192</v>
      </c>
      <c r="D423" t="inlineStr">
        <is>
          <t>VÄRMLANDS LÄN</t>
        </is>
      </c>
      <c r="E423" t="inlineStr">
        <is>
          <t>KRISTINEHAMN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38127-2025</t>
        </is>
      </c>
      <c r="B424" s="1" t="n">
        <v>45882</v>
      </c>
      <c r="C424" s="1" t="n">
        <v>46192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28152-2022</t>
        </is>
      </c>
      <c r="B425" s="1" t="n">
        <v>44746</v>
      </c>
      <c r="C425" s="1" t="n">
        <v>46192</v>
      </c>
      <c r="D425" t="inlineStr">
        <is>
          <t>VÄRMLANDS LÄN</t>
        </is>
      </c>
      <c r="E425" t="inlineStr">
        <is>
          <t>KRISTINEHAMN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43632-2025</t>
        </is>
      </c>
      <c r="B426" s="1" t="n">
        <v>45911</v>
      </c>
      <c r="C426" s="1" t="n">
        <v>46192</v>
      </c>
      <c r="D426" t="inlineStr">
        <is>
          <t>VÄRMLANDS LÄN</t>
        </is>
      </c>
      <c r="E426" t="inlineStr">
        <is>
          <t>KRISTINEHAMN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50174-2024</t>
        </is>
      </c>
      <c r="B427" s="1" t="n">
        <v>45600</v>
      </c>
      <c r="C427" s="1" t="n">
        <v>46192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20102-2026</t>
        </is>
      </c>
      <c r="B428" s="1" t="n">
        <v>46136</v>
      </c>
      <c r="C428" s="1" t="n">
        <v>46192</v>
      </c>
      <c r="D428" t="inlineStr">
        <is>
          <t>VÄRMLANDS LÄN</t>
        </is>
      </c>
      <c r="E428" t="inlineStr">
        <is>
          <t>KRISTINEHAMN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27077-2025</t>
        </is>
      </c>
      <c r="B429" s="1" t="n">
        <v>45811</v>
      </c>
      <c r="C429" s="1" t="n">
        <v>46192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60805-2025</t>
        </is>
      </c>
      <c r="B430" s="1" t="n">
        <v>45999</v>
      </c>
      <c r="C430" s="1" t="n">
        <v>46192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2160-2023</t>
        </is>
      </c>
      <c r="B431" s="1" t="n">
        <v>44941</v>
      </c>
      <c r="C431" s="1" t="n">
        <v>46192</v>
      </c>
      <c r="D431" t="inlineStr">
        <is>
          <t>VÄRMLANDS LÄN</t>
        </is>
      </c>
      <c r="E431" t="inlineStr">
        <is>
          <t>KRISTINEHAMN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32569-2023</t>
        </is>
      </c>
      <c r="B432" s="1" t="n">
        <v>45121</v>
      </c>
      <c r="C432" s="1" t="n">
        <v>46192</v>
      </c>
      <c r="D432" t="inlineStr">
        <is>
          <t>VÄRMLANDS LÄN</t>
        </is>
      </c>
      <c r="E432" t="inlineStr">
        <is>
          <t>KRISTINEHAMN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48128-2025</t>
        </is>
      </c>
      <c r="B433" s="1" t="n">
        <v>45933</v>
      </c>
      <c r="C433" s="1" t="n">
        <v>46192</v>
      </c>
      <c r="D433" t="inlineStr">
        <is>
          <t>VÄRMLANDS LÄN</t>
        </is>
      </c>
      <c r="E433" t="inlineStr">
        <is>
          <t>KRISTINEHAMN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47648-2023</t>
        </is>
      </c>
      <c r="B434" s="1" t="n">
        <v>45198</v>
      </c>
      <c r="C434" s="1" t="n">
        <v>46192</v>
      </c>
      <c r="D434" t="inlineStr">
        <is>
          <t>VÄRMLANDS LÄN</t>
        </is>
      </c>
      <c r="E434" t="inlineStr">
        <is>
          <t>KRISTINEHAMN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17245-2025</t>
        </is>
      </c>
      <c r="B435" s="1" t="n">
        <v>45756</v>
      </c>
      <c r="C435" s="1" t="n">
        <v>46192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56572-2024</t>
        </is>
      </c>
      <c r="B436" s="1" t="n">
        <v>45625</v>
      </c>
      <c r="C436" s="1" t="n">
        <v>46192</v>
      </c>
      <c r="D436" t="inlineStr">
        <is>
          <t>VÄRMLANDS LÄN</t>
        </is>
      </c>
      <c r="E436" t="inlineStr">
        <is>
          <t>KRISTINEHAMN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23246-2024</t>
        </is>
      </c>
      <c r="B437" s="1" t="n">
        <v>45450</v>
      </c>
      <c r="C437" s="1" t="n">
        <v>46192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48573-2024</t>
        </is>
      </c>
      <c r="B438" s="1" t="n">
        <v>45593</v>
      </c>
      <c r="C438" s="1" t="n">
        <v>46192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36961-2021</t>
        </is>
      </c>
      <c r="B439" s="1" t="n">
        <v>44393</v>
      </c>
      <c r="C439" s="1" t="n">
        <v>46192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38946-2025</t>
        </is>
      </c>
      <c r="B440" s="1" t="n">
        <v>45887</v>
      </c>
      <c r="C440" s="1" t="n">
        <v>46192</v>
      </c>
      <c r="D440" t="inlineStr">
        <is>
          <t>VÄRMLANDS LÄN</t>
        </is>
      </c>
      <c r="E440" t="inlineStr">
        <is>
          <t>KRISTINEHAMN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36792-2023</t>
        </is>
      </c>
      <c r="B441" s="1" t="n">
        <v>45154</v>
      </c>
      <c r="C441" s="1" t="n">
        <v>46192</v>
      </c>
      <c r="D441" t="inlineStr">
        <is>
          <t>VÄRMLANDS LÄN</t>
        </is>
      </c>
      <c r="E441" t="inlineStr">
        <is>
          <t>KRISTINEHAMN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15942-2025</t>
        </is>
      </c>
      <c r="B442" s="1" t="n">
        <v>45749</v>
      </c>
      <c r="C442" s="1" t="n">
        <v>46192</v>
      </c>
      <c r="D442" t="inlineStr">
        <is>
          <t>VÄRMLANDS LÄN</t>
        </is>
      </c>
      <c r="E442" t="inlineStr">
        <is>
          <t>KRISTINEHAMN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46192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20168-2026</t>
        </is>
      </c>
      <c r="B444" s="1" t="n">
        <v>46139</v>
      </c>
      <c r="C444" s="1" t="n">
        <v>46192</v>
      </c>
      <c r="D444" t="inlineStr">
        <is>
          <t>VÄRMLANDS LÄN</t>
        </is>
      </c>
      <c r="E444" t="inlineStr">
        <is>
          <t>KRISTINEHAMN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42177-2025</t>
        </is>
      </c>
      <c r="B445" s="1" t="n">
        <v>45904</v>
      </c>
      <c r="C445" s="1" t="n">
        <v>46192</v>
      </c>
      <c r="D445" t="inlineStr">
        <is>
          <t>VÄRMLANDS LÄN</t>
        </is>
      </c>
      <c r="E445" t="inlineStr">
        <is>
          <t>KRISTINEHAMN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20484-2026</t>
        </is>
      </c>
      <c r="B446" s="1" t="n">
        <v>46140</v>
      </c>
      <c r="C446" s="1" t="n">
        <v>46192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Bergvik skog väst AB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20654-2026</t>
        </is>
      </c>
      <c r="B447" s="1" t="n">
        <v>46141</v>
      </c>
      <c r="C447" s="1" t="n">
        <v>46192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20686-2026</t>
        </is>
      </c>
      <c r="B448" s="1" t="n">
        <v>46141</v>
      </c>
      <c r="C448" s="1" t="n">
        <v>46192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22950-2026</t>
        </is>
      </c>
      <c r="B449" s="1" t="n">
        <v>46160</v>
      </c>
      <c r="C449" s="1" t="n">
        <v>46192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20569-2026</t>
        </is>
      </c>
      <c r="B450" s="1" t="n">
        <v>46140</v>
      </c>
      <c r="C450" s="1" t="n">
        <v>46192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20672-2026</t>
        </is>
      </c>
      <c r="B451" s="1" t="n">
        <v>46141</v>
      </c>
      <c r="C451" s="1" t="n">
        <v>46192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20570-2026</t>
        </is>
      </c>
      <c r="B452" s="1" t="n">
        <v>46140</v>
      </c>
      <c r="C452" s="1" t="n">
        <v>46192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34230-2023</t>
        </is>
      </c>
      <c r="B453" s="1" t="n">
        <v>45127</v>
      </c>
      <c r="C453" s="1" t="n">
        <v>46192</v>
      </c>
      <c r="D453" t="inlineStr">
        <is>
          <t>VÄRMLANDS LÄN</t>
        </is>
      </c>
      <c r="E453" t="inlineStr">
        <is>
          <t>KRISTINEHAMN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30218-2025</t>
        </is>
      </c>
      <c r="B454" s="1" t="n">
        <v>45827</v>
      </c>
      <c r="C454" s="1" t="n">
        <v>46192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39157-2025</t>
        </is>
      </c>
      <c r="B455" s="1" t="n">
        <v>45888</v>
      </c>
      <c r="C455" s="1" t="n">
        <v>46192</v>
      </c>
      <c r="D455" t="inlineStr">
        <is>
          <t>VÄRMLANDS LÄN</t>
        </is>
      </c>
      <c r="E455" t="inlineStr">
        <is>
          <t>KRISTINEHAMN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20982-2026</t>
        </is>
      </c>
      <c r="B456" s="1" t="n">
        <v>46142</v>
      </c>
      <c r="C456" s="1" t="n">
        <v>46192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21039-2026</t>
        </is>
      </c>
      <c r="B457" s="1" t="n">
        <v>46146</v>
      </c>
      <c r="C457" s="1" t="n">
        <v>46192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25258-2026</t>
        </is>
      </c>
      <c r="B458" s="1" t="n">
        <v>46175</v>
      </c>
      <c r="C458" s="1" t="n">
        <v>46192</v>
      </c>
      <c r="D458" t="inlineStr">
        <is>
          <t>VÄRMLANDS LÄN</t>
        </is>
      </c>
      <c r="E458" t="inlineStr">
        <is>
          <t>KRISTINEHAMN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27568-2026</t>
        </is>
      </c>
      <c r="B459" s="1" t="n">
        <v>46190</v>
      </c>
      <c r="C459" s="1" t="n">
        <v>46192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27563-2026</t>
        </is>
      </c>
      <c r="B460" s="1" t="n">
        <v>46190</v>
      </c>
      <c r="C460" s="1" t="n">
        <v>46192</v>
      </c>
      <c r="D460" t="inlineStr">
        <is>
          <t>VÄRMLANDS LÄN</t>
        </is>
      </c>
      <c r="E460" t="inlineStr">
        <is>
          <t>KRISTINEHAMN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22060-2026</t>
        </is>
      </c>
      <c r="B461" s="1" t="n">
        <v>46149</v>
      </c>
      <c r="C461" s="1" t="n">
        <v>46192</v>
      </c>
      <c r="D461" t="inlineStr">
        <is>
          <t>VÄRMLANDS LÄN</t>
        </is>
      </c>
      <c r="E461" t="inlineStr">
        <is>
          <t>KRISTINEHAMN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2026-06-19T00:42:56Z</dcterms:created>
  <dcterms:modified xmlns:dcterms="http://purl.org/dc/terms/" xmlns:xsi="http://www.w3.org/2001/XMLSchema-instance" xsi:type="dcterms:W3CDTF">2026-06-19T00:42:56Z</dcterms:modified>
</cp:coreProperties>
</file>