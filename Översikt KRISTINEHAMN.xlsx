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45729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45729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45729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45729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11656-2025</t>
        </is>
      </c>
      <c r="B6" s="1" t="n">
        <v>45727</v>
      </c>
      <c r="C6" s="1" t="n">
        <v>45729</v>
      </c>
      <c r="D6" t="inlineStr">
        <is>
          <t>VÄRMLANDS LÄN</t>
        </is>
      </c>
      <c r="E6" t="inlineStr">
        <is>
          <t>KRISTINEHAMN</t>
        </is>
      </c>
      <c r="G6" t="n">
        <v>11.1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Kornig nållav
Rostfläck
Åkergroda
Blåsippa</t>
        </is>
      </c>
      <c r="S6">
        <f>HYPERLINK("https://klasma.github.io/Logging_1781/artfynd/A 11656-2025 artfynd.xlsx", "A 11656-2025")</f>
        <v/>
      </c>
      <c r="T6">
        <f>HYPERLINK("https://klasma.github.io/Logging_1781/kartor/A 11656-2025 karta.png", "A 11656-2025")</f>
        <v/>
      </c>
      <c r="V6">
        <f>HYPERLINK("https://klasma.github.io/Logging_1781/klagomål/A 11656-2025 FSC-klagomål.docx", "A 11656-2025")</f>
        <v/>
      </c>
      <c r="W6">
        <f>HYPERLINK("https://klasma.github.io/Logging_1781/klagomålsmail/A 11656-2025 FSC-klagomål mail.docx", "A 11656-2025")</f>
        <v/>
      </c>
      <c r="X6">
        <f>HYPERLINK("https://klasma.github.io/Logging_1781/tillsyn/A 11656-2025 tillsynsbegäran.docx", "A 11656-2025")</f>
        <v/>
      </c>
      <c r="Y6">
        <f>HYPERLINK("https://klasma.github.io/Logging_1781/tillsynsmail/A 11656-2025 tillsynsbegäran mail.docx", "A 11656-2025")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45729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45729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45729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45729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45729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45729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45729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45729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45729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45729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45729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45729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45729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45729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45729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45729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45729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45729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45729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45729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45729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45729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45729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45729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45729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45729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45729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45729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45729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45729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45729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45729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45729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45729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45729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45729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45729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45729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45729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45729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45729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45729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45729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45729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45729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45729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45729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45729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45729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45729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45729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45729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45729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45729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45729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45729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45729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45729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45729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45729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45729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45729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45729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45729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45729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45729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45729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45729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45729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45729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45729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45729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45729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45729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45729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45729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45729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45729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45729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45729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45729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45729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45729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45729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45729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45729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45729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45729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45729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45729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45729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45729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45729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45729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45729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45729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45729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45729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45729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45729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45729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45729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45729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45729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45729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45729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45729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45729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45729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45729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45729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45729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45729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45729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45729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45729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45729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45729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45729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45729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45729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45729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45729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45729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45729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45729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45729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45729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45729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45729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45729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45729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45729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45729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45729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45729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45729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45729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45729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45729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45729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45729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45729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45729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45729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45729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45729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45729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45729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45729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45729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45729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45729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45729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45729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45729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45729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45729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45729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45729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45729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45729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45729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45729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45729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45729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45729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45729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45729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45729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45729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45729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45729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45729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45729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45729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45729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45729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45729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45729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45729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45729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45729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45729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45729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45729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45729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45729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45729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45729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45729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45729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45729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45729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45729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45729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45729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45729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45729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45729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45729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45729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45729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45729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45729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45729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45729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45729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45729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45729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45729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45729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45729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45729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45729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45729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45729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45729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45729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45729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45729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45729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45729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45729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45729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45729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45729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45729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45729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45729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45729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45729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45729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45729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45729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45729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45729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45729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45729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45729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45729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45729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45729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45729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45729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45729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45729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45729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45729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45729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45729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45729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45729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45729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45729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45729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45729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45729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45729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45729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45729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45729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45729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45729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45729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45729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45729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45729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45729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45729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45729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45729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45729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45729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45729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45729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45729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45729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45729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45729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45729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45729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45729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45729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45729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45729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45729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45729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45729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45729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45729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45729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45729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45729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45729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45729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45729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45729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45729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45729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45729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45729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45729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45729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45729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45729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45729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45729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45729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45729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45729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45729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45729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45729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45729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45729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45729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45729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45729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45729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45729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45729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45729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45729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45729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45729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45729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45729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45729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45729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45729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45729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45729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45729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45729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45729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45729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45729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45729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45729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45729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45729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45729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45729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45729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45729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45729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45729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45729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45729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45729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45729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45729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45729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45729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45729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45729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45729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45729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45729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45729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45729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45729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45729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45729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45729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45729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45729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45729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45729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45729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45729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45729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45729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45729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45729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45729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45729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45729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45729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45729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45729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45729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45729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45729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45729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45729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45729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45729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45729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45729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45729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45729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45729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45729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45729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45729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45729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45729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45729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45729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45729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45729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45729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45729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45729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45729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45729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45729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45729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45729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45729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45729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45729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45729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45729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45729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45729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45729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45729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45729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45729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45729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45729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45729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45729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45729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45729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45729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45729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45729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45729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45729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45729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45729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45729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45729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45729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45729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45729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45729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45729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45729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45729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45729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45729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45729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45729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45729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45729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45729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45729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45729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45729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45729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45729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45729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45729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45729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45729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45729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45729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45729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45729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45729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45729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45729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45729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45729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45729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45729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45729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45729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45729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45729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45729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45729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45729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45729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45729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45729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45729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45729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45729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45729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45729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45729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45729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45729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45729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45729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45729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45729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45729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45729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45729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45729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45729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45729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45729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45729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45729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45729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45729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45729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45729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45729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45729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45729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45729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45729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45729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45729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45729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45729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45729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45729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45729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45729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45729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45729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45729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45729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45729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45729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45729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45729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45729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45729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45729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45729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45729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45729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45729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45729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45729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45729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45729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45729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45729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45729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45729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45729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45729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45729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45729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45729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45729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45729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45729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45729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45729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45729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45729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45729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45729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45729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45729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45729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45729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45729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45729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45729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45729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45729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45729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45729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45729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45729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45729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45729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45729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45729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45729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45729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45729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45729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45729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45729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45729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45729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45729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45729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45729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45729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45729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45729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45729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45729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45729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45729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45729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45729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45729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45729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45729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45729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45729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45729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45729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45729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45729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45729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45729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45729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45729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45729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45729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45729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45729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45729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45729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45729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45729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45729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45729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45729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45729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45729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45729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45729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45729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45729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45729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45729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45729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45729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45729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45729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45729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45729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45729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45729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45729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45729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45729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45729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45729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45729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45729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45729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45729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45729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45729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45729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45729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45729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45729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45729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45729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45729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45729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45729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45729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45729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45729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45729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45729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45729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45729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45729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45729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45729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45729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45729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45729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45729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45729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45729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45729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45729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45729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45729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45729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45729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45729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45729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45729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45729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45729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45729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45729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45729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45729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45729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45729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45729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45729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45729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45729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45729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45729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45729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45729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45729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45729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45729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45729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45729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45729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45729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45729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45729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45729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45729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45729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45729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45729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45729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45729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45729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45729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45729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45729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45729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45729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45729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45729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45729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45729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45729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45729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45729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45729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45729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45729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45729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45729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45729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45729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45729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45729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45729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45729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45729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45729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45729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45729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45729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45729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45729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45729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45729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45729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45729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45729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45729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45729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45729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45729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45729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45729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45729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45729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45729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45729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45729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45729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45729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45729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45729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45729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45729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45729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45729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45729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45729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45729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45729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45729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45729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45729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45729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45729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45729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45729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45729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45729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45729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45729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45729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45729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45729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45729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45729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45729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45729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45729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45729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45729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45729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45729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45729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45729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45729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45729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45729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45729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45729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45729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45729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45729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45729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45729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45729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45729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45729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45729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45729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45729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45729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45729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45729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45729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45729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45729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45729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45729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45729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45729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45729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45729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45729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45729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45729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45729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45729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45729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45729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45729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45729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45729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45729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45729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45729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45729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45729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45729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45729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45729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45729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45729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45729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45729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45729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45729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45729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45729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45729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45729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45729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45729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45729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45729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45729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45729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45729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45729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45729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45729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45729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45729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45729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45729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45729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45729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45729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45729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45729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45729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45729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45729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45729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45729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45729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45729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45729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45729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45729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45729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45729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45729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45729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45729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45729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45729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45729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45729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6609-2025</t>
        </is>
      </c>
      <c r="B895" s="1" t="n">
        <v>45700</v>
      </c>
      <c r="C895" s="1" t="n">
        <v>45729</v>
      </c>
      <c r="D895" t="inlineStr">
        <is>
          <t>VÄRMLANDS LÄN</t>
        </is>
      </c>
      <c r="E895" t="inlineStr">
        <is>
          <t>KRISTINEHAMN</t>
        </is>
      </c>
      <c r="G895" t="n">
        <v>11.2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45729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6612-2025</t>
        </is>
      </c>
      <c r="B897" s="1" t="n">
        <v>45700</v>
      </c>
      <c r="C897" s="1" t="n">
        <v>45729</v>
      </c>
      <c r="D897" t="inlineStr">
        <is>
          <t>VÄRMLANDS LÄN</t>
        </is>
      </c>
      <c r="E897" t="inlineStr">
        <is>
          <t>KRISTINEHAMN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6927-2025</t>
        </is>
      </c>
      <c r="B898" s="1" t="n">
        <v>45701</v>
      </c>
      <c r="C898" s="1" t="n">
        <v>45729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45729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45729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7695-2025</t>
        </is>
      </c>
      <c r="B901" s="1" t="n">
        <v>45705</v>
      </c>
      <c r="C901" s="1" t="n">
        <v>45729</v>
      </c>
      <c r="D901" t="inlineStr">
        <is>
          <t>VÄRMLANDS LÄN</t>
        </is>
      </c>
      <c r="E901" t="inlineStr">
        <is>
          <t>KRISTINEHAMN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45729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7701-2025</t>
        </is>
      </c>
      <c r="B903" s="1" t="n">
        <v>45705</v>
      </c>
      <c r="C903" s="1" t="n">
        <v>45729</v>
      </c>
      <c r="D903" t="inlineStr">
        <is>
          <t>VÄRMLANDS LÄN</t>
        </is>
      </c>
      <c r="E903" t="inlineStr">
        <is>
          <t>KRISTINEHAMN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45729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8591-2025</t>
        </is>
      </c>
      <c r="B905" s="1" t="n">
        <v>45709</v>
      </c>
      <c r="C905" s="1" t="n">
        <v>45729</v>
      </c>
      <c r="D905" t="inlineStr">
        <is>
          <t>VÄRMLANDS LÄN</t>
        </is>
      </c>
      <c r="E905" t="inlineStr">
        <is>
          <t>KRISTINEHAMN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8597-2025</t>
        </is>
      </c>
      <c r="B906" s="1" t="n">
        <v>45709</v>
      </c>
      <c r="C906" s="1" t="n">
        <v>45729</v>
      </c>
      <c r="D906" t="inlineStr">
        <is>
          <t>VÄRMLANDS LÄN</t>
        </is>
      </c>
      <c r="E906" t="inlineStr">
        <is>
          <t>KRISTINEHAMN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45729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8766-2025</t>
        </is>
      </c>
      <c r="B908" s="1" t="n">
        <v>45712</v>
      </c>
      <c r="C908" s="1" t="n">
        <v>45729</v>
      </c>
      <c r="D908" t="inlineStr">
        <is>
          <t>VÄRMLANDS LÄN</t>
        </is>
      </c>
      <c r="E908" t="inlineStr">
        <is>
          <t>KRISTINEHAMN</t>
        </is>
      </c>
      <c r="F908" t="inlineStr">
        <is>
          <t>Naturvårdsverket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8717-2025</t>
        </is>
      </c>
      <c r="B909" s="1" t="n">
        <v>45712</v>
      </c>
      <c r="C909" s="1" t="n">
        <v>45729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45729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8765-2025</t>
        </is>
      </c>
      <c r="B911" s="1" t="n">
        <v>45712</v>
      </c>
      <c r="C911" s="1" t="n">
        <v>45729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9569-2025</t>
        </is>
      </c>
      <c r="B912" s="1" t="n">
        <v>45715</v>
      </c>
      <c r="C912" s="1" t="n">
        <v>45729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18.4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45729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9757-2025</t>
        </is>
      </c>
      <c r="B914" s="1" t="n">
        <v>45716</v>
      </c>
      <c r="C914" s="1" t="n">
        <v>45729</v>
      </c>
      <c r="D914" t="inlineStr">
        <is>
          <t>VÄRMLANDS LÄN</t>
        </is>
      </c>
      <c r="E914" t="inlineStr">
        <is>
          <t>KRISTINEHAMN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11999-2025</t>
        </is>
      </c>
      <c r="B915" s="1" t="n">
        <v>45728</v>
      </c>
      <c r="C915" s="1" t="n">
        <v>45729</v>
      </c>
      <c r="D915" t="inlineStr">
        <is>
          <t>VÄRMLANDS LÄN</t>
        </is>
      </c>
      <c r="E915" t="inlineStr">
        <is>
          <t>KRISTINEHAMN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2025-03-13T16:45:42Z</dcterms:created>
  <dcterms:modified xmlns:dcterms="http://purl.org/dc/terms/" xmlns:xsi="http://www.w3.org/2001/XMLSchema-instance" xsi:type="dcterms:W3CDTF">2025-03-13T16:45:43Z</dcterms:modified>
</cp:coreProperties>
</file>