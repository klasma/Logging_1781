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46314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46314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46314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46314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46314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46314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46314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46314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46314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46314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46314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46314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46314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46314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54771-2022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46314</v>
      </c>
      <c r="F25" t="inlineStr">
        <is>
          <t>VÄRMLANDS LÄN</t>
        </is>
      </c>
      <c r="G25" t="inlineStr">
        <is>
          <t>KRISTINEHAMN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HYPERLINK("https://klasma.github.io/Logging_1781/artfynd/A 54771-2022 artfynd.xlsx", "A 54771-2022")</f>
        <v/>
      </c>
      <c r="X25">
        <f>HYPERLINK("https://klasma.github.io/Logging_1781/kartor/A 54771-2022 karta.png", "A 54771-2022")</f>
        <v/>
      </c>
      <c r="Y25">
        <f>HYPERLINK("https://klasma.github.io/Logging_1781/kartor_geotiff/A 54771-2022 georefererad karta.tif", "A 54771-2022")</f>
        <v/>
      </c>
      <c r="AA25">
        <f>HYPERLINK("https://klasma.github.io/Logging_1781/klagomål/A 54771-2022 FSC-klagomål.docx", "A 54771-2022")</f>
        <v/>
      </c>
      <c r="AB25">
        <f>HYPERLINK("https://klasma.github.io/Logging_1781/klagomålsmail/A 54771-2022 FSC-klagomål mail.docx", "A 54771-2022")</f>
        <v/>
      </c>
      <c r="AC25">
        <f>HYPERLINK("https://klasma.github.io/Logging_1781/tillsyn/A 54771-2022 tillsynsbegäran.docx", "A 54771-2022")</f>
        <v/>
      </c>
      <c r="AD25">
        <f>HYPERLINK("https://klasma.github.io/Logging_1781/tillsynsmail/A 54771-2022 tillsynsbegäran mail.docx", "A 54771-2022")</f>
        <v/>
      </c>
      <c r="AE25">
        <f>HYPERLINK("https://klasma.github.io/Logging_1781/fåglar/A 54771-2022 prioriterade fågelarter.docx", "A 54771-2022")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46314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46314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46314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46314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46314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46314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36792-2023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46314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HYPERLINK("https://klasma.github.io/Logging_1781/artfynd/A 36792-2023 artfynd.xlsx", "A 36792-2023")</f>
        <v/>
      </c>
      <c r="X32">
        <f>HYPERLINK("https://klasma.github.io/Logging_1781/kartor/A 36792-2023 karta.png", "A 36792-2023")</f>
        <v/>
      </c>
      <c r="Y32">
        <f>HYPERLINK("https://klasma.github.io/Logging_1781/kartor_geotiff/A 36792-2023 georefererad karta.tif", "A 36792-2023")</f>
        <v/>
      </c>
      <c r="AA32">
        <f>HYPERLINK("https://klasma.github.io/Logging_1781/klagomål/A 36792-2023 FSC-klagomål.docx", "A 36792-2023")</f>
        <v/>
      </c>
      <c r="AB32">
        <f>HYPERLINK("https://klasma.github.io/Logging_1781/klagomålsmail/A 36792-2023 FSC-klagomål mail.docx", "A 36792-2023")</f>
        <v/>
      </c>
      <c r="AC32">
        <f>HYPERLINK("https://klasma.github.io/Logging_1781/tillsyn/A 36792-2023 tillsynsbegäran.docx", "A 36792-2023")</f>
        <v/>
      </c>
      <c r="AD32">
        <f>HYPERLINK("https://klasma.github.io/Logging_1781/tillsynsmail/A 36792-2023 tillsynsbegäran mail.docx", "A 36792-2023")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46314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46314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46314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14762-2026 artfynd.xlsx", "A 14762-2026")</f>
        <v/>
      </c>
      <c r="X35">
        <f>HYPERLINK("https://klasma.github.io/Logging_1781/kartor/A 14762-2026 karta.png", "A 14762-2026")</f>
        <v/>
      </c>
      <c r="Y35">
        <f>HYPERLINK("https://klasma.github.io/Logging_1781/kartor_geotiff/A 14762-2026 georefererad karta.tif", "A 14762-2026")</f>
        <v/>
      </c>
      <c r="AA35">
        <f>HYPERLINK("https://klasma.github.io/Logging_1781/klagomål/A 14762-2026 FSC-klagomål.docx", "A 14762-2026")</f>
        <v/>
      </c>
      <c r="AB35">
        <f>HYPERLINK("https://klasma.github.io/Logging_1781/klagomålsmail/A 14762-2026 FSC-klagomål mail.docx", "A 14762-2026")</f>
        <v/>
      </c>
      <c r="AC35">
        <f>HYPERLINK("https://klasma.github.io/Logging_1781/tillsyn/A 14762-2026 tillsynsbegäran.docx", "A 14762-2026")</f>
        <v/>
      </c>
      <c r="AD35">
        <f>HYPERLINK("https://klasma.github.io/Logging_1781/tillsynsmail/A 14762-2026 tillsynsbegäran mail.docx", "A 14762-2026")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46314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46314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46314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46314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46314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46314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46314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46314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46314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46314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46314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46314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46314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44659</v>
      </c>
      <c r="E49" s="1" t="n">
        <v>46314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46314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46314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46314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46314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46314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46314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46314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46314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46314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46314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46314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46314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46314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46314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46314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46314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46314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46314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46314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46314</v>
      </c>
      <c r="F69" t="inlineStr">
        <is>
          <t>VÄRMLANDS LÄN</t>
        </is>
      </c>
      <c r="G69" t="inlineStr">
        <is>
          <t>KRISTINEHAMN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46314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46314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46314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46314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46314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46314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46314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46314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46314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46314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46314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46314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46314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46314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46314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46314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46314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46314</v>
      </c>
      <c r="F87" t="inlineStr">
        <is>
          <t>VÄRMLANDS LÄN</t>
        </is>
      </c>
      <c r="G87" t="inlineStr">
        <is>
          <t>KRISTINEHAMN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46314</v>
      </c>
      <c r="F88" t="inlineStr">
        <is>
          <t>VÄRMLANDS LÄN</t>
        </is>
      </c>
      <c r="G88" t="inlineStr">
        <is>
          <t>KRISTINEHAMN</t>
        </is>
      </c>
      <c r="I88" t="n">
        <v>14.9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46314</v>
      </c>
      <c r="F89" t="inlineStr">
        <is>
          <t>VÄRMLANDS LÄN</t>
        </is>
      </c>
      <c r="G89" t="inlineStr">
        <is>
          <t>KRISTINEHAMN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46314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46314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46314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46314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46314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46314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46314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46314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46314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46314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46314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46314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46314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46314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46314</v>
      </c>
      <c r="F104" t="inlineStr">
        <is>
          <t>VÄRMLANDS LÄN</t>
        </is>
      </c>
      <c r="G104" t="inlineStr">
        <is>
          <t>KRISTINEHAMN</t>
        </is>
      </c>
      <c r="I104" t="n">
        <v>10.4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46314</v>
      </c>
      <c r="F105" t="inlineStr">
        <is>
          <t>VÄRMLANDS LÄN</t>
        </is>
      </c>
      <c r="G105" t="inlineStr">
        <is>
          <t>KRISTINEHAMN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46314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46314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45662</v>
      </c>
      <c r="E108" s="1" t="n">
        <v>46314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46314</v>
      </c>
      <c r="F109" t="inlineStr">
        <is>
          <t>VÄRMLANDS LÄN</t>
        </is>
      </c>
      <c r="G109" t="inlineStr">
        <is>
          <t>KRISTINEHAMN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46314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46314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46314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46314</v>
      </c>
      <c r="F113" t="inlineStr">
        <is>
          <t>VÄRMLANDS LÄN</t>
        </is>
      </c>
      <c r="G113" t="inlineStr">
        <is>
          <t>KRISTINEHAMN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46314</v>
      </c>
      <c r="F114" t="inlineStr">
        <is>
          <t>VÄRMLANDS LÄN</t>
        </is>
      </c>
      <c r="G114" t="inlineStr">
        <is>
          <t>KRISTINEHAMN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46314</v>
      </c>
      <c r="F115" t="inlineStr">
        <is>
          <t>VÄRMLANDS LÄN</t>
        </is>
      </c>
      <c r="G115" t="inlineStr">
        <is>
          <t>KRISTINEHAMN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46314</v>
      </c>
      <c r="F116" t="inlineStr">
        <is>
          <t>VÄRMLANDS LÄN</t>
        </is>
      </c>
      <c r="G116" t="inlineStr">
        <is>
          <t>KRISTINEHAMN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46314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46314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46314</v>
      </c>
      <c r="F119" t="inlineStr">
        <is>
          <t>VÄRMLANDS LÄN</t>
        </is>
      </c>
      <c r="G119" t="inlineStr">
        <is>
          <t>KRISTINEHAMN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46314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46314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46314</v>
      </c>
      <c r="F122" t="inlineStr">
        <is>
          <t>VÄRMLANDS LÄN</t>
        </is>
      </c>
      <c r="G122" t="inlineStr">
        <is>
          <t>KRISTINEHAMN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46314</v>
      </c>
      <c r="F123" t="inlineStr">
        <is>
          <t>VÄRMLANDS LÄN</t>
        </is>
      </c>
      <c r="G123" t="inlineStr">
        <is>
          <t>KRISTINEHAMN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46314</v>
      </c>
      <c r="F124" t="inlineStr">
        <is>
          <t>VÄRMLANDS LÄN</t>
        </is>
      </c>
      <c r="G124" t="inlineStr">
        <is>
          <t>KRISTINEHAMN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46314</v>
      </c>
      <c r="F125" t="inlineStr">
        <is>
          <t>VÄRMLANDS LÄN</t>
        </is>
      </c>
      <c r="G125" t="inlineStr">
        <is>
          <t>KRISTINEHAMN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46314</v>
      </c>
      <c r="F126" t="inlineStr">
        <is>
          <t>VÄRMLANDS LÄN</t>
        </is>
      </c>
      <c r="G126" t="inlineStr">
        <is>
          <t>KRISTINEHAMN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46314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46314</v>
      </c>
      <c r="F128" t="inlineStr">
        <is>
          <t>VÄRMLANDS LÄN</t>
        </is>
      </c>
      <c r="G128" t="inlineStr">
        <is>
          <t>KRISTINEHAMN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46314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46314</v>
      </c>
      <c r="F130" t="inlineStr">
        <is>
          <t>VÄRMLANDS LÄN</t>
        </is>
      </c>
      <c r="G130" t="inlineStr">
        <is>
          <t>KRISTINEHAMN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46314</v>
      </c>
      <c r="F131" t="inlineStr">
        <is>
          <t>VÄRMLANDS LÄN</t>
        </is>
      </c>
      <c r="G131" t="inlineStr">
        <is>
          <t>KRISTINEHAMN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46314</v>
      </c>
      <c r="F132" t="inlineStr">
        <is>
          <t>VÄRMLANDS LÄN</t>
        </is>
      </c>
      <c r="G132" t="inlineStr">
        <is>
          <t>KRISTINEHAMN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46314</v>
      </c>
      <c r="F133" t="inlineStr">
        <is>
          <t>VÄRMLANDS LÄN</t>
        </is>
      </c>
      <c r="G133" t="inlineStr">
        <is>
          <t>KRISTINEHAMN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46314</v>
      </c>
      <c r="F134" t="inlineStr">
        <is>
          <t>VÄRMLANDS LÄN</t>
        </is>
      </c>
      <c r="G134" t="inlineStr">
        <is>
          <t>KRISTINEHAMN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46314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46314</v>
      </c>
      <c r="F136" t="inlineStr">
        <is>
          <t>VÄRMLANDS LÄN</t>
        </is>
      </c>
      <c r="G136" t="inlineStr">
        <is>
          <t>KRISTINEHAMN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46314</v>
      </c>
      <c r="F137" t="inlineStr">
        <is>
          <t>VÄRMLANDS LÄN</t>
        </is>
      </c>
      <c r="G137" t="inlineStr">
        <is>
          <t>KRISTINEHAMN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46314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46314</v>
      </c>
      <c r="F139" t="inlineStr">
        <is>
          <t>VÄRMLANDS LÄN</t>
        </is>
      </c>
      <c r="G139" t="inlineStr">
        <is>
          <t>KRISTINEHAMN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46314</v>
      </c>
      <c r="F140" t="inlineStr">
        <is>
          <t>VÄRMLANDS LÄN</t>
        </is>
      </c>
      <c r="G140" t="inlineStr">
        <is>
          <t>KRISTINEHAMN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45647</v>
      </c>
      <c r="E141" s="1" t="n">
        <v>46314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46314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Naturvårdsverket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46314</v>
      </c>
      <c r="F143" t="inlineStr">
        <is>
          <t>VÄRMLANDS LÄN</t>
        </is>
      </c>
      <c r="G143" t="inlineStr">
        <is>
          <t>KRISTINEHAMN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44497</v>
      </c>
      <c r="E144" s="1" t="n">
        <v>46314</v>
      </c>
      <c r="F144" t="inlineStr">
        <is>
          <t>VÄRMLANDS LÄN</t>
        </is>
      </c>
      <c r="G144" t="inlineStr">
        <is>
          <t>KRISTINEHAMN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46314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45756</v>
      </c>
      <c r="E146" s="1" t="n">
        <v>46314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46314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45387</v>
      </c>
      <c r="E148" s="1" t="n">
        <v>46314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46314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46314</v>
      </c>
      <c r="F150" t="inlineStr">
        <is>
          <t>VÄRMLANDS LÄN</t>
        </is>
      </c>
      <c r="G150" t="inlineStr">
        <is>
          <t>KRISTINEHAMN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46314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46314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46314</v>
      </c>
      <c r="F153" t="inlineStr">
        <is>
          <t>VÄRMLANDS LÄN</t>
        </is>
      </c>
      <c r="G153" t="inlineStr">
        <is>
          <t>KRISTINEHAMN</t>
        </is>
      </c>
      <c r="I153" t="n">
        <v>19.4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46314</v>
      </c>
      <c r="F154" t="inlineStr">
        <is>
          <t>VÄRMLANDS LÄN</t>
        </is>
      </c>
      <c r="G154" t="inlineStr">
        <is>
          <t>KRISTINEHAMN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46314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46314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46314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46314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Naturvårdsverket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46314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46314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46314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45127</v>
      </c>
      <c r="E162" s="1" t="n">
        <v>46314</v>
      </c>
      <c r="F162" t="inlineStr">
        <is>
          <t>VÄRMLANDS LÄN</t>
        </is>
      </c>
      <c r="G162" t="inlineStr">
        <is>
          <t>KRISTINEHAMN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46314</v>
      </c>
      <c r="F163" t="inlineStr">
        <is>
          <t>VÄRMLANDS LÄN</t>
        </is>
      </c>
      <c r="G163" t="inlineStr">
        <is>
          <t>KRISTINEHAMN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46314</v>
      </c>
      <c r="F164" t="inlineStr">
        <is>
          <t>VÄRMLANDS LÄN</t>
        </is>
      </c>
      <c r="G164" t="inlineStr">
        <is>
          <t>KRISTINEHAMN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46314</v>
      </c>
      <c r="F165" t="inlineStr">
        <is>
          <t>VÄRMLANDS LÄN</t>
        </is>
      </c>
      <c r="G165" t="inlineStr">
        <is>
          <t>KRISTINEHAMN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46314</v>
      </c>
      <c r="F166" t="inlineStr">
        <is>
          <t>VÄRMLANDS LÄN</t>
        </is>
      </c>
      <c r="G166" t="inlineStr">
        <is>
          <t>KRISTINEHAMN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46314</v>
      </c>
      <c r="F167" t="inlineStr">
        <is>
          <t>VÄRMLANDS LÄN</t>
        </is>
      </c>
      <c r="G167" t="inlineStr">
        <is>
          <t>KRISTINEHAMN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46314</v>
      </c>
      <c r="F168" t="inlineStr">
        <is>
          <t>VÄRMLANDS LÄN</t>
        </is>
      </c>
      <c r="G168" t="inlineStr">
        <is>
          <t>KRISTINEHAMN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46314</v>
      </c>
      <c r="F169" t="inlineStr">
        <is>
          <t>VÄRMLANDS LÄN</t>
        </is>
      </c>
      <c r="G169" t="inlineStr">
        <is>
          <t>KRISTINEHAMN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46314</v>
      </c>
      <c r="F170" t="inlineStr">
        <is>
          <t>VÄRMLANDS LÄN</t>
        </is>
      </c>
      <c r="G170" t="inlineStr">
        <is>
          <t>KRISTINEHAMN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46314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46314</v>
      </c>
      <c r="F172" t="inlineStr">
        <is>
          <t>VÄRMLANDS LÄN</t>
        </is>
      </c>
      <c r="G172" t="inlineStr">
        <is>
          <t>KRISTINEHAMN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46314</v>
      </c>
      <c r="F173" t="inlineStr">
        <is>
          <t>VÄRMLANDS LÄN</t>
        </is>
      </c>
      <c r="G173" t="inlineStr">
        <is>
          <t>KRISTINEHAMN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46314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46314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46314</v>
      </c>
      <c r="F176" t="inlineStr">
        <is>
          <t>VÄRMLANDS LÄN</t>
        </is>
      </c>
      <c r="G176" t="inlineStr">
        <is>
          <t>KRISTINEHAMN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46314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46314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22060-2026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46149</v>
      </c>
      <c r="E179" s="1" t="n">
        <v>46314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46314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46314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45361</v>
      </c>
      <c r="E182" s="1" t="n">
        <v>46314</v>
      </c>
      <c r="F182" t="inlineStr">
        <is>
          <t>VÄRMLANDS LÄN</t>
        </is>
      </c>
      <c r="G182" t="inlineStr">
        <is>
          <t>KRISTINEHAMN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46314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46314</v>
      </c>
      <c r="F184" t="inlineStr">
        <is>
          <t>VÄRMLANDS LÄN</t>
        </is>
      </c>
      <c r="G184" t="inlineStr">
        <is>
          <t>KRISTINEHAMN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46314</v>
      </c>
      <c r="F185" t="inlineStr">
        <is>
          <t>VÄRMLANDS LÄN</t>
        </is>
      </c>
      <c r="G185" t="inlineStr">
        <is>
          <t>KRISTINEHAMN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45392</v>
      </c>
      <c r="E186" s="1" t="n">
        <v>46314</v>
      </c>
      <c r="F186" t="inlineStr">
        <is>
          <t>VÄRMLANDS LÄN</t>
        </is>
      </c>
      <c r="G186" t="inlineStr">
        <is>
          <t>KRISTINEHAMN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46314</v>
      </c>
      <c r="F187" t="inlineStr">
        <is>
          <t>VÄRMLANDS LÄN</t>
        </is>
      </c>
      <c r="G187" t="inlineStr">
        <is>
          <t>KRISTINEHAMN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46314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68526-2021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44526</v>
      </c>
      <c r="E189" s="1" t="n">
        <v>46314</v>
      </c>
      <c r="F189" t="inlineStr">
        <is>
          <t>VÄRMLANDS LÄN</t>
        </is>
      </c>
      <c r="G189" t="inlineStr">
        <is>
          <t>KRISTINEHAMN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68530-2021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46314</v>
      </c>
      <c r="F190" t="inlineStr">
        <is>
          <t>VÄRMLANDS LÄN</t>
        </is>
      </c>
      <c r="G190" t="inlineStr">
        <is>
          <t>KRISTINEHAMN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46314</v>
      </c>
      <c r="F191" t="inlineStr">
        <is>
          <t>VÄRMLANDS LÄN</t>
        </is>
      </c>
      <c r="G191" t="inlineStr">
        <is>
          <t>KRISTINEHAMN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46314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46314</v>
      </c>
      <c r="F193" t="inlineStr">
        <is>
          <t>VÄRMLANDS LÄN</t>
        </is>
      </c>
      <c r="G193" t="inlineStr">
        <is>
          <t>KRISTINEHAMN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46314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46314</v>
      </c>
      <c r="F195" t="inlineStr">
        <is>
          <t>VÄRMLANDS LÄN</t>
        </is>
      </c>
      <c r="G195" t="inlineStr">
        <is>
          <t>KRISTINEHAMN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46314</v>
      </c>
      <c r="F196" t="inlineStr">
        <is>
          <t>VÄRMLANDS LÄN</t>
        </is>
      </c>
      <c r="G196" t="inlineStr">
        <is>
          <t>KRISTINEHAMN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46314</v>
      </c>
      <c r="F197" t="inlineStr">
        <is>
          <t>VÄRMLANDS LÄN</t>
        </is>
      </c>
      <c r="G197" t="inlineStr">
        <is>
          <t>KRISTINEHAMN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46314</v>
      </c>
      <c r="F198" t="inlineStr">
        <is>
          <t>VÄRMLANDS LÄN</t>
        </is>
      </c>
      <c r="G198" t="inlineStr">
        <is>
          <t>KRISTINEHAMN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46314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46314</v>
      </c>
      <c r="F200" t="inlineStr">
        <is>
          <t>VÄRMLANDS LÄN</t>
        </is>
      </c>
      <c r="G200" t="inlineStr">
        <is>
          <t>KRISTINEHAMN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44753</v>
      </c>
      <c r="E201" s="1" t="n">
        <v>46314</v>
      </c>
      <c r="F201" t="inlineStr">
        <is>
          <t>VÄRMLANDS LÄN</t>
        </is>
      </c>
      <c r="G201" t="inlineStr">
        <is>
          <t>KRISTINEHAMN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46314</v>
      </c>
      <c r="F202" t="inlineStr">
        <is>
          <t>VÄRMLANDS LÄN</t>
        </is>
      </c>
      <c r="G202" t="inlineStr">
        <is>
          <t>KRISTINEHAMN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46314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46314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44923</v>
      </c>
      <c r="E205" s="1" t="n">
        <v>46314</v>
      </c>
      <c r="F205" t="inlineStr">
        <is>
          <t>VÄRMLANDS LÄN</t>
        </is>
      </c>
      <c r="G205" t="inlineStr">
        <is>
          <t>KRISTINEHAMN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46314</v>
      </c>
      <c r="F206" t="inlineStr">
        <is>
          <t>VÄRMLANDS LÄN</t>
        </is>
      </c>
      <c r="G206" t="inlineStr">
        <is>
          <t>KRISTINEHAMN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46314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46314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46314</v>
      </c>
      <c r="F209" t="inlineStr">
        <is>
          <t>VÄRMLANDS LÄN</t>
        </is>
      </c>
      <c r="G209" t="inlineStr">
        <is>
          <t>KRISTINEHAMN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46314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46314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56315-2025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45974</v>
      </c>
      <c r="E212" s="1" t="n">
        <v>46314</v>
      </c>
      <c r="F212" t="inlineStr">
        <is>
          <t>VÄRMLANDS LÄN</t>
        </is>
      </c>
      <c r="G212" t="inlineStr">
        <is>
          <t>KRISTINEHAMN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46314</v>
      </c>
      <c r="F213" t="inlineStr">
        <is>
          <t>VÄRMLANDS LÄN</t>
        </is>
      </c>
      <c r="G213" t="inlineStr">
        <is>
          <t>KRISTINEHAMN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46314</v>
      </c>
      <c r="F214" t="inlineStr">
        <is>
          <t>VÄRMLANDS LÄN</t>
        </is>
      </c>
      <c r="G214" t="inlineStr">
        <is>
          <t>KRISTINEHAMN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46314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46314</v>
      </c>
      <c r="F216" t="inlineStr">
        <is>
          <t>VÄRMLANDS LÄN</t>
        </is>
      </c>
      <c r="G216" t="inlineStr">
        <is>
          <t>KRISTINEHAMN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46314</v>
      </c>
      <c r="F217" t="inlineStr">
        <is>
          <t>VÄRMLANDS LÄN</t>
        </is>
      </c>
      <c r="G217" t="inlineStr">
        <is>
          <t>KRISTINEHAMN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46314</v>
      </c>
      <c r="F218" t="inlineStr">
        <is>
          <t>VÄRMLANDS LÄN</t>
        </is>
      </c>
      <c r="G218" t="inlineStr">
        <is>
          <t>KRISTINEHAMN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46314</v>
      </c>
      <c r="F219" t="inlineStr">
        <is>
          <t>VÄRMLANDS LÄN</t>
        </is>
      </c>
      <c r="G219" t="inlineStr">
        <is>
          <t>KRISTINEHAMN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45322</v>
      </c>
      <c r="E220" s="1" t="n">
        <v>46314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46314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46314</v>
      </c>
      <c r="F222" t="inlineStr">
        <is>
          <t>VÄRMLANDS LÄN</t>
        </is>
      </c>
      <c r="G222" t="inlineStr">
        <is>
          <t>KRISTINEHAMN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46314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46314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46314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46314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46314</v>
      </c>
      <c r="F227" t="inlineStr">
        <is>
          <t>VÄRMLANDS LÄN</t>
        </is>
      </c>
      <c r="G227" t="inlineStr">
        <is>
          <t>KRISTINEHAMN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46170</v>
      </c>
      <c r="E228" s="1" t="n">
        <v>46314</v>
      </c>
      <c r="F228" t="inlineStr">
        <is>
          <t>VÄRMLANDS LÄN</t>
        </is>
      </c>
      <c r="G228" t="inlineStr">
        <is>
          <t>KRISTINEHAMN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46314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46314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46314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45313</v>
      </c>
      <c r="E232" s="1" t="n">
        <v>46314</v>
      </c>
      <c r="F232" t="inlineStr">
        <is>
          <t>VÄRMLANDS LÄN</t>
        </is>
      </c>
      <c r="G232" t="inlineStr">
        <is>
          <t>KRISTINEHAMN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46314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46314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46314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46314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46314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46314</v>
      </c>
      <c r="F238" t="inlineStr">
        <is>
          <t>VÄRMLANDS LÄN</t>
        </is>
      </c>
      <c r="G238" t="inlineStr">
        <is>
          <t>KRISTINEHAMN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46314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46314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44855</v>
      </c>
      <c r="E241" s="1" t="n">
        <v>46314</v>
      </c>
      <c r="F241" t="inlineStr">
        <is>
          <t>VÄRMLANDS LÄN</t>
        </is>
      </c>
      <c r="G241" t="inlineStr">
        <is>
          <t>KRISTINEHAMN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46314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46314</v>
      </c>
      <c r="F243" t="inlineStr">
        <is>
          <t>VÄRMLANDS LÄN</t>
        </is>
      </c>
      <c r="G243" t="inlineStr">
        <is>
          <t>KRISTINEHAMN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46314</v>
      </c>
      <c r="F244" t="inlineStr">
        <is>
          <t>VÄRMLANDS LÄN</t>
        </is>
      </c>
      <c r="G244" t="inlineStr">
        <is>
          <t>KRISTINEHAMN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46314</v>
      </c>
      <c r="F245" t="inlineStr">
        <is>
          <t>VÄRMLANDS LÄN</t>
        </is>
      </c>
      <c r="G245" t="inlineStr">
        <is>
          <t>KRISTINEHAMN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46314</v>
      </c>
      <c r="F246" t="inlineStr">
        <is>
          <t>VÄRMLANDS LÄN</t>
        </is>
      </c>
      <c r="G246" t="inlineStr">
        <is>
          <t>KRISTINEHAMN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46314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46314</v>
      </c>
      <c r="F248" t="inlineStr">
        <is>
          <t>VÄRMLANDS LÄN</t>
        </is>
      </c>
      <c r="G248" t="inlineStr">
        <is>
          <t>KRISTINEHAMN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46314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46314</v>
      </c>
      <c r="F250" t="inlineStr">
        <is>
          <t>VÄRMLANDS LÄN</t>
        </is>
      </c>
      <c r="G250" t="inlineStr">
        <is>
          <t>KRISTINEHAMN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46314</v>
      </c>
      <c r="F251" t="inlineStr">
        <is>
          <t>VÄRMLANDS LÄN</t>
        </is>
      </c>
      <c r="G251" t="inlineStr">
        <is>
          <t>KRISTINEHAMN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25258-2026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46175</v>
      </c>
      <c r="E252" s="1" t="n">
        <v>46314</v>
      </c>
      <c r="F252" t="inlineStr">
        <is>
          <t>VÄRMLANDS LÄN</t>
        </is>
      </c>
      <c r="G252" t="inlineStr">
        <is>
          <t>KRISTINEHAMN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46314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46314</v>
      </c>
      <c r="F254" t="inlineStr">
        <is>
          <t>VÄRMLANDS LÄN</t>
        </is>
      </c>
      <c r="G254" t="inlineStr">
        <is>
          <t>KRISTINEHAMN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46314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46314</v>
      </c>
      <c r="F256" t="inlineStr">
        <is>
          <t>VÄRMLANDS LÄN</t>
        </is>
      </c>
      <c r="G256" t="inlineStr">
        <is>
          <t>KRISTINEHAMN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44941</v>
      </c>
      <c r="E257" s="1" t="n">
        <v>46314</v>
      </c>
      <c r="F257" t="inlineStr">
        <is>
          <t>VÄRMLANDS LÄN</t>
        </is>
      </c>
      <c r="G257" t="inlineStr">
        <is>
          <t>KRISTINEHAMN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46314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46314</v>
      </c>
      <c r="F259" t="inlineStr">
        <is>
          <t>VÄRMLANDS LÄN</t>
        </is>
      </c>
      <c r="G259" t="inlineStr">
        <is>
          <t>KRISTINEHAMN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46314</v>
      </c>
      <c r="F260" t="inlineStr">
        <is>
          <t>VÄRMLANDS LÄN</t>
        </is>
      </c>
      <c r="G260" t="inlineStr">
        <is>
          <t>KRISTINEHAMN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6259-2026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46051</v>
      </c>
      <c r="E261" s="1" t="n">
        <v>46314</v>
      </c>
      <c r="F261" t="inlineStr">
        <is>
          <t>VÄRMLANDS LÄN</t>
        </is>
      </c>
      <c r="G261" t="inlineStr">
        <is>
          <t>KRISTINEHAMN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46314</v>
      </c>
      <c r="F262" t="inlineStr">
        <is>
          <t>VÄRMLANDS LÄN</t>
        </is>
      </c>
      <c r="G262" t="inlineStr">
        <is>
          <t>KRISTINEHAMN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46314</v>
      </c>
      <c r="F263" t="inlineStr">
        <is>
          <t>VÄRMLANDS LÄN</t>
        </is>
      </c>
      <c r="G263" t="inlineStr">
        <is>
          <t>KRISTINEHAMN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46314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46314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46037</v>
      </c>
      <c r="E266" s="1" t="n">
        <v>46314</v>
      </c>
      <c r="F266" t="inlineStr">
        <is>
          <t>VÄRMLANDS LÄN</t>
        </is>
      </c>
      <c r="G266" t="inlineStr">
        <is>
          <t>KRISTINEHAMN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46314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46314</v>
      </c>
      <c r="F268" t="inlineStr">
        <is>
          <t>VÄRMLANDS LÄN</t>
        </is>
      </c>
      <c r="G268" t="inlineStr">
        <is>
          <t>KRISTINEHAMN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46314</v>
      </c>
      <c r="F269" t="inlineStr">
        <is>
          <t>VÄRMLANDS LÄN</t>
        </is>
      </c>
      <c r="G269" t="inlineStr">
        <is>
          <t>KRISTINEHAMN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46314</v>
      </c>
      <c r="F270" t="inlineStr">
        <is>
          <t>VÄRMLANDS LÄN</t>
        </is>
      </c>
      <c r="G270" t="inlineStr">
        <is>
          <t>KRISTINEHAMN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45401</v>
      </c>
      <c r="E271" s="1" t="n">
        <v>46314</v>
      </c>
      <c r="F271" t="inlineStr">
        <is>
          <t>VÄRMLANDS LÄN</t>
        </is>
      </c>
      <c r="G271" t="inlineStr">
        <is>
          <t>KRISTINEHAMN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46314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46314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45176</v>
      </c>
      <c r="E274" s="1" t="n">
        <v>46314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46314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46314</v>
      </c>
      <c r="F276" t="inlineStr">
        <is>
          <t>VÄRMLANDS LÄN</t>
        </is>
      </c>
      <c r="G276" t="inlineStr">
        <is>
          <t>KRISTINEHAMN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46314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46314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46314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46314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46314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46314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46314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46314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46314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46314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46314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46314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46314</v>
      </c>
      <c r="F289" t="inlineStr">
        <is>
          <t>VÄRMLANDS LÄN</t>
        </is>
      </c>
      <c r="G289" t="inlineStr">
        <is>
          <t>KRISTINEHAMN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46314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44677</v>
      </c>
      <c r="E291" s="1" t="n">
        <v>46314</v>
      </c>
      <c r="F291" t="inlineStr">
        <is>
          <t>VÄRMLANDS LÄN</t>
        </is>
      </c>
      <c r="G291" t="inlineStr">
        <is>
          <t>KRISTINEHAMN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45202</v>
      </c>
      <c r="E292" s="1" t="n">
        <v>46314</v>
      </c>
      <c r="F292" t="inlineStr">
        <is>
          <t>VÄRMLANDS LÄN</t>
        </is>
      </c>
      <c r="G292" t="inlineStr">
        <is>
          <t>KRISTINEHAMN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46314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46314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46314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46314</v>
      </c>
      <c r="F296" t="inlineStr">
        <is>
          <t>VÄRMLANDS LÄN</t>
        </is>
      </c>
      <c r="G296" t="inlineStr">
        <is>
          <t>KRISTINEHAMN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15646-2026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46106</v>
      </c>
      <c r="E297" s="1" t="n">
        <v>46314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46314</v>
      </c>
      <c r="F298" t="inlineStr">
        <is>
          <t>VÄRMLANDS LÄN</t>
        </is>
      </c>
      <c r="G298" t="inlineStr">
        <is>
          <t>KRISTINEHAMN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46314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46314</v>
      </c>
      <c r="F300" t="inlineStr">
        <is>
          <t>VÄRMLANDS LÄN</t>
        </is>
      </c>
      <c r="G300" t="inlineStr">
        <is>
          <t>KRISTINEHAMN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46314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45442</v>
      </c>
      <c r="E302" s="1" t="n">
        <v>46314</v>
      </c>
      <c r="F302" t="inlineStr">
        <is>
          <t>VÄRMLANDS LÄN</t>
        </is>
      </c>
      <c r="G302" t="inlineStr">
        <is>
          <t>KRISTINEHAMN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45226</v>
      </c>
      <c r="E303" s="1" t="n">
        <v>46314</v>
      </c>
      <c r="F303" t="inlineStr">
        <is>
          <t>VÄRMLANDS LÄN</t>
        </is>
      </c>
      <c r="G303" t="inlineStr">
        <is>
          <t>KRISTINEHAMN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46314</v>
      </c>
      <c r="F304" t="inlineStr">
        <is>
          <t>VÄRMLANDS LÄN</t>
        </is>
      </c>
      <c r="G304" t="inlineStr">
        <is>
          <t>KRISTINEHAMN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45112</v>
      </c>
      <c r="E305" s="1" t="n">
        <v>46314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46314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32821-2023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45112</v>
      </c>
      <c r="E307" s="1" t="n">
        <v>46314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46314</v>
      </c>
      <c r="F308" t="inlineStr">
        <is>
          <t>VÄRMLANDS LÄN</t>
        </is>
      </c>
      <c r="G308" t="inlineStr">
        <is>
          <t>KRISTINEHAMN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46314</v>
      </c>
      <c r="F309" t="inlineStr">
        <is>
          <t>VÄRMLANDS LÄN</t>
        </is>
      </c>
      <c r="G309" t="inlineStr">
        <is>
          <t>KRISTINEHAMN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46314</v>
      </c>
      <c r="F310" t="inlineStr">
        <is>
          <t>VÄRMLANDS LÄN</t>
        </is>
      </c>
      <c r="G310" t="inlineStr">
        <is>
          <t>KRISTINEHAMN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46314</v>
      </c>
      <c r="F311" t="inlineStr">
        <is>
          <t>VÄRMLANDS LÄN</t>
        </is>
      </c>
      <c r="G311" t="inlineStr">
        <is>
          <t>KRISTINEHAMN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46314</v>
      </c>
      <c r="F312" t="inlineStr">
        <is>
          <t>VÄRMLANDS LÄN</t>
        </is>
      </c>
      <c r="G312" t="inlineStr">
        <is>
          <t>KRISTINEHAMN</t>
        </is>
      </c>
      <c r="I312" t="n">
        <v>12.6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46314</v>
      </c>
      <c r="F313" t="inlineStr">
        <is>
          <t>VÄRMLANDS LÄN</t>
        </is>
      </c>
      <c r="G313" t="inlineStr">
        <is>
          <t>KRISTINEHAMN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46314</v>
      </c>
      <c r="F314" t="inlineStr">
        <is>
          <t>VÄRMLANDS LÄN</t>
        </is>
      </c>
      <c r="G314" t="inlineStr">
        <is>
          <t>KRISTINEHAMN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46314</v>
      </c>
      <c r="F315" t="inlineStr">
        <is>
          <t>VÄRMLANDS LÄN</t>
        </is>
      </c>
      <c r="G315" t="inlineStr">
        <is>
          <t>KRISTINEHAMN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46314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46314</v>
      </c>
      <c r="F317" t="inlineStr">
        <is>
          <t>VÄRMLANDS LÄN</t>
        </is>
      </c>
      <c r="G317" t="inlineStr">
        <is>
          <t>KRISTINEHAMN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46314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44883</v>
      </c>
      <c r="E319" s="1" t="n">
        <v>46314</v>
      </c>
      <c r="F319" t="inlineStr">
        <is>
          <t>VÄRMLANDS LÄN</t>
        </is>
      </c>
      <c r="G319" t="inlineStr">
        <is>
          <t>KRISTINEHAMN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46314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22896-2023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45072</v>
      </c>
      <c r="E321" s="1" t="n">
        <v>46314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46314</v>
      </c>
      <c r="F322" t="inlineStr">
        <is>
          <t>VÄRMLANDS LÄN</t>
        </is>
      </c>
      <c r="G322" t="inlineStr">
        <is>
          <t>KRISTINEHAMN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46314</v>
      </c>
      <c r="F323" t="inlineStr">
        <is>
          <t>VÄRMLANDS LÄN</t>
        </is>
      </c>
      <c r="G323" t="inlineStr">
        <is>
          <t>KRISTINEHAMN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46314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46314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46314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46314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46314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46314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46314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46314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46314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46314</v>
      </c>
      <c r="F333" t="inlineStr">
        <is>
          <t>VÄRMLANDS LÄN</t>
        </is>
      </c>
      <c r="G333" t="inlineStr">
        <is>
          <t>KRISTINEHAMN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46314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46314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46314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46314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46314</v>
      </c>
      <c r="F338" t="inlineStr">
        <is>
          <t>VÄRMLANDS LÄN</t>
        </is>
      </c>
      <c r="G338" t="inlineStr">
        <is>
          <t>KRISTINEHAMN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45201</v>
      </c>
      <c r="E339" s="1" t="n">
        <v>46314</v>
      </c>
      <c r="F339" t="inlineStr">
        <is>
          <t>VÄRMLANDS LÄN</t>
        </is>
      </c>
      <c r="G339" t="inlineStr">
        <is>
          <t>KRISTINEHAMN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46314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46314</v>
      </c>
      <c r="F341" t="inlineStr">
        <is>
          <t>VÄRMLANDS LÄN</t>
        </is>
      </c>
      <c r="G341" t="inlineStr">
        <is>
          <t>KRISTINEHAMN</t>
        </is>
      </c>
      <c r="I341" t="n">
        <v>13.2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46314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46281</v>
      </c>
      <c r="E343" s="1" t="n">
        <v>46314</v>
      </c>
      <c r="F343" t="inlineStr">
        <is>
          <t>VÄRMLANDS LÄN</t>
        </is>
      </c>
      <c r="G343" t="inlineStr">
        <is>
          <t>KRISTINEHAMN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46314</v>
      </c>
      <c r="F344" t="inlineStr">
        <is>
          <t>VÄRMLANDS LÄN</t>
        </is>
      </c>
      <c r="G344" t="inlineStr">
        <is>
          <t>KRISTINEHAMN</t>
        </is>
      </c>
      <c r="I344" t="n">
        <v>19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46314</v>
      </c>
      <c r="F345" t="inlineStr">
        <is>
          <t>VÄRMLANDS LÄN</t>
        </is>
      </c>
      <c r="G345" t="inlineStr">
        <is>
          <t>KRISTINEHAMN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46314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46314</v>
      </c>
      <c r="F347" t="inlineStr">
        <is>
          <t>VÄRMLANDS LÄN</t>
        </is>
      </c>
      <c r="G347" t="inlineStr">
        <is>
          <t>KRISTINEHAMN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45656</v>
      </c>
      <c r="E348" s="1" t="n">
        <v>46314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59144-2021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46314</v>
      </c>
      <c r="F349" t="inlineStr">
        <is>
          <t>VÄRMLANDS LÄN</t>
        </is>
      </c>
      <c r="G349" t="inlineStr">
        <is>
          <t>KRISTINEHAMN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45323</v>
      </c>
      <c r="E350" s="1" t="n">
        <v>46314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46314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46314</v>
      </c>
      <c r="F352" t="inlineStr">
        <is>
          <t>VÄRMLANDS LÄN</t>
        </is>
      </c>
      <c r="G352" t="inlineStr">
        <is>
          <t>KRISTINEHAMN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46314</v>
      </c>
      <c r="F353" t="inlineStr">
        <is>
          <t>VÄRMLANDS LÄN</t>
        </is>
      </c>
      <c r="G353" t="inlineStr">
        <is>
          <t>KRISTINEHAMN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46314</v>
      </c>
      <c r="F354" t="inlineStr">
        <is>
          <t>VÄRMLANDS LÄN</t>
        </is>
      </c>
      <c r="G354" t="inlineStr">
        <is>
          <t>KRISTINEHAMN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46314</v>
      </c>
      <c r="F355" t="inlineStr">
        <is>
          <t>VÄRMLANDS LÄN</t>
        </is>
      </c>
      <c r="G355" t="inlineStr">
        <is>
          <t>KRISTINEHAMN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46314</v>
      </c>
      <c r="F356" t="inlineStr">
        <is>
          <t>VÄRMLANDS LÄN</t>
        </is>
      </c>
      <c r="G356" t="inlineStr">
        <is>
          <t>KRISTINEHAMN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46314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38840-2026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46286</v>
      </c>
      <c r="E358" s="1" t="n">
        <v>46314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46314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45705</v>
      </c>
      <c r="E360" s="1" t="n">
        <v>46314</v>
      </c>
      <c r="F360" t="inlineStr">
        <is>
          <t>VÄRMLANDS LÄN</t>
        </is>
      </c>
      <c r="G360" t="inlineStr">
        <is>
          <t>KRISTINEHAMN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46314</v>
      </c>
      <c r="F361" t="inlineStr">
        <is>
          <t>VÄRMLANDS LÄN</t>
        </is>
      </c>
      <c r="G361" t="inlineStr">
        <is>
          <t>KRISTINEHAMN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70126-2021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44533</v>
      </c>
      <c r="E362" s="1" t="n">
        <v>46314</v>
      </c>
      <c r="F362" t="inlineStr">
        <is>
          <t>VÄRMLANDS LÄN</t>
        </is>
      </c>
      <c r="G362" t="inlineStr">
        <is>
          <t>KRISTINEHAMN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46526-2022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46314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46314</v>
      </c>
      <c r="F364" t="inlineStr">
        <is>
          <t>VÄRMLANDS LÄN</t>
        </is>
      </c>
      <c r="G364" t="inlineStr">
        <is>
          <t>KRISTINEHAMN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46314</v>
      </c>
      <c r="F365" t="inlineStr">
        <is>
          <t>VÄRMLANDS LÄN</t>
        </is>
      </c>
      <c r="G365" t="inlineStr">
        <is>
          <t>KRISTINEHAMN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46314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Naturvårdsverket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44994</v>
      </c>
      <c r="E367" s="1" t="n">
        <v>46314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46314</v>
      </c>
      <c r="F368" t="inlineStr">
        <is>
          <t>VÄRMLANDS LÄN</t>
        </is>
      </c>
      <c r="G368" t="inlineStr">
        <is>
          <t>KRISTINEHAMN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46314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46314</v>
      </c>
      <c r="F370" t="inlineStr">
        <is>
          <t>VÄRMLANDS LÄN</t>
        </is>
      </c>
      <c r="G370" t="inlineStr">
        <is>
          <t>KRISTINEHAMN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45344</v>
      </c>
      <c r="E371" s="1" t="n">
        <v>46314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Naturvårdsverket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46314</v>
      </c>
      <c r="F372" t="inlineStr">
        <is>
          <t>VÄRMLANDS LÄN</t>
        </is>
      </c>
      <c r="G372" t="inlineStr">
        <is>
          <t>KRISTINEHAMN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46314</v>
      </c>
      <c r="F373" t="inlineStr">
        <is>
          <t>VÄRMLANDS LÄN</t>
        </is>
      </c>
      <c r="G373" t="inlineStr">
        <is>
          <t>KRISTINEHAMN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46314</v>
      </c>
      <c r="F374" t="inlineStr">
        <is>
          <t>VÄRMLANDS LÄN</t>
        </is>
      </c>
      <c r="G374" t="inlineStr">
        <is>
          <t>KRISTINEHAMN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46314</v>
      </c>
      <c r="F375" t="inlineStr">
        <is>
          <t>VÄRMLANDS LÄN</t>
        </is>
      </c>
      <c r="G375" t="inlineStr">
        <is>
          <t>KRISTINEHAMN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46314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Kyrkan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46314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44888</v>
      </c>
      <c r="E378" s="1" t="n">
        <v>46314</v>
      </c>
      <c r="F378" t="inlineStr">
        <is>
          <t>VÄRMLANDS LÄN</t>
        </is>
      </c>
      <c r="G378" t="inlineStr">
        <is>
          <t>KRISTINEHAMN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46287</v>
      </c>
      <c r="E379" s="1" t="n">
        <v>46314</v>
      </c>
      <c r="F379" t="inlineStr">
        <is>
          <t>VÄRMLANDS LÄN</t>
        </is>
      </c>
      <c r="G379" t="inlineStr">
        <is>
          <t>KRISTINEHAMN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44722</v>
      </c>
      <c r="E380" s="1" t="n">
        <v>46314</v>
      </c>
      <c r="F380" t="inlineStr">
        <is>
          <t>VÄRMLANDS LÄN</t>
        </is>
      </c>
      <c r="G380" t="inlineStr">
        <is>
          <t>KRISTINEHAMN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46314</v>
      </c>
      <c r="F381" t="inlineStr">
        <is>
          <t>VÄRMLANDS LÄN</t>
        </is>
      </c>
      <c r="G381" t="inlineStr">
        <is>
          <t>KRISTINEHAMN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46314</v>
      </c>
      <c r="F382" t="inlineStr">
        <is>
          <t>VÄRMLANDS LÄN</t>
        </is>
      </c>
      <c r="G382" t="inlineStr">
        <is>
          <t>KRISTINEHAMN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28834-2024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45478</v>
      </c>
      <c r="E383" s="1" t="n">
        <v>46314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44770</v>
      </c>
      <c r="E384" s="1" t="n">
        <v>46314</v>
      </c>
      <c r="F384" t="inlineStr">
        <is>
          <t>VÄRMLANDS LÄN</t>
        </is>
      </c>
      <c r="G384" t="inlineStr">
        <is>
          <t>KRISTINEHAMN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46314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46314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46314</v>
      </c>
      <c r="F387" t="inlineStr">
        <is>
          <t>VÄRMLANDS LÄN</t>
        </is>
      </c>
      <c r="G387" t="inlineStr">
        <is>
          <t>KRISTINEHAMN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46302</v>
      </c>
      <c r="E388" s="1" t="n">
        <v>46314</v>
      </c>
      <c r="F388" t="inlineStr">
        <is>
          <t>VÄRMLANDS LÄN</t>
        </is>
      </c>
      <c r="G388" t="inlineStr">
        <is>
          <t>KRISTINEHAMN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44805</v>
      </c>
      <c r="E389" s="1" t="n">
        <v>46314</v>
      </c>
      <c r="F389" t="inlineStr">
        <is>
          <t>VÄRMLANDS LÄN</t>
        </is>
      </c>
      <c r="G389" t="inlineStr">
        <is>
          <t>KRISTINEHAMN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23510-2025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45792</v>
      </c>
      <c r="E390" s="1" t="n">
        <v>46314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45792</v>
      </c>
      <c r="E391" s="1" t="n">
        <v>46314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45792</v>
      </c>
      <c r="E392" s="1" t="n">
        <v>46314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46314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46314</v>
      </c>
      <c r="F394" t="inlineStr">
        <is>
          <t>VÄRMLANDS LÄN</t>
        </is>
      </c>
      <c r="G394" t="inlineStr">
        <is>
          <t>KRISTINEHAMN</t>
        </is>
      </c>
      <c r="I394" t="n">
        <v>11.2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46314</v>
      </c>
      <c r="F395" t="inlineStr">
        <is>
          <t>VÄRMLANDS LÄN</t>
        </is>
      </c>
      <c r="G395" t="inlineStr">
        <is>
          <t>KRISTINEHAMN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46314</v>
      </c>
      <c r="F396" t="inlineStr">
        <is>
          <t>VÄRMLANDS LÄN</t>
        </is>
      </c>
      <c r="G396" t="inlineStr">
        <is>
          <t>KRISTINEHAMN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45282</v>
      </c>
      <c r="E397" s="1" t="n">
        <v>46314</v>
      </c>
      <c r="F397" t="inlineStr">
        <is>
          <t>VÄRMLANDS LÄN</t>
        </is>
      </c>
      <c r="G397" t="inlineStr">
        <is>
          <t>KRISTINEHAMN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46314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45575</v>
      </c>
      <c r="E399" s="1" t="n">
        <v>46314</v>
      </c>
      <c r="F399" t="inlineStr">
        <is>
          <t>VÄRMLANDS LÄN</t>
        </is>
      </c>
      <c r="G399" t="inlineStr">
        <is>
          <t>KRISTINEHAMN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45553</v>
      </c>
      <c r="E400" s="1" t="n">
        <v>46314</v>
      </c>
      <c r="F400" t="inlineStr">
        <is>
          <t>VÄRMLANDS LÄN</t>
        </is>
      </c>
      <c r="G400" t="inlineStr">
        <is>
          <t>KRISTINEHAMN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45798</v>
      </c>
      <c r="E401" s="1" t="n">
        <v>46314</v>
      </c>
      <c r="F401" t="inlineStr">
        <is>
          <t>VÄRMLANDS LÄN</t>
        </is>
      </c>
      <c r="G401" t="inlineStr">
        <is>
          <t>KRISTINEHAMN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45802</v>
      </c>
      <c r="E402" s="1" t="n">
        <v>46314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46314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45805</v>
      </c>
      <c r="E404" s="1" t="n">
        <v>46314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46314</v>
      </c>
      <c r="F405" t="inlineStr">
        <is>
          <t>VÄRMLANDS LÄN</t>
        </is>
      </c>
      <c r="G405" t="inlineStr">
        <is>
          <t>KRISTINEHAMN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45810</v>
      </c>
      <c r="E406" s="1" t="n">
        <v>46314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46314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45812</v>
      </c>
      <c r="E408" s="1" t="n">
        <v>46314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46314</v>
      </c>
      <c r="F409" t="inlineStr">
        <is>
          <t>VÄRMLANDS LÄN</t>
        </is>
      </c>
      <c r="G409" t="inlineStr">
        <is>
          <t>KRISTINEHAMN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46307</v>
      </c>
      <c r="E410" s="1" t="n">
        <v>46314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45364</v>
      </c>
      <c r="E411" s="1" t="n">
        <v>46314</v>
      </c>
      <c r="F411" t="inlineStr">
        <is>
          <t>VÄRMLANDS LÄN</t>
        </is>
      </c>
      <c r="G411" t="inlineStr">
        <is>
          <t>KRISTINEHAMN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45385</v>
      </c>
      <c r="E412" s="1" t="n">
        <v>46314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45827</v>
      </c>
      <c r="E413" s="1" t="n">
        <v>46314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45378</v>
      </c>
      <c r="E414" s="1" t="n">
        <v>46314</v>
      </c>
      <c r="F414" t="inlineStr">
        <is>
          <t>VÄRMLANDS LÄN</t>
        </is>
      </c>
      <c r="G414" t="inlineStr">
        <is>
          <t>KRISTINEHAMN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46314</v>
      </c>
      <c r="F415" t="inlineStr">
        <is>
          <t>VÄRMLANDS LÄN</t>
        </is>
      </c>
      <c r="G415" t="inlineStr">
        <is>
          <t>KRISTINEHAMN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46314</v>
      </c>
      <c r="F416" t="inlineStr">
        <is>
          <t>VÄRMLANDS LÄN</t>
        </is>
      </c>
      <c r="G416" t="inlineStr">
        <is>
          <t>KRISTINEHAMN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46314</v>
      </c>
      <c r="F417" t="inlineStr">
        <is>
          <t>VÄRMLANDS LÄN</t>
        </is>
      </c>
      <c r="G417" t="inlineStr">
        <is>
          <t>KRISTINEHAMN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46314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46314</v>
      </c>
      <c r="F419" t="inlineStr">
        <is>
          <t>VÄRMLANDS LÄN</t>
        </is>
      </c>
      <c r="G419" t="inlineStr">
        <is>
          <t>KRISTINEHAMN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46314</v>
      </c>
      <c r="F420" t="inlineStr">
        <is>
          <t>VÄRMLANDS LÄN</t>
        </is>
      </c>
      <c r="G420" t="inlineStr">
        <is>
          <t>KRISTINEHAMN</t>
        </is>
      </c>
      <c r="I420" t="n">
        <v>20.1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46314</v>
      </c>
      <c r="F421" t="inlineStr">
        <is>
          <t>VÄRMLANDS LÄN</t>
        </is>
      </c>
      <c r="G421" t="inlineStr">
        <is>
          <t>KRISTINEHAMN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45782</v>
      </c>
      <c r="E422" s="1" t="n">
        <v>46314</v>
      </c>
      <c r="F422" t="inlineStr">
        <is>
          <t>VÄRMLANDS LÄN</t>
        </is>
      </c>
      <c r="G422" t="inlineStr">
        <is>
          <t>KRISTINEHAMN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46314</v>
      </c>
      <c r="F423" t="inlineStr">
        <is>
          <t>VÄRMLANDS LÄN</t>
        </is>
      </c>
      <c r="G423" t="inlineStr">
        <is>
          <t>KRISTINEHAMN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46314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45876</v>
      </c>
      <c r="E425" s="1" t="n">
        <v>46314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46314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46314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46314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46314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2254-2023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45103</v>
      </c>
      <c r="E430" s="1" t="n">
        <v>46314</v>
      </c>
      <c r="F430" t="inlineStr">
        <is>
          <t>VÄRMLANDS LÄN</t>
        </is>
      </c>
      <c r="G430" t="inlineStr">
        <is>
          <t>KRISTINEHAMN</t>
        </is>
      </c>
      <c r="I430" t="n">
        <v>51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46314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1899-2024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45442</v>
      </c>
      <c r="E432" s="1" t="n">
        <v>46314</v>
      </c>
      <c r="F432" t="inlineStr">
        <is>
          <t>VÄRMLANDS LÄN</t>
        </is>
      </c>
      <c r="G432" t="inlineStr">
        <is>
          <t>KRISTINEHAMN</t>
        </is>
      </c>
      <c r="I432" t="n">
        <v>21.4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2301-2024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45463</v>
      </c>
      <c r="E433" s="1" t="n">
        <v>46314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Bergvik skog väst AB</t>
        </is>
      </c>
      <c r="I433" t="n">
        <v>28.1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2553-2024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45475</v>
      </c>
      <c r="E434" s="1" t="n">
        <v>46314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3378-2024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46314</v>
      </c>
      <c r="F435" t="inlineStr">
        <is>
          <t>VÄRMLANDS LÄN</t>
        </is>
      </c>
      <c r="G435" t="inlineStr">
        <is>
          <t>KRISTINEHAMN</t>
        </is>
      </c>
      <c r="I435" t="n">
        <v>53.7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46314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46314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46314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46314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46314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46314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46314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46314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46314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46314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46314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46314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46314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46314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46314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2026-10-19T02:01:06Z</dcterms:created>
  <dcterms:modified xmlns:dcterms="http://purl.org/dc/terms/" xmlns:xsi="http://www.w3.org/2001/XMLSchema-instance" xsi:type="dcterms:W3CDTF">2026-10-19T02:01:06Z</dcterms:modified>
</cp:coreProperties>
</file>