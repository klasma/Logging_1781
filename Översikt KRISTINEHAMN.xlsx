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46320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46320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46320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46320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46320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46320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46320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46320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46320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46320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46320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46320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46320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46320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46320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46320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36792-2023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45154</v>
      </c>
      <c r="E18" s="1" t="n">
        <v>46320</v>
      </c>
      <c r="F18" t="inlineStr">
        <is>
          <t>VÄRMLANDS LÄN</t>
        </is>
      </c>
      <c r="G18" t="inlineStr">
        <is>
          <t>KRISTINEHAMN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36792-2023 artfynd.xlsx", "A 36792-2023")</f>
        <v/>
      </c>
      <c r="X18">
        <f>HYPERLINK("https://klasma.github.io/Logging_1781/kartor/A 36792-2023 karta.png", "A 36792-2023")</f>
        <v/>
      </c>
      <c r="Y18">
        <f>HYPERLINK("https://klasma.github.io/Logging_1781/kartor_geotiff/A 36792-2023 georefererad karta.tif", "A 36792-2023")</f>
        <v/>
      </c>
      <c r="AA18">
        <f>HYPERLINK("https://klasma.github.io/Logging_1781/klagomål/A 36792-2023 FSC-klagomål.docx", "A 36792-2023")</f>
        <v/>
      </c>
      <c r="AB18">
        <f>HYPERLINK("https://klasma.github.io/Logging_1781/klagomålsmail/A 36792-2023 FSC-klagomål mail.docx", "A 36792-2023")</f>
        <v/>
      </c>
      <c r="AC18">
        <f>HYPERLINK("https://klasma.github.io/Logging_1781/tillsyn/A 36792-2023 tillsynsbegäran.docx", "A 36792-2023")</f>
        <v/>
      </c>
      <c r="AD18">
        <f>HYPERLINK("https://klasma.github.io/Logging_1781/tillsynsmail/A 36792-2023 tillsynsbegäran mail.docx", "A 36792-2023")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46320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46320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58021-2025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46320</v>
      </c>
      <c r="F21" t="inlineStr">
        <is>
          <t>VÄRMLANDS LÄN</t>
        </is>
      </c>
      <c r="G21" t="inlineStr">
        <is>
          <t>KRISTINEHAMN</t>
        </is>
      </c>
      <c r="I21" t="n">
        <v>4.2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HYPERLINK("https://klasma.github.io/Logging_1781/artfynd/A 58021-2025 artfynd.xlsx", "A 58021-2025")</f>
        <v/>
      </c>
      <c r="X21">
        <f>HYPERLINK("https://klasma.github.io/Logging_1781/kartor/A 58021-2025 karta.png", "A 58021-2025")</f>
        <v/>
      </c>
      <c r="Y21">
        <f>HYPERLINK("https://klasma.github.io/Logging_1781/kartor_geotiff/A 58021-2025 georefererad karta.tif", "A 58021-2025")</f>
        <v/>
      </c>
      <c r="AA21">
        <f>HYPERLINK("https://klasma.github.io/Logging_1781/klagomål/A 58021-2025 FSC-klagomål.docx", "A 58021-2025")</f>
        <v/>
      </c>
      <c r="AB21">
        <f>HYPERLINK("https://klasma.github.io/Logging_1781/klagomålsmail/A 58021-2025 FSC-klagomål mail.docx", "A 58021-2025")</f>
        <v/>
      </c>
      <c r="AC21">
        <f>HYPERLINK("https://klasma.github.io/Logging_1781/tillsyn/A 58021-2025 tillsynsbegäran.docx", "A 58021-2025")</f>
        <v/>
      </c>
      <c r="AD21">
        <f>HYPERLINK("https://klasma.github.io/Logging_1781/tillsynsmail/A 58021-2025 tillsynsbegäran mail.docx", "A 58021-2025")</f>
        <v/>
      </c>
    </row>
    <row r="22" ht="15" customHeight="1">
      <c r="A22" t="inlineStr">
        <is>
          <t>A 5494-2025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46320</v>
      </c>
      <c r="F22" t="inlineStr">
        <is>
          <t>VÄRMLANDS LÄN</t>
        </is>
      </c>
      <c r="G22" t="inlineStr">
        <is>
          <t>KRISTINEHAMN</t>
        </is>
      </c>
      <c r="I22" t="n">
        <v>8.699999999999999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Jungfrulin</t>
        </is>
      </c>
      <c r="W22">
        <f>HYPERLINK("https://klasma.github.io/Logging_1781/artfynd/A 5494-2025 artfynd.xlsx", "A 5494-2025")</f>
        <v/>
      </c>
      <c r="X22">
        <f>HYPERLINK("https://klasma.github.io/Logging_1781/kartor/A 5494-2025 karta.png", "A 5494-2025")</f>
        <v/>
      </c>
      <c r="Y22">
        <f>HYPERLINK("https://klasma.github.io/Logging_1781/kartor_geotiff/A 5494-2025 georefererad karta.tif", "A 5494-2025")</f>
        <v/>
      </c>
      <c r="AA22">
        <f>HYPERLINK("https://klasma.github.io/Logging_1781/klagomål/A 5494-2025 FSC-klagomål.docx", "A 5494-2025")</f>
        <v/>
      </c>
      <c r="AB22">
        <f>HYPERLINK("https://klasma.github.io/Logging_1781/klagomålsmail/A 5494-2025 FSC-klagomål mail.docx", "A 5494-2025")</f>
        <v/>
      </c>
      <c r="AC22">
        <f>HYPERLINK("https://klasma.github.io/Logging_1781/tillsyn/A 5494-2025 tillsynsbegäran.docx", "A 5494-2025")</f>
        <v/>
      </c>
      <c r="AD22">
        <f>HYPERLINK("https://klasma.github.io/Logging_1781/tillsynsmail/A 5494-2025 tillsynsbegäran mail.docx", "A 5494-2025")</f>
        <v/>
      </c>
    </row>
    <row r="23" ht="15" customHeight="1">
      <c r="A23" t="inlineStr">
        <is>
          <t>A 61238-2025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46000</v>
      </c>
      <c r="E23" s="1" t="n">
        <v>46320</v>
      </c>
      <c r="F23" t="inlineStr">
        <is>
          <t>VÄRMLANDS LÄN</t>
        </is>
      </c>
      <c r="G23" t="inlineStr">
        <is>
          <t>KRISTINEHAMN</t>
        </is>
      </c>
      <c r="I23" t="n">
        <v>5.8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HYPERLINK("https://klasma.github.io/Logging_1781/artfynd/A 61238-2025 artfynd.xlsx", "A 61238-2025")</f>
        <v/>
      </c>
      <c r="X23">
        <f>HYPERLINK("https://klasma.github.io/Logging_1781/kartor/A 61238-2025 karta.png", "A 61238-2025")</f>
        <v/>
      </c>
      <c r="Y23">
        <f>HYPERLINK("https://klasma.github.io/Logging_1781/kartor_geotiff/A 61238-2025 georefererad karta.tif", "A 61238-2025")</f>
        <v/>
      </c>
      <c r="AA23">
        <f>HYPERLINK("https://klasma.github.io/Logging_1781/klagomål/A 61238-2025 FSC-klagomål.docx", "A 61238-2025")</f>
        <v/>
      </c>
      <c r="AB23">
        <f>HYPERLINK("https://klasma.github.io/Logging_1781/klagomålsmail/A 61238-2025 FSC-klagomål mail.docx", "A 61238-2025")</f>
        <v/>
      </c>
      <c r="AC23">
        <f>HYPERLINK("https://klasma.github.io/Logging_1781/tillsyn/A 61238-2025 tillsynsbegäran.docx", "A 61238-2025")</f>
        <v/>
      </c>
      <c r="AD23">
        <f>HYPERLINK("https://klasma.github.io/Logging_1781/tillsynsmail/A 61238-2025 tillsynsbegäran mail.docx", "A 61238-2025")</f>
        <v/>
      </c>
      <c r="AE23">
        <f>HYPERLINK("https://klasma.github.io/Logging_1781/fåglar/A 61238-2025 prioriterade fågelarter.docx", "A 61238-2025")</f>
        <v/>
      </c>
    </row>
    <row r="24" ht="15" customHeight="1">
      <c r="A24" t="inlineStr">
        <is>
          <t>A 2406-2025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45674</v>
      </c>
      <c r="E24" s="1" t="n">
        <v>46320</v>
      </c>
      <c r="F24" t="inlineStr">
        <is>
          <t>VÄRMLANDS LÄN</t>
        </is>
      </c>
      <c r="G24" t="inlineStr">
        <is>
          <t>KRISTINEHAMN</t>
        </is>
      </c>
      <c r="I24" t="n">
        <v>9.699999999999999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HYPERLINK("https://klasma.github.io/Logging_1781/artfynd/A 2406-2025 artfynd.xlsx", "A 2406-2025")</f>
        <v/>
      </c>
      <c r="X24">
        <f>HYPERLINK("https://klasma.github.io/Logging_1781/kartor/A 2406-2025 karta.png", "A 2406-2025")</f>
        <v/>
      </c>
      <c r="Y24">
        <f>HYPERLINK("https://klasma.github.io/Logging_1781/kartor_geotiff/A 2406-2025 georefererad karta.tif", "A 2406-2025")</f>
        <v/>
      </c>
      <c r="AA24">
        <f>HYPERLINK("https://klasma.github.io/Logging_1781/klagomål/A 2406-2025 FSC-klagomål.docx", "A 2406-2025")</f>
        <v/>
      </c>
      <c r="AB24">
        <f>HYPERLINK("https://klasma.github.io/Logging_1781/klagomålsmail/A 2406-2025 FSC-klagomål mail.docx", "A 2406-2025")</f>
        <v/>
      </c>
      <c r="AC24">
        <f>HYPERLINK("https://klasma.github.io/Logging_1781/tillsyn/A 2406-2025 tillsynsbegäran.docx", "A 2406-2025")</f>
        <v/>
      </c>
      <c r="AD24">
        <f>HYPERLINK("https://klasma.github.io/Logging_1781/tillsynsmail/A 2406-2025 tillsynsbegäran mail.docx", "A 2406-2025")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46320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46320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46320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14762-2026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46320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14762-2026 artfynd.xlsx", "A 14762-2026")</f>
        <v/>
      </c>
      <c r="X28">
        <f>HYPERLINK("https://klasma.github.io/Logging_1781/kartor/A 14762-2026 karta.png", "A 14762-2026")</f>
        <v/>
      </c>
      <c r="Y28">
        <f>HYPERLINK("https://klasma.github.io/Logging_1781/kartor_geotiff/A 14762-2026 georefererad karta.tif", "A 14762-2026")</f>
        <v/>
      </c>
      <c r="AA28">
        <f>HYPERLINK("https://klasma.github.io/Logging_1781/klagomål/A 14762-2026 FSC-klagomål.docx", "A 14762-2026")</f>
        <v/>
      </c>
      <c r="AB28">
        <f>HYPERLINK("https://klasma.github.io/Logging_1781/klagomålsmail/A 14762-2026 FSC-klagomål mail.docx", "A 14762-2026")</f>
        <v/>
      </c>
      <c r="AC28">
        <f>HYPERLINK("https://klasma.github.io/Logging_1781/tillsyn/A 14762-2026 tillsynsbegäran.docx", "A 14762-2026")</f>
        <v/>
      </c>
      <c r="AD28">
        <f>HYPERLINK("https://klasma.github.io/Logging_1781/tillsynsmail/A 14762-2026 tillsynsbegäran mail.docx", "A 14762-2026")</f>
        <v/>
      </c>
    </row>
    <row r="29" ht="15" customHeight="1">
      <c r="A29" t="inlineStr">
        <is>
          <t>A 14760-2026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46320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14760-2026 artfynd.xlsx", "A 14760-2026")</f>
        <v/>
      </c>
      <c r="X29">
        <f>HYPERLINK("https://klasma.github.io/Logging_1781/kartor/A 14760-2026 karta.png", "A 14760-2026")</f>
        <v/>
      </c>
      <c r="Y29">
        <f>HYPERLINK("https://klasma.github.io/Logging_1781/kartor_geotiff/A 14760-2026 georefererad karta.tif", "A 14760-2026")</f>
        <v/>
      </c>
      <c r="AA29">
        <f>HYPERLINK("https://klasma.github.io/Logging_1781/klagomål/A 14760-2026 FSC-klagomål.docx", "A 14760-2026")</f>
        <v/>
      </c>
      <c r="AB29">
        <f>HYPERLINK("https://klasma.github.io/Logging_1781/klagomålsmail/A 14760-2026 FSC-klagomål mail.docx", "A 14760-2026")</f>
        <v/>
      </c>
      <c r="AC29">
        <f>HYPERLINK("https://klasma.github.io/Logging_1781/tillsyn/A 14760-2026 tillsynsbegäran.docx", "A 14760-2026")</f>
        <v/>
      </c>
      <c r="AD29">
        <f>HYPERLINK("https://klasma.github.io/Logging_1781/tillsynsmail/A 14760-2026 tillsynsbegäran mail.docx", "A 14760-2026")</f>
        <v/>
      </c>
    </row>
    <row r="30" ht="15" customHeight="1">
      <c r="A30" t="inlineStr">
        <is>
          <t>A 3302-2022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46320</v>
      </c>
      <c r="F30" t="inlineStr">
        <is>
          <t>VÄRMLANDS LÄN</t>
        </is>
      </c>
      <c r="G30" t="inlineStr">
        <is>
          <t>KRISTINEHAMN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3302-2022 artfynd.xlsx", "A 3302-2022")</f>
        <v/>
      </c>
      <c r="X30">
        <f>HYPERLINK("https://klasma.github.io/Logging_1781/kartor/A 3302-2022 karta.png", "A 3302-2022")</f>
        <v/>
      </c>
      <c r="Y30">
        <f>HYPERLINK("https://klasma.github.io/Logging_1781/kartor_geotiff/A 3302-2022 georefererad karta.tif", "A 3302-2022")</f>
        <v/>
      </c>
      <c r="AA30">
        <f>HYPERLINK("https://klasma.github.io/Logging_1781/klagomål/A 3302-2022 FSC-klagomål.docx", "A 3302-2022")</f>
        <v/>
      </c>
      <c r="AB30">
        <f>HYPERLINK("https://klasma.github.io/Logging_1781/klagomålsmail/A 3302-2022 FSC-klagomål mail.docx", "A 3302-2022")</f>
        <v/>
      </c>
      <c r="AC30">
        <f>HYPERLINK("https://klasma.github.io/Logging_1781/tillsyn/A 3302-2022 tillsynsbegäran.docx", "A 3302-2022")</f>
        <v/>
      </c>
      <c r="AD30">
        <f>HYPERLINK("https://klasma.github.io/Logging_1781/tillsynsmail/A 3302-2022 tillsynsbegäran mail.docx", "A 3302-2022")</f>
        <v/>
      </c>
    </row>
    <row r="31" ht="15" customHeight="1">
      <c r="A31" t="inlineStr">
        <is>
          <t>A 20746-2026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46320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6.3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20746-2026 artfynd.xlsx", "A 20746-2026")</f>
        <v/>
      </c>
      <c r="X31">
        <f>HYPERLINK("https://klasma.github.io/Logging_1781/kartor/A 20746-2026 karta.png", "A 20746-2026")</f>
        <v/>
      </c>
      <c r="Y31">
        <f>HYPERLINK("https://klasma.github.io/Logging_1781/kartor_geotiff/A 20746-2026 georefererad karta.tif", "A 20746-2026")</f>
        <v/>
      </c>
      <c r="AA31">
        <f>HYPERLINK("https://klasma.github.io/Logging_1781/klagomål/A 20746-2026 FSC-klagomål.docx", "A 20746-2026")</f>
        <v/>
      </c>
      <c r="AB31">
        <f>HYPERLINK("https://klasma.github.io/Logging_1781/klagomålsmail/A 20746-2026 FSC-klagomål mail.docx", "A 20746-2026")</f>
        <v/>
      </c>
      <c r="AC31">
        <f>HYPERLINK("https://klasma.github.io/Logging_1781/tillsyn/A 20746-2026 tillsynsbegäran.docx", "A 20746-2026")</f>
        <v/>
      </c>
      <c r="AD31">
        <f>HYPERLINK("https://klasma.github.io/Logging_1781/tillsynsmail/A 20746-2026 tillsynsbegäran mail.docx", "A 20746-2026")</f>
        <v/>
      </c>
    </row>
    <row r="32" ht="15" customHeight="1">
      <c r="A32" t="inlineStr">
        <is>
          <t>A 59096-2024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45637</v>
      </c>
      <c r="E32" s="1" t="n">
        <v>46320</v>
      </c>
      <c r="F32" t="inlineStr">
        <is>
          <t>VÄRMLANDS LÄN</t>
        </is>
      </c>
      <c r="G32" t="inlineStr">
        <is>
          <t>KRISTINEHAMN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Bombmurkla</t>
        </is>
      </c>
      <c r="W32">
        <f>HYPERLINK("https://klasma.github.io/Logging_1781/artfynd/A 59096-2024 artfynd.xlsx", "A 59096-2024")</f>
        <v/>
      </c>
      <c r="X32">
        <f>HYPERLINK("https://klasma.github.io/Logging_1781/kartor/A 59096-2024 karta.png", "A 59096-2024")</f>
        <v/>
      </c>
      <c r="Y32">
        <f>HYPERLINK("https://klasma.github.io/Logging_1781/kartor_geotiff/A 59096-2024 georefererad karta.tif", "A 59096-2024")</f>
        <v/>
      </c>
      <c r="AA32">
        <f>HYPERLINK("https://klasma.github.io/Logging_1781/klagomål/A 59096-2024 FSC-klagomål.docx", "A 59096-2024")</f>
        <v/>
      </c>
      <c r="AB32">
        <f>HYPERLINK("https://klasma.github.io/Logging_1781/klagomålsmail/A 59096-2024 FSC-klagomål mail.docx", "A 59096-2024")</f>
        <v/>
      </c>
      <c r="AC32">
        <f>HYPERLINK("https://klasma.github.io/Logging_1781/tillsyn/A 59096-2024 tillsynsbegäran.docx", "A 59096-2024")</f>
        <v/>
      </c>
      <c r="AD32">
        <f>HYPERLINK("https://klasma.github.io/Logging_1781/tillsynsmail/A 59096-2024 tillsynsbegäran mail.docx", "A 59096-2024")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46320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46320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13025-2023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46320</v>
      </c>
      <c r="F35" t="inlineStr">
        <is>
          <t>VÄRMLANDS LÄN</t>
        </is>
      </c>
      <c r="G35" t="inlineStr">
        <is>
          <t>KRISTINEHAMN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HYPERLINK("https://klasma.github.io/Logging_1781/artfynd/A 13025-2023 artfynd.xlsx", "A 13025-2023")</f>
        <v/>
      </c>
      <c r="X35">
        <f>HYPERLINK("https://klasma.github.io/Logging_1781/kartor/A 13025-2023 karta.png", "A 13025-2023")</f>
        <v/>
      </c>
      <c r="Y35">
        <f>HYPERLINK("https://klasma.github.io/Logging_1781/kartor_geotiff/A 13025-2023 georefererad karta.tif", "A 13025-2023")</f>
        <v/>
      </c>
      <c r="AA35">
        <f>HYPERLINK("https://klasma.github.io/Logging_1781/klagomål/A 13025-2023 FSC-klagomål.docx", "A 13025-2023")</f>
        <v/>
      </c>
      <c r="AB35">
        <f>HYPERLINK("https://klasma.github.io/Logging_1781/klagomålsmail/A 13025-2023 FSC-klagomål mail.docx", "A 13025-2023")</f>
        <v/>
      </c>
      <c r="AC35">
        <f>HYPERLINK("https://klasma.github.io/Logging_1781/tillsyn/A 13025-2023 tillsynsbegäran.docx", "A 13025-2023")</f>
        <v/>
      </c>
      <c r="AD35">
        <f>HYPERLINK("https://klasma.github.io/Logging_1781/tillsynsmail/A 13025-2023 tillsynsbegäran mail.docx", "A 13025-2023")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46320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8714-2024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45356</v>
      </c>
      <c r="E37" s="1" t="n">
        <v>46320</v>
      </c>
      <c r="F37" t="inlineStr">
        <is>
          <t>VÄRMLANDS LÄN</t>
        </is>
      </c>
      <c r="G37" t="inlineStr">
        <is>
          <t>KRISTINEHAMN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Bombmurkla</t>
        </is>
      </c>
      <c r="W37">
        <f>HYPERLINK("https://klasma.github.io/Logging_1781/artfynd/A 8714-2024 artfynd.xlsx", "A 8714-2024")</f>
        <v/>
      </c>
      <c r="X37">
        <f>HYPERLINK("https://klasma.github.io/Logging_1781/kartor/A 8714-2024 karta.png", "A 8714-2024")</f>
        <v/>
      </c>
      <c r="Y37">
        <f>HYPERLINK("https://klasma.github.io/Logging_1781/kartor_geotiff/A 8714-2024 georefererad karta.tif", "A 8714-2024")</f>
        <v/>
      </c>
      <c r="AA37">
        <f>HYPERLINK("https://klasma.github.io/Logging_1781/klagomål/A 8714-2024 FSC-klagomål.docx", "A 8714-2024")</f>
        <v/>
      </c>
      <c r="AB37">
        <f>HYPERLINK("https://klasma.github.io/Logging_1781/klagomålsmail/A 8714-2024 FSC-klagomål mail.docx", "A 8714-2024")</f>
        <v/>
      </c>
      <c r="AC37">
        <f>HYPERLINK("https://klasma.github.io/Logging_1781/tillsyn/A 8714-2024 tillsynsbegäran.docx", "A 8714-2024")</f>
        <v/>
      </c>
      <c r="AD37">
        <f>HYPERLINK("https://klasma.github.io/Logging_1781/tillsynsmail/A 8714-2024 tillsynsbegäran mail.docx", "A 8714-2024")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46320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46320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46320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46320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46320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46320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46320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46320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46320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46320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46320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46320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46320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46320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46320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46320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46320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46320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46320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46320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46320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46320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46320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46320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46320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46320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46320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46320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46320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46320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46320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46320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46320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46320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46320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46320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46320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46320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46320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46320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46320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46320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46320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46320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46320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46320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46320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46320</v>
      </c>
      <c r="F85" t="inlineStr">
        <is>
          <t>VÄRMLANDS LÄN</t>
        </is>
      </c>
      <c r="G85" t="inlineStr">
        <is>
          <t>KRISTINEHAMN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46320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46320</v>
      </c>
      <c r="F87" t="inlineStr">
        <is>
          <t>VÄRMLANDS LÄN</t>
        </is>
      </c>
      <c r="G87" t="inlineStr">
        <is>
          <t>KRISTINEHAMN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46320</v>
      </c>
      <c r="F88" t="inlineStr">
        <is>
          <t>VÄRMLANDS LÄN</t>
        </is>
      </c>
      <c r="G88" t="inlineStr">
        <is>
          <t>KRISTINEHAMN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46320</v>
      </c>
      <c r="F89" t="inlineStr">
        <is>
          <t>VÄRMLANDS LÄN</t>
        </is>
      </c>
      <c r="G89" t="inlineStr">
        <is>
          <t>KRISTINEHAMN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46320</v>
      </c>
      <c r="F90" t="inlineStr">
        <is>
          <t>VÄRMLANDS LÄN</t>
        </is>
      </c>
      <c r="G90" t="inlineStr">
        <is>
          <t>KRISTINEHAMN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46320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45202</v>
      </c>
      <c r="E92" s="1" t="n">
        <v>46320</v>
      </c>
      <c r="F92" t="inlineStr">
        <is>
          <t>VÄRMLANDS LÄN</t>
        </is>
      </c>
      <c r="G92" t="inlineStr">
        <is>
          <t>KRISTINEHAMN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31152-2022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44770</v>
      </c>
      <c r="E93" s="1" t="n">
        <v>46320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46320</v>
      </c>
      <c r="F94" t="inlineStr">
        <is>
          <t>VÄRMLANDS LÄN</t>
        </is>
      </c>
      <c r="G94" t="inlineStr">
        <is>
          <t>KRISTINEHAMN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46320</v>
      </c>
      <c r="F95" t="inlineStr">
        <is>
          <t>VÄRMLANDS LÄN</t>
        </is>
      </c>
      <c r="G95" t="inlineStr">
        <is>
          <t>KRISTINEHAMN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46320</v>
      </c>
      <c r="F96" t="inlineStr">
        <is>
          <t>VÄRMLANDS LÄN</t>
        </is>
      </c>
      <c r="G96" t="inlineStr">
        <is>
          <t>KRISTINEHAMN</t>
        </is>
      </c>
      <c r="H96" t="inlineStr">
        <is>
          <t>Sveaskog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42178-2025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46320</v>
      </c>
      <c r="F97" t="inlineStr">
        <is>
          <t>VÄRMLANDS LÄN</t>
        </is>
      </c>
      <c r="G97" t="inlineStr">
        <is>
          <t>KRISTINEHAMN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46320</v>
      </c>
      <c r="F98" t="inlineStr">
        <is>
          <t>VÄRMLANDS LÄN</t>
        </is>
      </c>
      <c r="G98" t="inlineStr">
        <is>
          <t>KRISTINEHAMN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46320</v>
      </c>
      <c r="F99" t="inlineStr">
        <is>
          <t>VÄRMLANDS LÄN</t>
        </is>
      </c>
      <c r="G99" t="inlineStr">
        <is>
          <t>KRISTINEHAMN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46320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46320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46320</v>
      </c>
      <c r="F102" t="inlineStr">
        <is>
          <t>VÄRMLANDS LÄN</t>
        </is>
      </c>
      <c r="G102" t="inlineStr">
        <is>
          <t>KRISTINEHAMN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46320</v>
      </c>
      <c r="F103" t="inlineStr">
        <is>
          <t>VÄRMLANDS LÄN</t>
        </is>
      </c>
      <c r="G103" t="inlineStr">
        <is>
          <t>KRISTINEHAMN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46320</v>
      </c>
      <c r="F104" t="inlineStr">
        <is>
          <t>VÄRMLANDS LÄN</t>
        </is>
      </c>
      <c r="G104" t="inlineStr">
        <is>
          <t>KRISTINEHAMN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46320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46320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Naturvårdsverket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46320</v>
      </c>
      <c r="F107" t="inlineStr">
        <is>
          <t>VÄRMLANDS LÄN</t>
        </is>
      </c>
      <c r="G107" t="inlineStr">
        <is>
          <t>KRISTINEHAMN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68530-2021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44526</v>
      </c>
      <c r="E108" s="1" t="n">
        <v>46320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46320</v>
      </c>
      <c r="F109" t="inlineStr">
        <is>
          <t>VÄRMLANDS LÄN</t>
        </is>
      </c>
      <c r="G109" t="inlineStr">
        <is>
          <t>KRISTINEHAMN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46320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46320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46320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Naturvårdsverket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24570-2026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46170</v>
      </c>
      <c r="E113" s="1" t="n">
        <v>46320</v>
      </c>
      <c r="F113" t="inlineStr">
        <is>
          <t>VÄRMLANDS LÄN</t>
        </is>
      </c>
      <c r="G113" t="inlineStr">
        <is>
          <t>KRISTINEHAMN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46320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46320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46320</v>
      </c>
      <c r="F116" t="inlineStr">
        <is>
          <t>VÄRMLANDS LÄN</t>
        </is>
      </c>
      <c r="G116" t="inlineStr">
        <is>
          <t>KRISTINEHAMN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46320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46320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46320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46320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46320</v>
      </c>
      <c r="F121" t="inlineStr">
        <is>
          <t>VÄRMLANDS LÄN</t>
        </is>
      </c>
      <c r="G121" t="inlineStr">
        <is>
          <t>KRISTINEHAMN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46320</v>
      </c>
      <c r="F122" t="inlineStr">
        <is>
          <t>VÄRMLANDS LÄN</t>
        </is>
      </c>
      <c r="G122" t="inlineStr">
        <is>
          <t>KRISTINEHAMN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46320</v>
      </c>
      <c r="F123" t="inlineStr">
        <is>
          <t>VÄRMLANDS LÄN</t>
        </is>
      </c>
      <c r="G123" t="inlineStr">
        <is>
          <t>KRISTINEHAMN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46320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46320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25258-2026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46320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46320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46320</v>
      </c>
      <c r="F128" t="inlineStr">
        <is>
          <t>VÄRMLANDS LÄN</t>
        </is>
      </c>
      <c r="G128" t="inlineStr">
        <is>
          <t>KRISTINEHAMN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45072</v>
      </c>
      <c r="E129" s="1" t="n">
        <v>46320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46320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46320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46320</v>
      </c>
      <c r="F132" t="inlineStr">
        <is>
          <t>VÄRMLANDS LÄN</t>
        </is>
      </c>
      <c r="G132" t="inlineStr">
        <is>
          <t>KRISTINEHAMN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46320</v>
      </c>
      <c r="F133" t="inlineStr">
        <is>
          <t>VÄRMLANDS LÄN</t>
        </is>
      </c>
      <c r="G133" t="inlineStr">
        <is>
          <t>KRISTINEHAMN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46320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46320</v>
      </c>
      <c r="F135" t="inlineStr">
        <is>
          <t>VÄRMLANDS LÄN</t>
        </is>
      </c>
      <c r="G135" t="inlineStr">
        <is>
          <t>KRISTINEHAMN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44888</v>
      </c>
      <c r="E136" s="1" t="n">
        <v>46320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44972</v>
      </c>
      <c r="E137" s="1" t="n">
        <v>46320</v>
      </c>
      <c r="F137" t="inlineStr">
        <is>
          <t>VÄRMLANDS LÄN</t>
        </is>
      </c>
      <c r="G137" t="inlineStr">
        <is>
          <t>KRISTINEHAMN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46320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46037</v>
      </c>
      <c r="E139" s="1" t="n">
        <v>46320</v>
      </c>
      <c r="F139" t="inlineStr">
        <is>
          <t>VÄRMLANDS LÄN</t>
        </is>
      </c>
      <c r="G139" t="inlineStr">
        <is>
          <t>KRISTINEHAMN</t>
        </is>
      </c>
      <c r="I139" t="n">
        <v>11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46320</v>
      </c>
      <c r="F140" t="inlineStr">
        <is>
          <t>VÄRMLANDS LÄN</t>
        </is>
      </c>
      <c r="G140" t="inlineStr">
        <is>
          <t>KRISTINEHAMN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46320</v>
      </c>
      <c r="F141" t="inlineStr">
        <is>
          <t>VÄRMLANDS LÄN</t>
        </is>
      </c>
      <c r="G141" t="inlineStr">
        <is>
          <t>KRISTINEHAMN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46320</v>
      </c>
      <c r="F142" t="inlineStr">
        <is>
          <t>VÄRMLANDS LÄN</t>
        </is>
      </c>
      <c r="G142" t="inlineStr">
        <is>
          <t>KRISTINEHAMN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46320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46320</v>
      </c>
      <c r="F144" t="inlineStr">
        <is>
          <t>VÄRMLANDS LÄN</t>
        </is>
      </c>
      <c r="G144" t="inlineStr">
        <is>
          <t>KRISTINEHAMN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46320</v>
      </c>
      <c r="F145" t="inlineStr">
        <is>
          <t>VÄRMLANDS LÄN</t>
        </is>
      </c>
      <c r="G145" t="inlineStr">
        <is>
          <t>KRISTINEHAMN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46320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46320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46320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46320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Naturvårdsverket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46320</v>
      </c>
      <c r="F150" t="inlineStr">
        <is>
          <t>VÄRMLANDS LÄN</t>
        </is>
      </c>
      <c r="G150" t="inlineStr">
        <is>
          <t>KRISTINEHAMN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46320</v>
      </c>
      <c r="F151" t="inlineStr">
        <is>
          <t>VÄRMLANDS LÄN</t>
        </is>
      </c>
      <c r="G151" t="inlineStr">
        <is>
          <t>KRISTINEHAMN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46320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46320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46320</v>
      </c>
      <c r="F154" t="inlineStr">
        <is>
          <t>VÄRMLANDS LÄN</t>
        </is>
      </c>
      <c r="G154" t="inlineStr">
        <is>
          <t>KRISTINEHAMN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45323</v>
      </c>
      <c r="E155" s="1" t="n">
        <v>46320</v>
      </c>
      <c r="F155" t="inlineStr">
        <is>
          <t>VÄRMLANDS LÄN</t>
        </is>
      </c>
      <c r="G155" t="inlineStr">
        <is>
          <t>KRISTINEHAMN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56315-2025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45974</v>
      </c>
      <c r="E156" s="1" t="n">
        <v>46320</v>
      </c>
      <c r="F156" t="inlineStr">
        <is>
          <t>VÄRMLANDS LÄN</t>
        </is>
      </c>
      <c r="G156" t="inlineStr">
        <is>
          <t>KRISTINEHAMN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46320</v>
      </c>
      <c r="F157" t="inlineStr">
        <is>
          <t>VÄRMLANDS LÄN</t>
        </is>
      </c>
      <c r="G157" t="inlineStr">
        <is>
          <t>KRISTINEHAMN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46320</v>
      </c>
      <c r="F158" t="inlineStr">
        <is>
          <t>VÄRMLANDS LÄN</t>
        </is>
      </c>
      <c r="G158" t="inlineStr">
        <is>
          <t>KRISTINEHAMN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46320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46320</v>
      </c>
      <c r="F160" t="inlineStr">
        <is>
          <t>VÄRMLANDS LÄN</t>
        </is>
      </c>
      <c r="G160" t="inlineStr">
        <is>
          <t>KRISTINEHAMN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46320</v>
      </c>
      <c r="F161" t="inlineStr">
        <is>
          <t>VÄRMLANDS LÄN</t>
        </is>
      </c>
      <c r="G161" t="inlineStr">
        <is>
          <t>KRISTINEHAMN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46320</v>
      </c>
      <c r="F162" t="inlineStr">
        <is>
          <t>VÄRMLANDS LÄN</t>
        </is>
      </c>
      <c r="G162" t="inlineStr">
        <is>
          <t>KRISTINEHAMN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46320</v>
      </c>
      <c r="F163" t="inlineStr">
        <is>
          <t>VÄRMLANDS LÄN</t>
        </is>
      </c>
      <c r="G163" t="inlineStr">
        <is>
          <t>KRISTINEHAMN</t>
        </is>
      </c>
      <c r="I163" t="n">
        <v>10.4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46320</v>
      </c>
      <c r="F164" t="inlineStr">
        <is>
          <t>VÄRMLANDS LÄN</t>
        </is>
      </c>
      <c r="G164" t="inlineStr">
        <is>
          <t>KRISTINEHAMN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46205</v>
      </c>
      <c r="E165" s="1" t="n">
        <v>46320</v>
      </c>
      <c r="F165" t="inlineStr">
        <is>
          <t>VÄRMLANDS LÄN</t>
        </is>
      </c>
      <c r="G165" t="inlineStr">
        <is>
          <t>KRISTINEHAMN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46320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Bergvik skog väst AB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45379</v>
      </c>
      <c r="E167" s="1" t="n">
        <v>46320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46320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46320</v>
      </c>
      <c r="F169" t="inlineStr">
        <is>
          <t>VÄRMLANDS LÄN</t>
        </is>
      </c>
      <c r="G169" t="inlineStr">
        <is>
          <t>KRISTINEHAMN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46320</v>
      </c>
      <c r="F170" t="inlineStr">
        <is>
          <t>VÄRMLANDS LÄN</t>
        </is>
      </c>
      <c r="G170" t="inlineStr">
        <is>
          <t>KRISTINEHAMN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46320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45995</v>
      </c>
      <c r="E172" s="1" t="n">
        <v>46320</v>
      </c>
      <c r="F172" t="inlineStr">
        <is>
          <t>VÄRMLANDS LÄN</t>
        </is>
      </c>
      <c r="G172" t="inlineStr">
        <is>
          <t>KRISTINEHAMN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46320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Bergvik skog väst AB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46320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46320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46320</v>
      </c>
      <c r="F176" t="inlineStr">
        <is>
          <t>VÄRMLANDS LÄN</t>
        </is>
      </c>
      <c r="G176" t="inlineStr">
        <is>
          <t>KRISTINEHAMN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46320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46320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46320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46320</v>
      </c>
      <c r="F180" t="inlineStr">
        <is>
          <t>VÄRMLANDS LÄN</t>
        </is>
      </c>
      <c r="G180" t="inlineStr">
        <is>
          <t>KRISTINEHAMN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46320</v>
      </c>
      <c r="F181" t="inlineStr">
        <is>
          <t>VÄRMLANDS LÄN</t>
        </is>
      </c>
      <c r="G181" t="inlineStr">
        <is>
          <t>KRISTINEHAMN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46320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21602-2025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45783</v>
      </c>
      <c r="E183" s="1" t="n">
        <v>46320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46320</v>
      </c>
      <c r="F184" t="inlineStr">
        <is>
          <t>VÄRMLANDS LÄN</t>
        </is>
      </c>
      <c r="G184" t="inlineStr">
        <is>
          <t>KRISTINEHAMN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46320</v>
      </c>
      <c r="F185" t="inlineStr">
        <is>
          <t>VÄRMLANDS LÄN</t>
        </is>
      </c>
      <c r="G185" t="inlineStr">
        <is>
          <t>KRISTINEHAMN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63016-2025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46320</v>
      </c>
      <c r="F186" t="inlineStr">
        <is>
          <t>VÄRMLANDS LÄN</t>
        </is>
      </c>
      <c r="G186" t="inlineStr">
        <is>
          <t>KRISTINEHAMN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46320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46282</v>
      </c>
      <c r="E188" s="1" t="n">
        <v>46320</v>
      </c>
      <c r="F188" t="inlineStr">
        <is>
          <t>VÄRMLANDS LÄN</t>
        </is>
      </c>
      <c r="G188" t="inlineStr">
        <is>
          <t>KRISTINEHAMN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46320</v>
      </c>
      <c r="F189" t="inlineStr">
        <is>
          <t>VÄRMLANDS LÄN</t>
        </is>
      </c>
      <c r="G189" t="inlineStr">
        <is>
          <t>KRISTINEHAMN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46320</v>
      </c>
      <c r="F190" t="inlineStr">
        <is>
          <t>VÄRMLANDS LÄN</t>
        </is>
      </c>
      <c r="G190" t="inlineStr">
        <is>
          <t>KRISTINEHAMN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46320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46320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46320</v>
      </c>
      <c r="F193" t="inlineStr">
        <is>
          <t>VÄRMLANDS LÄN</t>
        </is>
      </c>
      <c r="G193" t="inlineStr">
        <is>
          <t>KRISTINEHAMN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46320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46320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46320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46320</v>
      </c>
      <c r="F197" t="inlineStr">
        <is>
          <t>VÄRMLANDS LÄN</t>
        </is>
      </c>
      <c r="G197" t="inlineStr">
        <is>
          <t>KRISTINEHAMN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46320</v>
      </c>
      <c r="F198" t="inlineStr">
        <is>
          <t>VÄRMLANDS LÄN</t>
        </is>
      </c>
      <c r="G198" t="inlineStr">
        <is>
          <t>KRISTINEHAMN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23510-2025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45792</v>
      </c>
      <c r="E199" s="1" t="n">
        <v>46320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46320</v>
      </c>
      <c r="F200" t="inlineStr">
        <is>
          <t>VÄRMLANDS LÄN</t>
        </is>
      </c>
      <c r="G200" t="inlineStr">
        <is>
          <t>KRISTINEHAMN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38840-2026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46286</v>
      </c>
      <c r="E201" s="1" t="n">
        <v>46320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46320</v>
      </c>
      <c r="F202" t="inlineStr">
        <is>
          <t>VÄRMLANDS LÄN</t>
        </is>
      </c>
      <c r="G202" t="inlineStr">
        <is>
          <t>KRISTINEHAMN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46320</v>
      </c>
      <c r="F203" t="inlineStr">
        <is>
          <t>VÄRMLANDS LÄN</t>
        </is>
      </c>
      <c r="G203" t="inlineStr">
        <is>
          <t>KRISTINEHAMN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46320</v>
      </c>
      <c r="F204" t="inlineStr">
        <is>
          <t>VÄRMLANDS LÄN</t>
        </is>
      </c>
      <c r="G204" t="inlineStr">
        <is>
          <t>KRISTINEHAMN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46320</v>
      </c>
      <c r="F205" t="inlineStr">
        <is>
          <t>VÄRMLANDS LÄN</t>
        </is>
      </c>
      <c r="G205" t="inlineStr">
        <is>
          <t>KRISTINEHAMN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46320</v>
      </c>
      <c r="F206" t="inlineStr">
        <is>
          <t>VÄRMLANDS LÄN</t>
        </is>
      </c>
      <c r="G206" t="inlineStr">
        <is>
          <t>KRISTINEHAMN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45686</v>
      </c>
      <c r="E207" s="1" t="n">
        <v>46320</v>
      </c>
      <c r="F207" t="inlineStr">
        <is>
          <t>VÄRMLANDS LÄN</t>
        </is>
      </c>
      <c r="G207" t="inlineStr">
        <is>
          <t>KRISTINEHAMN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46320</v>
      </c>
      <c r="F208" t="inlineStr">
        <is>
          <t>VÄRMLANDS LÄN</t>
        </is>
      </c>
      <c r="G208" t="inlineStr">
        <is>
          <t>KRISTINEHAMN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46320</v>
      </c>
      <c r="F209" t="inlineStr">
        <is>
          <t>VÄRMLANDS LÄN</t>
        </is>
      </c>
      <c r="G209" t="inlineStr">
        <is>
          <t>KRISTINEHAMN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46320</v>
      </c>
      <c r="F210" t="inlineStr">
        <is>
          <t>VÄRMLANDS LÄN</t>
        </is>
      </c>
      <c r="G210" t="inlineStr">
        <is>
          <t>KRISTINEHAMN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46320</v>
      </c>
      <c r="F211" t="inlineStr">
        <is>
          <t>VÄRMLANDS LÄN</t>
        </is>
      </c>
      <c r="G211" t="inlineStr">
        <is>
          <t>KRISTINEHAMN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46320</v>
      </c>
      <c r="F212" t="inlineStr">
        <is>
          <t>VÄRMLANDS LÄN</t>
        </is>
      </c>
      <c r="G212" t="inlineStr">
        <is>
          <t>KRISTINEHAMN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46320</v>
      </c>
      <c r="F213" t="inlineStr">
        <is>
          <t>VÄRMLANDS LÄN</t>
        </is>
      </c>
      <c r="G213" t="inlineStr">
        <is>
          <t>KRISTINEHAMN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46320</v>
      </c>
      <c r="F214" t="inlineStr">
        <is>
          <t>VÄRMLANDS LÄN</t>
        </is>
      </c>
      <c r="G214" t="inlineStr">
        <is>
          <t>KRISTINEHAMN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46320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46320</v>
      </c>
      <c r="F216" t="inlineStr">
        <is>
          <t>VÄRMLANDS LÄN</t>
        </is>
      </c>
      <c r="G216" t="inlineStr">
        <is>
          <t>KRISTINEHAMN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45802</v>
      </c>
      <c r="E217" s="1" t="n">
        <v>46320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6259-2026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46051</v>
      </c>
      <c r="E218" s="1" t="n">
        <v>46320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46320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46320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46320</v>
      </c>
      <c r="F221" t="inlineStr">
        <is>
          <t>VÄRMLANDS LÄN</t>
        </is>
      </c>
      <c r="G221" t="inlineStr">
        <is>
          <t>KRISTINEHAMN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46320</v>
      </c>
      <c r="F222" t="inlineStr">
        <is>
          <t>VÄRMLANDS LÄN</t>
        </is>
      </c>
      <c r="G222" t="inlineStr">
        <is>
          <t>KRISTINEHAMN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46320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46293</v>
      </c>
      <c r="E224" s="1" t="n">
        <v>46320</v>
      </c>
      <c r="F224" t="inlineStr">
        <is>
          <t>VÄRMLANDS LÄN</t>
        </is>
      </c>
      <c r="G224" t="inlineStr">
        <is>
          <t>KRISTINEHAMN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46320</v>
      </c>
      <c r="F225" t="inlineStr">
        <is>
          <t>VÄRMLANDS LÄN</t>
        </is>
      </c>
      <c r="G225" t="inlineStr">
        <is>
          <t>KRISTINEHAMN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46320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46320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46320</v>
      </c>
      <c r="F228" t="inlineStr">
        <is>
          <t>VÄRMLANDS LÄN</t>
        </is>
      </c>
      <c r="G228" t="inlineStr">
        <is>
          <t>KRISTINEHAMN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46320</v>
      </c>
      <c r="F229" t="inlineStr">
        <is>
          <t>VÄRMLANDS LÄN</t>
        </is>
      </c>
      <c r="G229" t="inlineStr">
        <is>
          <t>KRISTINEHAMN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46320</v>
      </c>
      <c r="F230" t="inlineStr">
        <is>
          <t>VÄRMLANDS LÄN</t>
        </is>
      </c>
      <c r="G230" t="inlineStr">
        <is>
          <t>KRISTINEHAMN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45364</v>
      </c>
      <c r="E231" s="1" t="n">
        <v>46320</v>
      </c>
      <c r="F231" t="inlineStr">
        <is>
          <t>VÄRMLANDS LÄN</t>
        </is>
      </c>
      <c r="G231" t="inlineStr">
        <is>
          <t>KRISTINEHAMN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46320</v>
      </c>
      <c r="F232" t="inlineStr">
        <is>
          <t>VÄRMLANDS LÄN</t>
        </is>
      </c>
      <c r="G232" t="inlineStr">
        <is>
          <t>KRISTINEHAMN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46320</v>
      </c>
      <c r="F233" t="inlineStr">
        <is>
          <t>VÄRMLANDS LÄN</t>
        </is>
      </c>
      <c r="G233" t="inlineStr">
        <is>
          <t>KRISTINEHAMN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46320</v>
      </c>
      <c r="F234" t="inlineStr">
        <is>
          <t>VÄRMLANDS LÄN</t>
        </is>
      </c>
      <c r="G234" t="inlineStr">
        <is>
          <t>KRISTINEHAMN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46320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46320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46213</v>
      </c>
      <c r="E237" s="1" t="n">
        <v>46320</v>
      </c>
      <c r="F237" t="inlineStr">
        <is>
          <t>VÄRMLANDS LÄN</t>
        </is>
      </c>
      <c r="G237" t="inlineStr">
        <is>
          <t>KRISTINEHAMN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46320</v>
      </c>
      <c r="F238" t="inlineStr">
        <is>
          <t>VÄRMLANDS LÄN</t>
        </is>
      </c>
      <c r="G238" t="inlineStr">
        <is>
          <t>KRISTINEHAMN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46320</v>
      </c>
      <c r="F239" t="inlineStr">
        <is>
          <t>VÄRMLANDS LÄN</t>
        </is>
      </c>
      <c r="G239" t="inlineStr">
        <is>
          <t>KRISTINEHAMN</t>
        </is>
      </c>
      <c r="I239" t="n">
        <v>20.1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46320</v>
      </c>
      <c r="F240" t="inlineStr">
        <is>
          <t>VÄRMLANDS LÄN</t>
        </is>
      </c>
      <c r="G240" t="inlineStr">
        <is>
          <t>KRISTINEHAMN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45513</v>
      </c>
      <c r="E241" s="1" t="n">
        <v>46320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46320</v>
      </c>
      <c r="F242" t="inlineStr">
        <is>
          <t>VÄRMLANDS LÄN</t>
        </is>
      </c>
      <c r="G242" t="inlineStr">
        <is>
          <t>KRISTINEHAMN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46320</v>
      </c>
      <c r="F243" t="inlineStr">
        <is>
          <t>VÄRMLANDS LÄN</t>
        </is>
      </c>
      <c r="G243" t="inlineStr">
        <is>
          <t>KRISTINEHAMN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46320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46287</v>
      </c>
      <c r="E245" s="1" t="n">
        <v>46320</v>
      </c>
      <c r="F245" t="inlineStr">
        <is>
          <t>VÄRMLANDS LÄN</t>
        </is>
      </c>
      <c r="G245" t="inlineStr">
        <is>
          <t>KRISTINEHAMN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46320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46320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46320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46320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46320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46320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46320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46302</v>
      </c>
      <c r="E253" s="1" t="n">
        <v>46320</v>
      </c>
      <c r="F253" t="inlineStr">
        <is>
          <t>VÄRMLANDS LÄN</t>
        </is>
      </c>
      <c r="G253" t="inlineStr">
        <is>
          <t>KRISTINEHAMN</t>
        </is>
      </c>
      <c r="I253" t="n">
        <v>12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15646-2026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46106</v>
      </c>
      <c r="E254" s="1" t="n">
        <v>46320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46320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46320</v>
      </c>
      <c r="F256" t="inlineStr">
        <is>
          <t>VÄRMLANDS LÄN</t>
        </is>
      </c>
      <c r="G256" t="inlineStr">
        <is>
          <t>KRISTINEHAMN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46320</v>
      </c>
      <c r="F257" t="inlineStr">
        <is>
          <t>VÄRMLANDS LÄN</t>
        </is>
      </c>
      <c r="G257" t="inlineStr">
        <is>
          <t>KRISTINEHAMN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46320</v>
      </c>
      <c r="F258" t="inlineStr">
        <is>
          <t>VÄRMLANDS LÄN</t>
        </is>
      </c>
      <c r="G258" t="inlineStr">
        <is>
          <t>KRISTINEHAMN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46320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45112</v>
      </c>
      <c r="E260" s="1" t="n">
        <v>46320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46320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46320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45112</v>
      </c>
      <c r="E263" s="1" t="n">
        <v>46320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62498-2022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46320</v>
      </c>
      <c r="F264" t="inlineStr">
        <is>
          <t>VÄRMLANDS LÄN</t>
        </is>
      </c>
      <c r="G264" t="inlineStr">
        <is>
          <t>KRISTINEHAMN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46320</v>
      </c>
      <c r="F265" t="inlineStr">
        <is>
          <t>VÄRMLANDS LÄN</t>
        </is>
      </c>
      <c r="G265" t="inlineStr">
        <is>
          <t>KRISTINEHAMN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44918</v>
      </c>
      <c r="E266" s="1" t="n">
        <v>46320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46320</v>
      </c>
      <c r="F267" t="inlineStr">
        <is>
          <t>VÄRMLANDS LÄN</t>
        </is>
      </c>
      <c r="G267" t="inlineStr">
        <is>
          <t>KRISTINEHAMN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46320</v>
      </c>
      <c r="F268" t="inlineStr">
        <is>
          <t>VÄRMLANDS LÄN</t>
        </is>
      </c>
      <c r="G268" t="inlineStr">
        <is>
          <t>KRISTINEHAMN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46320</v>
      </c>
      <c r="F269" t="inlineStr">
        <is>
          <t>VÄRMLANDS LÄN</t>
        </is>
      </c>
      <c r="G269" t="inlineStr">
        <is>
          <t>KRISTINEHAMN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46320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46320</v>
      </c>
      <c r="F271" t="inlineStr">
        <is>
          <t>VÄRMLANDS LÄN</t>
        </is>
      </c>
      <c r="G271" t="inlineStr">
        <is>
          <t>KRISTINEHAMN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46320</v>
      </c>
      <c r="F272" t="inlineStr">
        <is>
          <t>VÄRMLANDS LÄN</t>
        </is>
      </c>
      <c r="G272" t="inlineStr">
        <is>
          <t>KRISTINEHAMN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46320</v>
      </c>
      <c r="F273" t="inlineStr">
        <is>
          <t>VÄRMLANDS LÄN</t>
        </is>
      </c>
      <c r="G273" t="inlineStr">
        <is>
          <t>KRISTINEHAMN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46320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46320</v>
      </c>
      <c r="F275" t="inlineStr">
        <is>
          <t>VÄRMLANDS LÄN</t>
        </is>
      </c>
      <c r="G275" t="inlineStr">
        <is>
          <t>KRISTINEHAMN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46320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46320</v>
      </c>
      <c r="F277" t="inlineStr">
        <is>
          <t>VÄRMLANDS LÄN</t>
        </is>
      </c>
      <c r="G277" t="inlineStr">
        <is>
          <t>KRISTINEHAMN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46307</v>
      </c>
      <c r="E278" s="1" t="n">
        <v>46320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46320</v>
      </c>
      <c r="F279" t="inlineStr">
        <is>
          <t>VÄRMLANDS LÄN</t>
        </is>
      </c>
      <c r="G279" t="inlineStr">
        <is>
          <t>KRISTINEHAMN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46320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46320</v>
      </c>
      <c r="F281" t="inlineStr">
        <is>
          <t>VÄRMLANDS LÄN</t>
        </is>
      </c>
      <c r="G281" t="inlineStr">
        <is>
          <t>KRISTINEHAMN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46320</v>
      </c>
      <c r="F282" t="inlineStr">
        <is>
          <t>VÄRMLANDS LÄN</t>
        </is>
      </c>
      <c r="G282" t="inlineStr">
        <is>
          <t>KRISTINEHAMN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44677</v>
      </c>
      <c r="E283" s="1" t="n">
        <v>46320</v>
      </c>
      <c r="F283" t="inlineStr">
        <is>
          <t>VÄRMLANDS LÄN</t>
        </is>
      </c>
      <c r="G283" t="inlineStr">
        <is>
          <t>KRISTINEHAMN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46320</v>
      </c>
      <c r="F284" t="inlineStr">
        <is>
          <t>VÄRMLANDS LÄN</t>
        </is>
      </c>
      <c r="G284" t="inlineStr">
        <is>
          <t>KRISTINEHAMN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46320</v>
      </c>
      <c r="F285" t="inlineStr">
        <is>
          <t>VÄRMLANDS LÄN</t>
        </is>
      </c>
      <c r="G285" t="inlineStr">
        <is>
          <t>KRISTINEHAMN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46320</v>
      </c>
      <c r="F286" t="inlineStr">
        <is>
          <t>VÄRMLANDS LÄN</t>
        </is>
      </c>
      <c r="G286" t="inlineStr">
        <is>
          <t>KRISTINEHAMN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46320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46320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46320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46320</v>
      </c>
      <c r="F290" t="inlineStr">
        <is>
          <t>VÄRMLANDS LÄN</t>
        </is>
      </c>
      <c r="G290" t="inlineStr">
        <is>
          <t>KRISTINEHAMN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46320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Naturvårdsverket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45127</v>
      </c>
      <c r="E292" s="1" t="n">
        <v>46320</v>
      </c>
      <c r="F292" t="inlineStr">
        <is>
          <t>VÄRMLANDS LÄN</t>
        </is>
      </c>
      <c r="G292" t="inlineStr">
        <is>
          <t>KRISTINEHAMN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46320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46320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46320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46320</v>
      </c>
      <c r="F296" t="inlineStr">
        <is>
          <t>VÄRMLANDS LÄN</t>
        </is>
      </c>
      <c r="G296" t="inlineStr">
        <is>
          <t>KRISTINEHAMN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46320</v>
      </c>
      <c r="F297" t="inlineStr">
        <is>
          <t>VÄRMLANDS LÄN</t>
        </is>
      </c>
      <c r="G297" t="inlineStr">
        <is>
          <t>KRISTINEHAMN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46320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46320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46320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Naturvårdsverket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46320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46320</v>
      </c>
      <c r="F302" t="inlineStr">
        <is>
          <t>VÄRMLANDS LÄN</t>
        </is>
      </c>
      <c r="G302" t="inlineStr">
        <is>
          <t>KRISTINEHAMN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46320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22060-2026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46149</v>
      </c>
      <c r="E304" s="1" t="n">
        <v>46320</v>
      </c>
      <c r="F304" t="inlineStr">
        <is>
          <t>VÄRMLANDS LÄN</t>
        </is>
      </c>
      <c r="G304" t="inlineStr">
        <is>
          <t>KRISTINEHAMN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46320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46320</v>
      </c>
      <c r="F306" t="inlineStr">
        <is>
          <t>VÄRMLANDS LÄN</t>
        </is>
      </c>
      <c r="G306" t="inlineStr">
        <is>
          <t>KRISTINEHAMN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46320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45341</v>
      </c>
      <c r="E308" s="1" t="n">
        <v>46320</v>
      </c>
      <c r="F308" t="inlineStr">
        <is>
          <t>VÄRMLANDS LÄN</t>
        </is>
      </c>
      <c r="G308" t="inlineStr">
        <is>
          <t>KRISTINEHAMN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46320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46320</v>
      </c>
      <c r="F310" t="inlineStr">
        <is>
          <t>VÄRMLANDS LÄN</t>
        </is>
      </c>
      <c r="G310" t="inlineStr">
        <is>
          <t>KRISTINEHAMN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45239</v>
      </c>
      <c r="E311" s="1" t="n">
        <v>46320</v>
      </c>
      <c r="F311" t="inlineStr">
        <is>
          <t>VÄRMLANDS LÄN</t>
        </is>
      </c>
      <c r="G311" t="inlineStr">
        <is>
          <t>KRISTINEHAMN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46320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46320</v>
      </c>
      <c r="F313" t="inlineStr">
        <is>
          <t>VÄRMLANDS LÄN</t>
        </is>
      </c>
      <c r="G313" t="inlineStr">
        <is>
          <t>KRISTINEHAMN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45041</v>
      </c>
      <c r="E314" s="1" t="n">
        <v>46320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46320</v>
      </c>
      <c r="F315" t="inlineStr">
        <is>
          <t>VÄRMLANDS LÄN</t>
        </is>
      </c>
      <c r="G315" t="inlineStr">
        <is>
          <t>KRISTINEHAMN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46320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45361</v>
      </c>
      <c r="E317" s="1" t="n">
        <v>46320</v>
      </c>
      <c r="F317" t="inlineStr">
        <is>
          <t>VÄRMLANDS LÄN</t>
        </is>
      </c>
      <c r="G317" t="inlineStr">
        <is>
          <t>KRISTINEHAMN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46320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45118</v>
      </c>
      <c r="E319" s="1" t="n">
        <v>46320</v>
      </c>
      <c r="F319" t="inlineStr">
        <is>
          <t>VÄRMLANDS LÄN</t>
        </is>
      </c>
      <c r="G319" t="inlineStr">
        <is>
          <t>KRISTINEHAMN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46320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46320</v>
      </c>
      <c r="F321" t="inlineStr">
        <is>
          <t>VÄRMLANDS LÄN</t>
        </is>
      </c>
      <c r="G321" t="inlineStr">
        <is>
          <t>KRISTINEHAMN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45662</v>
      </c>
      <c r="E322" s="1" t="n">
        <v>46320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44924</v>
      </c>
      <c r="E323" s="1" t="n">
        <v>46320</v>
      </c>
      <c r="F323" t="inlineStr">
        <is>
          <t>VÄRMLANDS LÄN</t>
        </is>
      </c>
      <c r="G323" t="inlineStr">
        <is>
          <t>KRISTINEHAMN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46320</v>
      </c>
      <c r="F324" t="inlineStr">
        <is>
          <t>VÄRMLANDS LÄN</t>
        </is>
      </c>
      <c r="G324" t="inlineStr">
        <is>
          <t>KRISTINEHAMN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46320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46320</v>
      </c>
      <c r="F326" t="inlineStr">
        <is>
          <t>VÄRMLANDS LÄN</t>
        </is>
      </c>
      <c r="G326" t="inlineStr">
        <is>
          <t>KRISTINEHAMN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46320</v>
      </c>
      <c r="F327" t="inlineStr">
        <is>
          <t>VÄRMLANDS LÄN</t>
        </is>
      </c>
      <c r="G327" t="inlineStr">
        <is>
          <t>KRISTINEHAMN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46320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46320</v>
      </c>
      <c r="F329" t="inlineStr">
        <is>
          <t>VÄRMLANDS LÄN</t>
        </is>
      </c>
      <c r="G329" t="inlineStr">
        <is>
          <t>KRISTINEHAMN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45656</v>
      </c>
      <c r="E330" s="1" t="n">
        <v>46320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21688-2024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46320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46320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45647</v>
      </c>
      <c r="E333" s="1" t="n">
        <v>46320</v>
      </c>
      <c r="F333" t="inlineStr">
        <is>
          <t>VÄRMLANDS LÄN</t>
        </is>
      </c>
      <c r="G333" t="inlineStr">
        <is>
          <t>KRISTINEHAMN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46320</v>
      </c>
      <c r="F334" t="inlineStr">
        <is>
          <t>VÄRMLANDS LÄN</t>
        </is>
      </c>
      <c r="G334" t="inlineStr">
        <is>
          <t>KRISTINEHAMN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41857-2023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45176</v>
      </c>
      <c r="E335" s="1" t="n">
        <v>46320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46320</v>
      </c>
      <c r="F336" t="inlineStr">
        <is>
          <t>VÄRMLANDS LÄN</t>
        </is>
      </c>
      <c r="G336" t="inlineStr">
        <is>
          <t>KRISTINEHAMN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56875-2022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44894</v>
      </c>
      <c r="E337" s="1" t="n">
        <v>46320</v>
      </c>
      <c r="F337" t="inlineStr">
        <is>
          <t>VÄRMLANDS LÄN</t>
        </is>
      </c>
      <c r="G337" t="inlineStr">
        <is>
          <t>KRISTINEHAMN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70126-2021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44533</v>
      </c>
      <c r="E338" s="1" t="n">
        <v>46320</v>
      </c>
      <c r="F338" t="inlineStr">
        <is>
          <t>VÄRMLANDS LÄN</t>
        </is>
      </c>
      <c r="G338" t="inlineStr">
        <is>
          <t>KRISTINEHAMN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46320</v>
      </c>
      <c r="F339" t="inlineStr">
        <is>
          <t>VÄRMLANDS LÄN</t>
        </is>
      </c>
      <c r="G339" t="inlineStr">
        <is>
          <t>KRISTINEHAMN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46320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46320</v>
      </c>
      <c r="F341" t="inlineStr">
        <is>
          <t>VÄRMLANDS LÄN</t>
        </is>
      </c>
      <c r="G341" t="inlineStr">
        <is>
          <t>KRISTINEHAMN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44847</v>
      </c>
      <c r="E342" s="1" t="n">
        <v>46320</v>
      </c>
      <c r="F342" t="inlineStr">
        <is>
          <t>VÄRMLANDS LÄN</t>
        </is>
      </c>
      <c r="G342" t="inlineStr">
        <is>
          <t>KRISTINEHAMN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45226</v>
      </c>
      <c r="E343" s="1" t="n">
        <v>46320</v>
      </c>
      <c r="F343" t="inlineStr">
        <is>
          <t>VÄRMLANDS LÄN</t>
        </is>
      </c>
      <c r="G343" t="inlineStr">
        <is>
          <t>KRISTINEHAMN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46320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46320</v>
      </c>
      <c r="F345" t="inlineStr">
        <is>
          <t>VÄRMLANDS LÄN</t>
        </is>
      </c>
      <c r="G345" t="inlineStr">
        <is>
          <t>KRISTINEHAMN</t>
        </is>
      </c>
      <c r="I345" t="n">
        <v>15.9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46320</v>
      </c>
      <c r="F346" t="inlineStr">
        <is>
          <t>VÄRMLANDS LÄN</t>
        </is>
      </c>
      <c r="G346" t="inlineStr">
        <is>
          <t>KRISTINEHAMN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46320</v>
      </c>
      <c r="F347" t="inlineStr">
        <is>
          <t>VÄRMLANDS LÄN</t>
        </is>
      </c>
      <c r="G347" t="inlineStr">
        <is>
          <t>KRISTINEHAMN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44923</v>
      </c>
      <c r="E348" s="1" t="n">
        <v>46320</v>
      </c>
      <c r="F348" t="inlineStr">
        <is>
          <t>VÄRMLANDS LÄN</t>
        </is>
      </c>
      <c r="G348" t="inlineStr">
        <is>
          <t>KRISTINEHAMN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46320</v>
      </c>
      <c r="F349" t="inlineStr">
        <is>
          <t>VÄRMLANDS LÄN</t>
        </is>
      </c>
      <c r="G349" t="inlineStr">
        <is>
          <t>KRISTINEHAMN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46320</v>
      </c>
      <c r="F350" t="inlineStr">
        <is>
          <t>VÄRMLANDS LÄN</t>
        </is>
      </c>
      <c r="G350" t="inlineStr">
        <is>
          <t>KRISTINEHAMN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45081</v>
      </c>
      <c r="E351" s="1" t="n">
        <v>46320</v>
      </c>
      <c r="F351" t="inlineStr">
        <is>
          <t>VÄRMLANDS LÄN</t>
        </is>
      </c>
      <c r="G351" t="inlineStr">
        <is>
          <t>KRISTINEHAMN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46320</v>
      </c>
      <c r="F352" t="inlineStr">
        <is>
          <t>VÄRMLANDS LÄN</t>
        </is>
      </c>
      <c r="G352" t="inlineStr">
        <is>
          <t>KRISTINEHAMN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46320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46320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46320</v>
      </c>
      <c r="F355" t="inlineStr">
        <is>
          <t>VÄRMLANDS LÄN</t>
        </is>
      </c>
      <c r="G355" t="inlineStr">
        <is>
          <t>KRISTINEHAMN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46320</v>
      </c>
      <c r="F356" t="inlineStr">
        <is>
          <t>VÄRMLANDS LÄN</t>
        </is>
      </c>
      <c r="G356" t="inlineStr">
        <is>
          <t>KRISTINEHAMN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46320</v>
      </c>
      <c r="F357" t="inlineStr">
        <is>
          <t>VÄRMLANDS LÄN</t>
        </is>
      </c>
      <c r="G357" t="inlineStr">
        <is>
          <t>KRISTINEHAMN</t>
        </is>
      </c>
      <c r="I357" t="n">
        <v>19.4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46320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45379</v>
      </c>
      <c r="E359" s="1" t="n">
        <v>46320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46320</v>
      </c>
      <c r="F360" t="inlineStr">
        <is>
          <t>VÄRMLANDS LÄN</t>
        </is>
      </c>
      <c r="G360" t="inlineStr">
        <is>
          <t>KRISTINEHAMN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46320</v>
      </c>
      <c r="F361" t="inlineStr">
        <is>
          <t>VÄRMLANDS LÄN</t>
        </is>
      </c>
      <c r="G361" t="inlineStr">
        <is>
          <t>KRISTINEHAMN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13459-2024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45387</v>
      </c>
      <c r="E362" s="1" t="n">
        <v>46320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45324</v>
      </c>
      <c r="E363" s="1" t="n">
        <v>46320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46320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44851</v>
      </c>
      <c r="E365" s="1" t="n">
        <v>46320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Kommuner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46320</v>
      </c>
      <c r="F366" t="inlineStr">
        <is>
          <t>VÄRMLANDS LÄN</t>
        </is>
      </c>
      <c r="G366" t="inlineStr">
        <is>
          <t>KRISTINEHAMN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46320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45110</v>
      </c>
      <c r="E368" s="1" t="n">
        <v>46320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45461</v>
      </c>
      <c r="E369" s="1" t="n">
        <v>46320</v>
      </c>
      <c r="F369" t="inlineStr">
        <is>
          <t>VÄRMLANDS LÄN</t>
        </is>
      </c>
      <c r="G369" t="inlineStr">
        <is>
          <t>KRISTINEHAMN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46320</v>
      </c>
      <c r="F370" t="inlineStr">
        <is>
          <t>VÄRMLANDS LÄN</t>
        </is>
      </c>
      <c r="G370" t="inlineStr">
        <is>
          <t>KRISTINEHAMN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46320</v>
      </c>
      <c r="F371" t="inlineStr">
        <is>
          <t>VÄRMLANDS LÄN</t>
        </is>
      </c>
      <c r="G371" t="inlineStr">
        <is>
          <t>KRISTINEHAMN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46320</v>
      </c>
      <c r="F372" t="inlineStr">
        <is>
          <t>VÄRMLANDS LÄN</t>
        </is>
      </c>
      <c r="G372" t="inlineStr">
        <is>
          <t>KRISTINEHAMN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45442</v>
      </c>
      <c r="E373" s="1" t="n">
        <v>46320</v>
      </c>
      <c r="F373" t="inlineStr">
        <is>
          <t>VÄRMLANDS LÄN</t>
        </is>
      </c>
      <c r="G373" t="inlineStr">
        <is>
          <t>KRISTINEHAMN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46320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46320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46320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46320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46320</v>
      </c>
      <c r="F378" t="inlineStr">
        <is>
          <t>VÄRMLANDS LÄN</t>
        </is>
      </c>
      <c r="G378" t="inlineStr">
        <is>
          <t>KRISTINEHAMN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46320</v>
      </c>
      <c r="F379" t="inlineStr">
        <is>
          <t>VÄRMLANDS LÄN</t>
        </is>
      </c>
      <c r="G379" t="inlineStr">
        <is>
          <t>KRISTINEHAMN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46320</v>
      </c>
      <c r="F380" t="inlineStr">
        <is>
          <t>VÄRMLANDS LÄN</t>
        </is>
      </c>
      <c r="G380" t="inlineStr">
        <is>
          <t>KRISTINEHAMN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28834-2024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45478</v>
      </c>
      <c r="E381" s="1" t="n">
        <v>46320</v>
      </c>
      <c r="F381" t="inlineStr">
        <is>
          <t>VÄRMLANDS LÄN</t>
        </is>
      </c>
      <c r="G381" t="inlineStr">
        <is>
          <t>KRISTINEHAMN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46320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44648</v>
      </c>
      <c r="E383" s="1" t="n">
        <v>46320</v>
      </c>
      <c r="F383" t="inlineStr">
        <is>
          <t>VÄRMLANDS LÄN</t>
        </is>
      </c>
      <c r="G383" t="inlineStr">
        <is>
          <t>KRISTINEHAMN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46320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45044</v>
      </c>
      <c r="E385" s="1" t="n">
        <v>46320</v>
      </c>
      <c r="F385" t="inlineStr">
        <is>
          <t>VÄRMLANDS LÄN</t>
        </is>
      </c>
      <c r="G385" t="inlineStr">
        <is>
          <t>KRISTINEHAMN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45313</v>
      </c>
      <c r="E386" s="1" t="n">
        <v>46320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46320</v>
      </c>
      <c r="F387" t="inlineStr">
        <is>
          <t>VÄRMLANDS LÄN</t>
        </is>
      </c>
      <c r="G387" t="inlineStr">
        <is>
          <t>KRISTINEHAMN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38404-2022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44812</v>
      </c>
      <c r="E388" s="1" t="n">
        <v>46320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44734</v>
      </c>
      <c r="E389" s="1" t="n">
        <v>46320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46320</v>
      </c>
      <c r="F390" t="inlineStr">
        <is>
          <t>VÄRMLANDS LÄN</t>
        </is>
      </c>
      <c r="G390" t="inlineStr">
        <is>
          <t>KRISTINEHAMN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23706-2022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44722</v>
      </c>
      <c r="E391" s="1" t="n">
        <v>46320</v>
      </c>
      <c r="F391" t="inlineStr">
        <is>
          <t>VÄRMLANDS LÄN</t>
        </is>
      </c>
      <c r="G391" t="inlineStr">
        <is>
          <t>KRISTINEHAMN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46320</v>
      </c>
      <c r="F392" t="inlineStr">
        <is>
          <t>VÄRMLANDS LÄN</t>
        </is>
      </c>
      <c r="G392" t="inlineStr">
        <is>
          <t>KRISTINEHAMN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46320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46320</v>
      </c>
      <c r="F394" t="inlineStr">
        <is>
          <t>VÄRMLANDS LÄN</t>
        </is>
      </c>
      <c r="G394" t="inlineStr">
        <is>
          <t>KRISTINEHAMN</t>
        </is>
      </c>
      <c r="I394" t="n">
        <v>10.1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46320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Kyrkan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46320</v>
      </c>
      <c r="F396" t="inlineStr">
        <is>
          <t>VÄRMLANDS LÄN</t>
        </is>
      </c>
      <c r="G396" t="inlineStr">
        <is>
          <t>KRISTINEHAMN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28759-2022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44749</v>
      </c>
      <c r="E397" s="1" t="n">
        <v>46320</v>
      </c>
      <c r="F397" t="inlineStr">
        <is>
          <t>VÄRMLANDS LÄN</t>
        </is>
      </c>
      <c r="G397" t="inlineStr">
        <is>
          <t>KRISTINEHAMN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46320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Naturvårdsverket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45631</v>
      </c>
      <c r="E399" s="1" t="n">
        <v>46320</v>
      </c>
      <c r="F399" t="inlineStr">
        <is>
          <t>VÄRMLANDS LÄN</t>
        </is>
      </c>
      <c r="G399" t="inlineStr">
        <is>
          <t>KRISTINEHAMN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46320</v>
      </c>
      <c r="F400" t="inlineStr">
        <is>
          <t>VÄRMLANDS LÄN</t>
        </is>
      </c>
      <c r="G400" t="inlineStr">
        <is>
          <t>KRISTINEHAMN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48405-2023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45201</v>
      </c>
      <c r="E401" s="1" t="n">
        <v>46320</v>
      </c>
      <c r="F401" t="inlineStr">
        <is>
          <t>VÄRMLANDS LÄN</t>
        </is>
      </c>
      <c r="G401" t="inlineStr">
        <is>
          <t>KRISTINEHAMN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45302</v>
      </c>
      <c r="E402" s="1" t="n">
        <v>46320</v>
      </c>
      <c r="F402" t="inlineStr">
        <is>
          <t>VÄRMLANDS LÄN</t>
        </is>
      </c>
      <c r="G402" t="inlineStr">
        <is>
          <t>KRISTINEHAMN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46320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46320</v>
      </c>
      <c r="F404" t="inlineStr">
        <is>
          <t>VÄRMLANDS LÄN</t>
        </is>
      </c>
      <c r="G404" t="inlineStr">
        <is>
          <t>KRISTINEHAMN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46320</v>
      </c>
      <c r="F405" t="inlineStr">
        <is>
          <t>VÄRMLANDS LÄN</t>
        </is>
      </c>
      <c r="G405" t="inlineStr">
        <is>
          <t>KRISTINEHAMN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46320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44831</v>
      </c>
      <c r="E407" s="1" t="n">
        <v>46320</v>
      </c>
      <c r="F407" t="inlineStr">
        <is>
          <t>VÄRMLANDS LÄN</t>
        </is>
      </c>
      <c r="G407" t="inlineStr">
        <is>
          <t>KRISTINEHAMN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46320</v>
      </c>
      <c r="F408" t="inlineStr">
        <is>
          <t>VÄRMLANDS LÄN</t>
        </is>
      </c>
      <c r="G408" t="inlineStr">
        <is>
          <t>KRISTINEHAMN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46320</v>
      </c>
      <c r="F409" t="inlineStr">
        <is>
          <t>VÄRMLANDS LÄN</t>
        </is>
      </c>
      <c r="G409" t="inlineStr">
        <is>
          <t>KRISTINEHAMN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46320</v>
      </c>
      <c r="F410" t="inlineStr">
        <is>
          <t>VÄRMLANDS LÄN</t>
        </is>
      </c>
      <c r="G410" t="inlineStr">
        <is>
          <t>KRISTINEHAMN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45379</v>
      </c>
      <c r="E411" s="1" t="n">
        <v>46320</v>
      </c>
      <c r="F411" t="inlineStr">
        <is>
          <t>VÄRMLANDS LÄN</t>
        </is>
      </c>
      <c r="G411" t="inlineStr">
        <is>
          <t>KRISTINEHAMN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46320</v>
      </c>
      <c r="F412" t="inlineStr">
        <is>
          <t>VÄRMLANDS LÄN</t>
        </is>
      </c>
      <c r="G412" t="inlineStr">
        <is>
          <t>KRISTINEHAMN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45681</v>
      </c>
      <c r="E413" s="1" t="n">
        <v>46320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45678</v>
      </c>
      <c r="E414" s="1" t="n">
        <v>46320</v>
      </c>
      <c r="F414" t="inlineStr">
        <is>
          <t>VÄRMLANDS LÄN</t>
        </is>
      </c>
      <c r="G414" t="inlineStr">
        <is>
          <t>KRISTINEHAMN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46320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46320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45681</v>
      </c>
      <c r="E417" s="1" t="n">
        <v>46320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45477</v>
      </c>
      <c r="E418" s="1" t="n">
        <v>46320</v>
      </c>
      <c r="F418" t="inlineStr">
        <is>
          <t>VÄRMLANDS LÄN</t>
        </is>
      </c>
      <c r="G418" t="inlineStr">
        <is>
          <t>KRISTINEHAMN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45268</v>
      </c>
      <c r="E419" s="1" t="n">
        <v>46320</v>
      </c>
      <c r="F419" t="inlineStr">
        <is>
          <t>VÄRMLANDS LÄN</t>
        </is>
      </c>
      <c r="G419" t="inlineStr">
        <is>
          <t>KRISTINEHAMN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44651</v>
      </c>
      <c r="E420" s="1" t="n">
        <v>46320</v>
      </c>
      <c r="F420" t="inlineStr">
        <is>
          <t>VÄRMLANDS LÄN</t>
        </is>
      </c>
      <c r="G420" t="inlineStr">
        <is>
          <t>KRISTINEHAMN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44841</v>
      </c>
      <c r="E421" s="1" t="n">
        <v>46320</v>
      </c>
      <c r="F421" t="inlineStr">
        <is>
          <t>VÄRMLANDS LÄN</t>
        </is>
      </c>
      <c r="G421" t="inlineStr">
        <is>
          <t>KRISTINEHAMN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44741</v>
      </c>
      <c r="E422" s="1" t="n">
        <v>46320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46320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1815-2022</t>
        </is>
      </c>
      <c r="B424" t="inlineStr">
        <is>
          <t>samrådsanmälan</t>
        </is>
      </c>
      <c r="C424" t="inlineStr">
        <is>
          <t>Åtgärd i nyckelbiotop</t>
        </is>
      </c>
      <c r="D424" s="1" t="n">
        <v>44657</v>
      </c>
      <c r="E424" s="1" t="n">
        <v>46320</v>
      </c>
      <c r="F424" t="inlineStr">
        <is>
          <t>VÄRMLANDS LÄN</t>
        </is>
      </c>
      <c r="G424" t="inlineStr">
        <is>
          <t>KRISTINEHAMN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46320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2393-2022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44690</v>
      </c>
      <c r="E426" s="1" t="n">
        <v>46320</v>
      </c>
      <c r="F426" t="inlineStr">
        <is>
          <t>VÄRMLANDS LÄN</t>
        </is>
      </c>
      <c r="G426" t="inlineStr">
        <is>
          <t>KRISTINEHAMN</t>
        </is>
      </c>
      <c r="I426" t="n">
        <v>51.7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46320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46320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2254-2023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45103</v>
      </c>
      <c r="E429" s="1" t="n">
        <v>46320</v>
      </c>
      <c r="F429" t="inlineStr">
        <is>
          <t>VÄRMLANDS LÄN</t>
        </is>
      </c>
      <c r="G429" t="inlineStr">
        <is>
          <t>KRISTINEHAMN</t>
        </is>
      </c>
      <c r="I429" t="n">
        <v>51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46320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46320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46320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46320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46320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46320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46320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46320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46320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46320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46320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46320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46320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46320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46320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46320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46320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46320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2026-10-25T02:01:12Z</dcterms:created>
  <dcterms:modified xmlns:dcterms="http://purl.org/dc/terms/" xmlns:xsi="http://www.w3.org/2001/XMLSchema-instance" xsi:type="dcterms:W3CDTF">2026-10-25T02:01:12Z</dcterms:modified>
</cp:coreProperties>
</file>