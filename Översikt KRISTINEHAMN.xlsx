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46306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46306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46306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46306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46306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68490-2021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46306</v>
      </c>
      <c r="F18" t="inlineStr">
        <is>
          <t>VÄRMLANDS LÄN</t>
        </is>
      </c>
      <c r="G18" t="inlineStr">
        <is>
          <t>KRISTINEHAMN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HYPERLINK("https://klasma.github.io/Logging_1781/artfynd/A 68490-2021 artfynd.xlsx", "A 68490-2021")</f>
        <v/>
      </c>
      <c r="X18">
        <f>HYPERLINK("https://klasma.github.io/Logging_1781/kartor/A 68490-2021 karta.png", "A 68490-2021")</f>
        <v/>
      </c>
      <c r="Y18">
        <f>HYPERLINK("https://klasma.github.io/Logging_1781/kartor_geotiff/A 68490-2021 georefererad karta.tif", "A 68490-2021")</f>
        <v/>
      </c>
      <c r="AA18">
        <f>HYPERLINK("https://klasma.github.io/Logging_1781/klagomål/A 68490-2021 FSC-klagomål.docx", "A 68490-2021")</f>
        <v/>
      </c>
      <c r="AB18">
        <f>HYPERLINK("https://klasma.github.io/Logging_1781/klagomålsmail/A 68490-2021 FSC-klagomål mail.docx", "A 68490-2021")</f>
        <v/>
      </c>
      <c r="AC18">
        <f>HYPERLINK("https://klasma.github.io/Logging_1781/tillsyn/A 68490-2021 tillsynsbegäran.docx", "A 68490-2021")</f>
        <v/>
      </c>
      <c r="AD18">
        <f>HYPERLINK("https://klasma.github.io/Logging_1781/tillsynsmail/A 68490-2021 tillsynsbegäran mail.docx", "A 68490-2021")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46306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12593-2024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45380</v>
      </c>
      <c r="E21" s="1" t="n">
        <v>46306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Bombmurkla</t>
        </is>
      </c>
      <c r="W21">
        <f>HYPERLINK("https://klasma.github.io/Logging_1781/artfynd/A 12593-2024 artfynd.xlsx", "A 12593-2024")</f>
        <v/>
      </c>
      <c r="X21">
        <f>HYPERLINK("https://klasma.github.io/Logging_1781/kartor/A 12593-2024 karta.png", "A 12593-2024")</f>
        <v/>
      </c>
      <c r="Y21">
        <f>HYPERLINK("https://klasma.github.io/Logging_1781/kartor_geotiff/A 12593-2024 georefererad karta.tif", "A 12593-2024")</f>
        <v/>
      </c>
      <c r="AA21">
        <f>HYPERLINK("https://klasma.github.io/Logging_1781/klagomål/A 12593-2024 FSC-klagomål.docx", "A 12593-2024")</f>
        <v/>
      </c>
      <c r="AB21">
        <f>HYPERLINK("https://klasma.github.io/Logging_1781/klagomålsmail/A 12593-2024 FSC-klagomål mail.docx", "A 12593-2024")</f>
        <v/>
      </c>
      <c r="AC21">
        <f>HYPERLINK("https://klasma.github.io/Logging_1781/tillsyn/A 12593-2024 tillsynsbegäran.docx", "A 12593-2024")</f>
        <v/>
      </c>
      <c r="AD21">
        <f>HYPERLINK("https://klasma.github.io/Logging_1781/tillsynsmail/A 12593-2024 tillsynsbegäran mail.docx", "A 12593-2024")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46306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45674</v>
      </c>
      <c r="E23" s="1" t="n">
        <v>46306</v>
      </c>
      <c r="F23" t="inlineStr">
        <is>
          <t>VÄRMLANDS LÄN</t>
        </is>
      </c>
      <c r="G23" t="inlineStr">
        <is>
          <t>KRISTINEHAMN</t>
        </is>
      </c>
      <c r="I23" t="n">
        <v>9.699999999999999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HYPERLINK("https://klasma.github.io/Logging_1781/artfynd/A 2406-2025 artfynd.xlsx", "A 2406-2025")</f>
        <v/>
      </c>
      <c r="X23">
        <f>HYPERLINK("https://klasma.github.io/Logging_1781/kartor/A 2406-2025 karta.png", "A 2406-2025")</f>
        <v/>
      </c>
      <c r="Y23">
        <f>HYPERLINK("https://klasma.github.io/Logging_1781/kartor_geotiff/A 2406-2025 georefererad karta.tif", "A 2406-2025")</f>
        <v/>
      </c>
      <c r="AA23">
        <f>HYPERLINK("https://klasma.github.io/Logging_1781/klagomål/A 2406-2025 FSC-klagomål.docx", "A 2406-2025")</f>
        <v/>
      </c>
      <c r="AB23">
        <f>HYPERLINK("https://klasma.github.io/Logging_1781/klagomålsmail/A 2406-2025 FSC-klagomål mail.docx", "A 2406-2025")</f>
        <v/>
      </c>
      <c r="AC23">
        <f>HYPERLINK("https://klasma.github.io/Logging_1781/tillsyn/A 2406-2025 tillsynsbegäran.docx", "A 2406-2025")</f>
        <v/>
      </c>
      <c r="AD23">
        <f>HYPERLINK("https://klasma.github.io/Logging_1781/tillsynsmail/A 2406-2025 tillsynsbegäran mail.docx", "A 2406-2025")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46306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46306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46306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46306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46306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46306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46306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46306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46306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46306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46306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61238-2025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46306</v>
      </c>
      <c r="F35" t="inlineStr">
        <is>
          <t>VÄRMLANDS LÄN</t>
        </is>
      </c>
      <c r="G35" t="inlineStr">
        <is>
          <t>KRISTINEHAMN</t>
        </is>
      </c>
      <c r="I35" t="n">
        <v>5.8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Sparvuggla</t>
        </is>
      </c>
      <c r="W35">
        <f>HYPERLINK("https://klasma.github.io/Logging_1781/artfynd/A 61238-2025 artfynd.xlsx", "A 61238-2025")</f>
        <v/>
      </c>
      <c r="X35">
        <f>HYPERLINK("https://klasma.github.io/Logging_1781/kartor/A 61238-2025 karta.png", "A 61238-2025")</f>
        <v/>
      </c>
      <c r="Y35">
        <f>HYPERLINK("https://klasma.github.io/Logging_1781/kartor_geotiff/A 61238-2025 georefererad karta.tif", "A 61238-2025")</f>
        <v/>
      </c>
      <c r="AA35">
        <f>HYPERLINK("https://klasma.github.io/Logging_1781/klagomål/A 61238-2025 FSC-klagomål.docx", "A 61238-2025")</f>
        <v/>
      </c>
      <c r="AB35">
        <f>HYPERLINK("https://klasma.github.io/Logging_1781/klagomålsmail/A 61238-2025 FSC-klagomål mail.docx", "A 61238-2025")</f>
        <v/>
      </c>
      <c r="AC35">
        <f>HYPERLINK("https://klasma.github.io/Logging_1781/tillsyn/A 61238-2025 tillsynsbegäran.docx", "A 61238-2025")</f>
        <v/>
      </c>
      <c r="AD35">
        <f>HYPERLINK("https://klasma.github.io/Logging_1781/tillsynsmail/A 61238-2025 tillsynsbegäran mail.docx", "A 61238-2025")</f>
        <v/>
      </c>
      <c r="AE35">
        <f>HYPERLINK("https://klasma.github.io/Logging_1781/fåglar/A 61238-2025 prioriterade fågelarter.docx", "A 61238-2025")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46306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20746-2026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46141</v>
      </c>
      <c r="E37" s="1" t="n">
        <v>46306</v>
      </c>
      <c r="F37" t="inlineStr">
        <is>
          <t>VÄRMLANDS LÄN</t>
        </is>
      </c>
      <c r="G37" t="inlineStr">
        <is>
          <t>KRISTINEHAMN</t>
        </is>
      </c>
      <c r="H37" t="inlineStr">
        <is>
          <t>Naturvårdsverket</t>
        </is>
      </c>
      <c r="I37" t="n">
        <v>6.3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HYPERLINK("https://klasma.github.io/Logging_1781/artfynd/A 20746-2026 artfynd.xlsx", "A 20746-2026")</f>
        <v/>
      </c>
      <c r="X37">
        <f>HYPERLINK("https://klasma.github.io/Logging_1781/kartor/A 20746-2026 karta.png", "A 20746-2026")</f>
        <v/>
      </c>
      <c r="Y37">
        <f>HYPERLINK("https://klasma.github.io/Logging_1781/kartor_geotiff/A 20746-2026 georefererad karta.tif", "A 20746-2026")</f>
        <v/>
      </c>
      <c r="AA37">
        <f>HYPERLINK("https://klasma.github.io/Logging_1781/klagomål/A 20746-2026 FSC-klagomål.docx", "A 20746-2026")</f>
        <v/>
      </c>
      <c r="AB37">
        <f>HYPERLINK("https://klasma.github.io/Logging_1781/klagomålsmail/A 20746-2026 FSC-klagomål mail.docx", "A 20746-2026")</f>
        <v/>
      </c>
      <c r="AC37">
        <f>HYPERLINK("https://klasma.github.io/Logging_1781/tillsyn/A 20746-2026 tillsynsbegäran.docx", "A 20746-2026")</f>
        <v/>
      </c>
      <c r="AD37">
        <f>HYPERLINK("https://klasma.github.io/Logging_1781/tillsynsmail/A 20746-2026 tillsynsbegäran mail.docx", "A 20746-2026")</f>
        <v/>
      </c>
    </row>
    <row r="38" ht="15" customHeight="1">
      <c r="A38" t="inlineStr">
        <is>
          <t>A 60714-2025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46306</v>
      </c>
      <c r="F38" t="inlineStr">
        <is>
          <t>VÄRMLANDS LÄN</t>
        </is>
      </c>
      <c r="G38" t="inlineStr">
        <is>
          <t>KRISTINEHAMN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Björksplintborre</t>
        </is>
      </c>
      <c r="W38">
        <f>HYPERLINK("https://klasma.github.io/Logging_1781/artfynd/A 60714-2025 artfynd.xlsx", "A 60714-2025")</f>
        <v/>
      </c>
      <c r="X38">
        <f>HYPERLINK("https://klasma.github.io/Logging_1781/kartor/A 60714-2025 karta.png", "A 60714-2025")</f>
        <v/>
      </c>
      <c r="Y38">
        <f>HYPERLINK("https://klasma.github.io/Logging_1781/kartor_geotiff/A 60714-2025 georefererad karta.tif", "A 60714-2025")</f>
        <v/>
      </c>
      <c r="AA38">
        <f>HYPERLINK("https://klasma.github.io/Logging_1781/klagomål/A 60714-2025 FSC-klagomål.docx", "A 60714-2025")</f>
        <v/>
      </c>
      <c r="AB38">
        <f>HYPERLINK("https://klasma.github.io/Logging_1781/klagomålsmail/A 60714-2025 FSC-klagomål mail.docx", "A 60714-2025")</f>
        <v/>
      </c>
      <c r="AC38">
        <f>HYPERLINK("https://klasma.github.io/Logging_1781/tillsyn/A 60714-2025 tillsynsbegäran.docx", "A 60714-2025")</f>
        <v/>
      </c>
      <c r="AD38">
        <f>HYPERLINK("https://klasma.github.io/Logging_1781/tillsynsmail/A 60714-2025 tillsynsbegäran mail.docx", "A 60714-2025")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46306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46306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46306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46306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46306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46306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46306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46306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46306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46306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46306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46306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46306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46306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46306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46306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46306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46306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46306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46306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46306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46306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46306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46306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46306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46306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44591</v>
      </c>
      <c r="E65" s="1" t="n">
        <v>46306</v>
      </c>
      <c r="F65" t="inlineStr">
        <is>
          <t>VÄRMLANDS LÄN</t>
        </is>
      </c>
      <c r="G65" t="inlineStr">
        <is>
          <t>KRISTINEHAMN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46306</v>
      </c>
      <c r="F66" t="inlineStr">
        <is>
          <t>VÄRMLANDS LÄN</t>
        </is>
      </c>
      <c r="G66" t="inlineStr">
        <is>
          <t>KRISTINEHAMN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46306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66438-2021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46306</v>
      </c>
      <c r="F68" t="inlineStr">
        <is>
          <t>VÄRMLANDS LÄN</t>
        </is>
      </c>
      <c r="G68" t="inlineStr">
        <is>
          <t>KRISTINEHAMN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66442-2021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46306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46306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46306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44741</v>
      </c>
      <c r="E72" s="1" t="n">
        <v>46306</v>
      </c>
      <c r="F72" t="inlineStr">
        <is>
          <t>VÄRMLANDS LÄN</t>
        </is>
      </c>
      <c r="G72" t="inlineStr">
        <is>
          <t>KRISTINEHAMN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46306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46306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46306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46306</v>
      </c>
      <c r="F76" t="inlineStr">
        <is>
          <t>VÄRMLANDS LÄN</t>
        </is>
      </c>
      <c r="G76" t="inlineStr">
        <is>
          <t>KRISTINEHAMN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46306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44584</v>
      </c>
      <c r="E78" s="1" t="n">
        <v>46306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46306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46306</v>
      </c>
      <c r="F80" t="inlineStr">
        <is>
          <t>VÄRMLANDS LÄN</t>
        </is>
      </c>
      <c r="G80" t="inlineStr">
        <is>
          <t>KRISTINEHAMN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46306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46306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46306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46306</v>
      </c>
      <c r="F84" t="inlineStr">
        <is>
          <t>VÄRMLANDS LÄN</t>
        </is>
      </c>
      <c r="G84" t="inlineStr">
        <is>
          <t>KRISTINEHAMN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46306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46306</v>
      </c>
      <c r="F86" t="inlineStr">
        <is>
          <t>VÄRMLANDS LÄN</t>
        </is>
      </c>
      <c r="G86" t="inlineStr">
        <is>
          <t>KRISTINEHAMN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23246-2024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46306</v>
      </c>
      <c r="F87" t="inlineStr">
        <is>
          <t>VÄRMLANDS LÄN</t>
        </is>
      </c>
      <c r="G87" t="inlineStr">
        <is>
          <t>KRISTINEHAMN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46306</v>
      </c>
      <c r="F88" t="inlineStr">
        <is>
          <t>VÄRMLANDS LÄN</t>
        </is>
      </c>
      <c r="G88" t="inlineStr">
        <is>
          <t>KRISTINEHAMN</t>
        </is>
      </c>
      <c r="I88" t="n">
        <v>19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45072</v>
      </c>
      <c r="E89" s="1" t="n">
        <v>46306</v>
      </c>
      <c r="F89" t="inlineStr">
        <is>
          <t>VÄRMLANDS LÄN</t>
        </is>
      </c>
      <c r="G89" t="inlineStr">
        <is>
          <t>KRISTINEHAMN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46306</v>
      </c>
      <c r="F90" t="inlineStr">
        <is>
          <t>VÄRMLANDS LÄN</t>
        </is>
      </c>
      <c r="G90" t="inlineStr">
        <is>
          <t>KRISTINEHAMN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46306</v>
      </c>
      <c r="F91" t="inlineStr">
        <is>
          <t>VÄRMLANDS LÄN</t>
        </is>
      </c>
      <c r="G91" t="inlineStr">
        <is>
          <t>KRISTINEHAMN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46306</v>
      </c>
      <c r="F92" t="inlineStr">
        <is>
          <t>VÄRMLANDS LÄN</t>
        </is>
      </c>
      <c r="G92" t="inlineStr">
        <is>
          <t>KRISTINEHAMN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46306</v>
      </c>
      <c r="F93" t="inlineStr">
        <is>
          <t>VÄRMLANDS LÄN</t>
        </is>
      </c>
      <c r="G93" t="inlineStr">
        <is>
          <t>KRISTINEHAMN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46306</v>
      </c>
      <c r="F94" t="inlineStr">
        <is>
          <t>VÄRMLANDS LÄN</t>
        </is>
      </c>
      <c r="G94" t="inlineStr">
        <is>
          <t>KRISTINEHAMN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46306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45081</v>
      </c>
      <c r="E96" s="1" t="n">
        <v>46306</v>
      </c>
      <c r="F96" t="inlineStr">
        <is>
          <t>VÄRMLANDS LÄN</t>
        </is>
      </c>
      <c r="G96" t="inlineStr">
        <is>
          <t>KRISTINEHAMN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44972</v>
      </c>
      <c r="E97" s="1" t="n">
        <v>46306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46306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46306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46306</v>
      </c>
      <c r="F100" t="inlineStr">
        <is>
          <t>VÄRMLANDS LÄN</t>
        </is>
      </c>
      <c r="G100" t="inlineStr">
        <is>
          <t>KRISTINEHAMN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46306</v>
      </c>
      <c r="F101" t="inlineStr">
        <is>
          <t>VÄRMLANDS LÄN</t>
        </is>
      </c>
      <c r="G101" t="inlineStr">
        <is>
          <t>KRISTINEHAMN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46306</v>
      </c>
      <c r="F102" t="inlineStr">
        <is>
          <t>VÄRMLANDS LÄN</t>
        </is>
      </c>
      <c r="G102" t="inlineStr">
        <is>
          <t>KRISTINEHAMN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46306</v>
      </c>
      <c r="F103" t="inlineStr">
        <is>
          <t>VÄRMLANDS LÄN</t>
        </is>
      </c>
      <c r="G103" t="inlineStr">
        <is>
          <t>KRISTINEHAMN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46306</v>
      </c>
      <c r="F104" t="inlineStr">
        <is>
          <t>VÄRMLANDS LÄN</t>
        </is>
      </c>
      <c r="G104" t="inlineStr">
        <is>
          <t>KRISTINEHAMN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45202</v>
      </c>
      <c r="E105" s="1" t="n">
        <v>46306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46306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46306</v>
      </c>
      <c r="F107" t="inlineStr">
        <is>
          <t>VÄRMLANDS LÄN</t>
        </is>
      </c>
      <c r="G107" t="inlineStr">
        <is>
          <t>KRISTINEHAMN</t>
        </is>
      </c>
      <c r="I107" t="n">
        <v>11.2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46306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46306</v>
      </c>
      <c r="F109" t="inlineStr">
        <is>
          <t>VÄRMLANDS LÄN</t>
        </is>
      </c>
      <c r="G109" t="inlineStr">
        <is>
          <t>KRISTINEHAMN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45679</v>
      </c>
      <c r="E110" s="1" t="n">
        <v>46306</v>
      </c>
      <c r="F110" t="inlineStr">
        <is>
          <t>VÄRMLANDS LÄN</t>
        </is>
      </c>
      <c r="G110" t="inlineStr">
        <is>
          <t>KRISTINEHAMN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46306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46306</v>
      </c>
      <c r="F112" t="inlineStr">
        <is>
          <t>VÄRMLANDS LÄN</t>
        </is>
      </c>
      <c r="G112" t="inlineStr">
        <is>
          <t>KRISTINEHAMN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46306</v>
      </c>
      <c r="F113" t="inlineStr">
        <is>
          <t>VÄRMLANDS LÄN</t>
        </is>
      </c>
      <c r="G113" t="inlineStr">
        <is>
          <t>KRISTINEHAMN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46306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46306</v>
      </c>
      <c r="F115" t="inlineStr">
        <is>
          <t>VÄRMLANDS LÄN</t>
        </is>
      </c>
      <c r="G115" t="inlineStr">
        <is>
          <t>KRISTINEHAMN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46306</v>
      </c>
      <c r="F116" t="inlineStr">
        <is>
          <t>VÄRMLANDS LÄN</t>
        </is>
      </c>
      <c r="G116" t="inlineStr">
        <is>
          <t>KRISTINEHAMN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46306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46306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44888</v>
      </c>
      <c r="E119" s="1" t="n">
        <v>46306</v>
      </c>
      <c r="F119" t="inlineStr">
        <is>
          <t>VÄRMLANDS LÄN</t>
        </is>
      </c>
      <c r="G119" t="inlineStr">
        <is>
          <t>KRISTINEHAMN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45081</v>
      </c>
      <c r="E120" s="1" t="n">
        <v>46306</v>
      </c>
      <c r="F120" t="inlineStr">
        <is>
          <t>VÄRMLANDS LÄN</t>
        </is>
      </c>
      <c r="G120" t="inlineStr">
        <is>
          <t>KRISTINEHAMN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46306</v>
      </c>
      <c r="F121" t="inlineStr">
        <is>
          <t>VÄRMLANDS LÄN</t>
        </is>
      </c>
      <c r="G121" t="inlineStr">
        <is>
          <t>KRISTINEHAMN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46306</v>
      </c>
      <c r="F122" t="inlineStr">
        <is>
          <t>VÄRMLANDS LÄN</t>
        </is>
      </c>
      <c r="G122" t="inlineStr">
        <is>
          <t>KRISTINEHAMN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46306</v>
      </c>
      <c r="F123" t="inlineStr">
        <is>
          <t>VÄRMLANDS LÄN</t>
        </is>
      </c>
      <c r="G123" t="inlineStr">
        <is>
          <t>KRISTINEHAMN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46306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Kommuner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44497</v>
      </c>
      <c r="E125" s="1" t="n">
        <v>46306</v>
      </c>
      <c r="F125" t="inlineStr">
        <is>
          <t>VÄRMLANDS LÄN</t>
        </is>
      </c>
      <c r="G125" t="inlineStr">
        <is>
          <t>KRISTINEHAMN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46306</v>
      </c>
      <c r="F126" t="inlineStr">
        <is>
          <t>VÄRMLANDS LÄN</t>
        </is>
      </c>
      <c r="G126" t="inlineStr">
        <is>
          <t>KRISTINEHAMN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46306</v>
      </c>
      <c r="F127" t="inlineStr">
        <is>
          <t>VÄRMLANDS LÄN</t>
        </is>
      </c>
      <c r="G127" t="inlineStr">
        <is>
          <t>KRISTINEHAMN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46306</v>
      </c>
      <c r="F128" t="inlineStr">
        <is>
          <t>VÄRMLANDS LÄN</t>
        </is>
      </c>
      <c r="G128" t="inlineStr">
        <is>
          <t>KRISTINEHAMN</t>
        </is>
      </c>
      <c r="I128" t="n">
        <v>12.6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46306</v>
      </c>
      <c r="F129" t="inlineStr">
        <is>
          <t>VÄRMLANDS LÄN</t>
        </is>
      </c>
      <c r="G129" t="inlineStr">
        <is>
          <t>KRISTINEHAMN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13459-2024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45387</v>
      </c>
      <c r="E130" s="1" t="n">
        <v>46306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Naturvårdsverket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46306</v>
      </c>
      <c r="F131" t="inlineStr">
        <is>
          <t>VÄRMLANDS LÄN</t>
        </is>
      </c>
      <c r="G131" t="inlineStr">
        <is>
          <t>KRISTINEHAMN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46306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10032-2023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44985</v>
      </c>
      <c r="E133" s="1" t="n">
        <v>46306</v>
      </c>
      <c r="F133" t="inlineStr">
        <is>
          <t>VÄRMLANDS LÄN</t>
        </is>
      </c>
      <c r="G133" t="inlineStr">
        <is>
          <t>KRISTINEHAMN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46306</v>
      </c>
      <c r="F134" t="inlineStr">
        <is>
          <t>VÄRMLANDS LÄN</t>
        </is>
      </c>
      <c r="G134" t="inlineStr">
        <is>
          <t>KRISTINEHAMN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46306</v>
      </c>
      <c r="F135" t="inlineStr">
        <is>
          <t>VÄRMLANDS LÄN</t>
        </is>
      </c>
      <c r="G135" t="inlineStr">
        <is>
          <t>KRISTINEHAMN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46306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46306</v>
      </c>
      <c r="F137" t="inlineStr">
        <is>
          <t>VÄRMLANDS LÄN</t>
        </is>
      </c>
      <c r="G137" t="inlineStr">
        <is>
          <t>KRISTINEHAMN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46306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46306</v>
      </c>
      <c r="F139" t="inlineStr">
        <is>
          <t>VÄRMLANDS LÄN</t>
        </is>
      </c>
      <c r="G139" t="inlineStr">
        <is>
          <t>KRISTINEHAMN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44941</v>
      </c>
      <c r="E140" s="1" t="n">
        <v>46306</v>
      </c>
      <c r="F140" t="inlineStr">
        <is>
          <t>VÄRMLANDS LÄN</t>
        </is>
      </c>
      <c r="G140" t="inlineStr">
        <is>
          <t>KRISTINEHAMN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46306</v>
      </c>
      <c r="F141" t="inlineStr">
        <is>
          <t>VÄRMLANDS LÄN</t>
        </is>
      </c>
      <c r="G141" t="inlineStr">
        <is>
          <t>KRISTINEHAMN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46306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46306</v>
      </c>
      <c r="F143" t="inlineStr">
        <is>
          <t>VÄRMLANDS LÄN</t>
        </is>
      </c>
      <c r="G143" t="inlineStr">
        <is>
          <t>KRISTINEHAMN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46306</v>
      </c>
      <c r="F144" t="inlineStr">
        <is>
          <t>VÄRMLANDS LÄN</t>
        </is>
      </c>
      <c r="G144" t="inlineStr">
        <is>
          <t>KRISTINEHAMN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46306</v>
      </c>
      <c r="F145" t="inlineStr">
        <is>
          <t>VÄRMLANDS LÄN</t>
        </is>
      </c>
      <c r="G145" t="inlineStr">
        <is>
          <t>KRISTINEHAMN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46306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46306</v>
      </c>
      <c r="F147" t="inlineStr">
        <is>
          <t>VÄRMLANDS LÄN</t>
        </is>
      </c>
      <c r="G147" t="inlineStr">
        <is>
          <t>KRISTINEHAMN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44959</v>
      </c>
      <c r="E148" s="1" t="n">
        <v>46306</v>
      </c>
      <c r="F148" t="inlineStr">
        <is>
          <t>VÄRMLANDS LÄN</t>
        </is>
      </c>
      <c r="G148" t="inlineStr">
        <is>
          <t>KRISTINEHAMN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46306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Bergvik skog väst AB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46306</v>
      </c>
      <c r="F150" t="inlineStr">
        <is>
          <t>VÄRMLANDS LÄN</t>
        </is>
      </c>
      <c r="G150" t="inlineStr">
        <is>
          <t>KRISTINEHAMN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46306</v>
      </c>
      <c r="F151" t="inlineStr">
        <is>
          <t>VÄRMLANDS LÄN</t>
        </is>
      </c>
      <c r="G151" t="inlineStr">
        <is>
          <t>KRISTINEHAMN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46306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46306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46306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46306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Kommuner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46306</v>
      </c>
      <c r="F156" t="inlineStr">
        <is>
          <t>VÄRMLANDS LÄN</t>
        </is>
      </c>
      <c r="G156" t="inlineStr">
        <is>
          <t>KRISTINEHAMN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46306</v>
      </c>
      <c r="F157" t="inlineStr">
        <is>
          <t>VÄRMLANDS LÄN</t>
        </is>
      </c>
      <c r="G157" t="inlineStr">
        <is>
          <t>KRISTINEHAMN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46306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45392</v>
      </c>
      <c r="E159" s="1" t="n">
        <v>46306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46306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46306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Kommuner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46306</v>
      </c>
      <c r="F162" t="inlineStr">
        <is>
          <t>VÄRMLANDS LÄN</t>
        </is>
      </c>
      <c r="G162" t="inlineStr">
        <is>
          <t>KRISTINEHAMN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46306</v>
      </c>
      <c r="F163" t="inlineStr">
        <is>
          <t>VÄRMLANDS LÄN</t>
        </is>
      </c>
      <c r="G163" t="inlineStr">
        <is>
          <t>KRISTINEHAMN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46306</v>
      </c>
      <c r="F164" t="inlineStr">
        <is>
          <t>VÄRMLANDS LÄN</t>
        </is>
      </c>
      <c r="G164" t="inlineStr">
        <is>
          <t>KRISTINEHAMN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45593</v>
      </c>
      <c r="E165" s="1" t="n">
        <v>46306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46306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46306</v>
      </c>
      <c r="F167" t="inlineStr">
        <is>
          <t>VÄRMLANDS LÄN</t>
        </is>
      </c>
      <c r="G167" t="inlineStr">
        <is>
          <t>KRISTINEHAMN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46306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45783</v>
      </c>
      <c r="E169" s="1" t="n">
        <v>46306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45644</v>
      </c>
      <c r="E170" s="1" t="n">
        <v>46306</v>
      </c>
      <c r="F170" t="inlineStr">
        <is>
          <t>VÄRMLANDS LÄN</t>
        </is>
      </c>
      <c r="G170" t="inlineStr">
        <is>
          <t>KRISTINEHAMN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59144-2021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46306</v>
      </c>
      <c r="F171" t="inlineStr">
        <is>
          <t>VÄRMLANDS LÄN</t>
        </is>
      </c>
      <c r="G171" t="inlineStr">
        <is>
          <t>KRISTINEHAMN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45079</v>
      </c>
      <c r="E172" s="1" t="n">
        <v>46306</v>
      </c>
      <c r="F172" t="inlineStr">
        <is>
          <t>VÄRMLANDS LÄN</t>
        </is>
      </c>
      <c r="G172" t="inlineStr">
        <is>
          <t>KRISTINEHAMN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46306</v>
      </c>
      <c r="F173" t="inlineStr">
        <is>
          <t>VÄRMLANDS LÄN</t>
        </is>
      </c>
      <c r="G173" t="inlineStr">
        <is>
          <t>KRISTINEHAMN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46306</v>
      </c>
      <c r="F174" t="inlineStr">
        <is>
          <t>VÄRMLANDS LÄN</t>
        </is>
      </c>
      <c r="G174" t="inlineStr">
        <is>
          <t>KRISTINEHAMN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46306</v>
      </c>
      <c r="F175" t="inlineStr">
        <is>
          <t>VÄRMLANDS LÄN</t>
        </is>
      </c>
      <c r="G175" t="inlineStr">
        <is>
          <t>KRISTINEHAMN</t>
        </is>
      </c>
      <c r="I175" t="n">
        <v>14.9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46306</v>
      </c>
      <c r="F176" t="inlineStr">
        <is>
          <t>VÄRMLANDS LÄN</t>
        </is>
      </c>
      <c r="G176" t="inlineStr">
        <is>
          <t>KRISTINEHAMN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46306</v>
      </c>
      <c r="F177" t="inlineStr">
        <is>
          <t>VÄRMLANDS LÄN</t>
        </is>
      </c>
      <c r="G177" t="inlineStr">
        <is>
          <t>KRISTINEHAMN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46306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46306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46306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46306</v>
      </c>
      <c r="F181" t="inlineStr">
        <is>
          <t>VÄRMLANDS LÄN</t>
        </is>
      </c>
      <c r="G181" t="inlineStr">
        <is>
          <t>KRISTINEHAMN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46306</v>
      </c>
      <c r="F182" t="inlineStr">
        <is>
          <t>VÄRMLANDS LÄN</t>
        </is>
      </c>
      <c r="G182" t="inlineStr">
        <is>
          <t>KRISTINEHAMN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46306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Naturvårdsverket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44677</v>
      </c>
      <c r="E184" s="1" t="n">
        <v>46306</v>
      </c>
      <c r="F184" t="inlineStr">
        <is>
          <t>VÄRMLANDS LÄN</t>
        </is>
      </c>
      <c r="G184" t="inlineStr">
        <is>
          <t>KRISTINEHAMN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46306</v>
      </c>
      <c r="F185" t="inlineStr">
        <is>
          <t>VÄRMLANDS LÄN</t>
        </is>
      </c>
      <c r="G185" t="inlineStr">
        <is>
          <t>KRISTINEHAMN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46306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46306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46306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46306</v>
      </c>
      <c r="F189" t="inlineStr">
        <is>
          <t>VÄRMLANDS LÄN</t>
        </is>
      </c>
      <c r="G189" t="inlineStr">
        <is>
          <t>KRISTINEHAMN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46306</v>
      </c>
      <c r="F190" t="inlineStr">
        <is>
          <t>VÄRMLANDS LÄN</t>
        </is>
      </c>
      <c r="G190" t="inlineStr">
        <is>
          <t>KRISTINEHAMN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45268</v>
      </c>
      <c r="E191" s="1" t="n">
        <v>46306</v>
      </c>
      <c r="F191" t="inlineStr">
        <is>
          <t>VÄRMLANDS LÄN</t>
        </is>
      </c>
      <c r="G191" t="inlineStr">
        <is>
          <t>KRISTINEHAMN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28834-2024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45478</v>
      </c>
      <c r="E192" s="1" t="n">
        <v>46306</v>
      </c>
      <c r="F192" t="inlineStr">
        <is>
          <t>VÄRMLANDS LÄN</t>
        </is>
      </c>
      <c r="G192" t="inlineStr">
        <is>
          <t>KRISTINEHAMN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23510-2025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45792</v>
      </c>
      <c r="E193" s="1" t="n">
        <v>46306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46306</v>
      </c>
      <c r="F194" t="inlineStr">
        <is>
          <t>VÄRMLANDS LÄN</t>
        </is>
      </c>
      <c r="G194" t="inlineStr">
        <is>
          <t>KRISTINEHAMN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46306</v>
      </c>
      <c r="F195" t="inlineStr">
        <is>
          <t>VÄRMLANDS LÄN</t>
        </is>
      </c>
      <c r="G195" t="inlineStr">
        <is>
          <t>KRISTINEHAMN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45686</v>
      </c>
      <c r="E196" s="1" t="n">
        <v>46306</v>
      </c>
      <c r="F196" t="inlineStr">
        <is>
          <t>VÄRMLANDS LÄN</t>
        </is>
      </c>
      <c r="G196" t="inlineStr">
        <is>
          <t>KRISTINEHAMN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45282</v>
      </c>
      <c r="E197" s="1" t="n">
        <v>46306</v>
      </c>
      <c r="F197" t="inlineStr">
        <is>
          <t>VÄRMLANDS LÄN</t>
        </is>
      </c>
      <c r="G197" t="inlineStr">
        <is>
          <t>KRISTINEHAMN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46306</v>
      </c>
      <c r="F198" t="inlineStr">
        <is>
          <t>VÄRMLANDS LÄN</t>
        </is>
      </c>
      <c r="G198" t="inlineStr">
        <is>
          <t>KRISTINEHAMN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46306</v>
      </c>
      <c r="F199" t="inlineStr">
        <is>
          <t>VÄRMLANDS LÄN</t>
        </is>
      </c>
      <c r="G199" t="inlineStr">
        <is>
          <t>KRISTINEHAMN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46306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46306</v>
      </c>
      <c r="F201" t="inlineStr">
        <is>
          <t>VÄRMLANDS LÄN</t>
        </is>
      </c>
      <c r="G201" t="inlineStr">
        <is>
          <t>KRISTINEHAMN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46306</v>
      </c>
      <c r="F202" t="inlineStr">
        <is>
          <t>VÄRMLANDS LÄN</t>
        </is>
      </c>
      <c r="G202" t="inlineStr">
        <is>
          <t>KRISTINEHAMN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46306</v>
      </c>
      <c r="F203" t="inlineStr">
        <is>
          <t>VÄRMLANDS LÄN</t>
        </is>
      </c>
      <c r="G203" t="inlineStr">
        <is>
          <t>KRISTINEHAMN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44648</v>
      </c>
      <c r="E204" s="1" t="n">
        <v>46306</v>
      </c>
      <c r="F204" t="inlineStr">
        <is>
          <t>VÄRMLANDS LÄN</t>
        </is>
      </c>
      <c r="G204" t="inlineStr">
        <is>
          <t>KRISTINEHAMN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46306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46306</v>
      </c>
      <c r="F206" t="inlineStr">
        <is>
          <t>VÄRMLANDS LÄN</t>
        </is>
      </c>
      <c r="G206" t="inlineStr">
        <is>
          <t>KRISTINEHAMN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46306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46306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46306</v>
      </c>
      <c r="F209" t="inlineStr">
        <is>
          <t>VÄRMLANDS LÄN</t>
        </is>
      </c>
      <c r="G209" t="inlineStr">
        <is>
          <t>KRISTINEHAMN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44637</v>
      </c>
      <c r="E210" s="1" t="n">
        <v>46306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46306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45453</v>
      </c>
      <c r="E212" s="1" t="n">
        <v>46306</v>
      </c>
      <c r="F212" t="inlineStr">
        <is>
          <t>VÄRMLANDS LÄN</t>
        </is>
      </c>
      <c r="G212" t="inlineStr">
        <is>
          <t>KRISTINEHAMN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46306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46306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45044</v>
      </c>
      <c r="E215" s="1" t="n">
        <v>46306</v>
      </c>
      <c r="F215" t="inlineStr">
        <is>
          <t>VÄRMLANDS LÄN</t>
        </is>
      </c>
      <c r="G215" t="inlineStr">
        <is>
          <t>KRISTINEHAMN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46306</v>
      </c>
      <c r="F216" t="inlineStr">
        <is>
          <t>VÄRMLANDS LÄN</t>
        </is>
      </c>
      <c r="G216" t="inlineStr">
        <is>
          <t>KRISTINEHAMN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46306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46306</v>
      </c>
      <c r="F218" t="inlineStr">
        <is>
          <t>VÄRMLANDS LÄN</t>
        </is>
      </c>
      <c r="G218" t="inlineStr">
        <is>
          <t>KRISTINEHAMN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46306</v>
      </c>
      <c r="F220" t="inlineStr">
        <is>
          <t>VÄRMLANDS LÄN</t>
        </is>
      </c>
      <c r="G220" t="inlineStr">
        <is>
          <t>KRISTINEHAMN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46306</v>
      </c>
      <c r="F221" t="inlineStr">
        <is>
          <t>VÄRMLANDS LÄN</t>
        </is>
      </c>
      <c r="G221" t="inlineStr">
        <is>
          <t>KRISTINEHAMN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46306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46306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46306</v>
      </c>
      <c r="F224" t="inlineStr">
        <is>
          <t>VÄRMLANDS LÄN</t>
        </is>
      </c>
      <c r="G224" t="inlineStr">
        <is>
          <t>KRISTINEHAMN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46306</v>
      </c>
      <c r="F225" t="inlineStr">
        <is>
          <t>VÄRMLANDS LÄN</t>
        </is>
      </c>
      <c r="G225" t="inlineStr">
        <is>
          <t>KRISTINEHAMN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46306</v>
      </c>
      <c r="F226" t="inlineStr">
        <is>
          <t>VÄRMLANDS LÄN</t>
        </is>
      </c>
      <c r="G226" t="inlineStr">
        <is>
          <t>KRISTINEHAMN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46306</v>
      </c>
      <c r="F227" t="inlineStr">
        <is>
          <t>VÄRMLANDS LÄN</t>
        </is>
      </c>
      <c r="G227" t="inlineStr">
        <is>
          <t>KRISTINEHAMN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46306</v>
      </c>
      <c r="F228" t="inlineStr">
        <is>
          <t>VÄRMLANDS LÄN</t>
        </is>
      </c>
      <c r="G228" t="inlineStr">
        <is>
          <t>KRISTINEHAMN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46306</v>
      </c>
      <c r="F229" t="inlineStr">
        <is>
          <t>VÄRMLANDS LÄN</t>
        </is>
      </c>
      <c r="G229" t="inlineStr">
        <is>
          <t>KRISTINEHAMN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46306</v>
      </c>
      <c r="F230" t="inlineStr">
        <is>
          <t>VÄRMLANDS LÄN</t>
        </is>
      </c>
      <c r="G230" t="inlineStr">
        <is>
          <t>KRISTINEHAMN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46306</v>
      </c>
      <c r="F231" t="inlineStr">
        <is>
          <t>VÄRMLANDS LÄN</t>
        </is>
      </c>
      <c r="G231" t="inlineStr">
        <is>
          <t>KRISTINEHAMN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46306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46306</v>
      </c>
      <c r="F233" t="inlineStr">
        <is>
          <t>VÄRMLANDS LÄN</t>
        </is>
      </c>
      <c r="G233" t="inlineStr">
        <is>
          <t>KRISTINEHAMN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46306</v>
      </c>
      <c r="F234" t="inlineStr">
        <is>
          <t>VÄRMLANDS LÄN</t>
        </is>
      </c>
      <c r="G234" t="inlineStr">
        <is>
          <t>KRISTINEHAMN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46306</v>
      </c>
      <c r="F235" t="inlineStr">
        <is>
          <t>VÄRMLANDS LÄN</t>
        </is>
      </c>
      <c r="G235" t="inlineStr">
        <is>
          <t>KRISTINEHAMN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46306</v>
      </c>
      <c r="F236" t="inlineStr">
        <is>
          <t>VÄRMLANDS LÄN</t>
        </is>
      </c>
      <c r="G236" t="inlineStr">
        <is>
          <t>KRISTINEHAMN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46306</v>
      </c>
      <c r="F237" t="inlineStr">
        <is>
          <t>VÄRMLANDS LÄN</t>
        </is>
      </c>
      <c r="G237" t="inlineStr">
        <is>
          <t>KRISTINEHAMN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45385</v>
      </c>
      <c r="E238" s="1" t="n">
        <v>46306</v>
      </c>
      <c r="F238" t="inlineStr">
        <is>
          <t>VÄRMLANDS LÄN</t>
        </is>
      </c>
      <c r="G238" t="inlineStr">
        <is>
          <t>KRISTINEHAMN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46306</v>
      </c>
      <c r="F239" t="inlineStr">
        <is>
          <t>VÄRMLANDS LÄN</t>
        </is>
      </c>
      <c r="G239" t="inlineStr">
        <is>
          <t>KRISTINEHAMN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46306</v>
      </c>
      <c r="F240" t="inlineStr">
        <is>
          <t>VÄRMLANDS LÄN</t>
        </is>
      </c>
      <c r="G240" t="inlineStr">
        <is>
          <t>KRISTINEHAMN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46306</v>
      </c>
      <c r="F241" t="inlineStr">
        <is>
          <t>VÄRMLANDS LÄN</t>
        </is>
      </c>
      <c r="G241" t="inlineStr">
        <is>
          <t>KRISTINEHAMN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46306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46306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46306</v>
      </c>
      <c r="F244" t="inlineStr">
        <is>
          <t>VÄRMLANDS LÄN</t>
        </is>
      </c>
      <c r="G244" t="inlineStr">
        <is>
          <t>KRISTINEHAMN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46306</v>
      </c>
      <c r="F245" t="inlineStr">
        <is>
          <t>VÄRMLANDS LÄN</t>
        </is>
      </c>
      <c r="G245" t="inlineStr">
        <is>
          <t>KRISTINEHAMN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46306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46306</v>
      </c>
      <c r="F247" t="inlineStr">
        <is>
          <t>VÄRMLANDS LÄN</t>
        </is>
      </c>
      <c r="G247" t="inlineStr">
        <is>
          <t>KRISTINEHAMN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46306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45769</v>
      </c>
      <c r="E249" s="1" t="n">
        <v>46306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46306</v>
      </c>
      <c r="F250" t="inlineStr">
        <is>
          <t>VÄRMLANDS LÄN</t>
        </is>
      </c>
      <c r="G250" t="inlineStr">
        <is>
          <t>KRISTINEHAMN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46306</v>
      </c>
      <c r="F251" t="inlineStr">
        <is>
          <t>VÄRMLANDS LÄN</t>
        </is>
      </c>
      <c r="G251" t="inlineStr">
        <is>
          <t>KRISTINEHAMN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46306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46306</v>
      </c>
      <c r="F253" t="inlineStr">
        <is>
          <t>VÄRMLANDS LÄN</t>
        </is>
      </c>
      <c r="G253" t="inlineStr">
        <is>
          <t>KRISTINEHAMN</t>
        </is>
      </c>
      <c r="I253" t="n">
        <v>20.1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46306</v>
      </c>
      <c r="F254" t="inlineStr">
        <is>
          <t>VÄRMLANDS LÄN</t>
        </is>
      </c>
      <c r="G254" t="inlineStr">
        <is>
          <t>KRISTINEHAMN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46306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46306</v>
      </c>
      <c r="F256" t="inlineStr">
        <is>
          <t>VÄRMLANDS LÄN</t>
        </is>
      </c>
      <c r="G256" t="inlineStr">
        <is>
          <t>KRISTINEHAMN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46306</v>
      </c>
      <c r="F257" t="inlineStr">
        <is>
          <t>VÄRMLANDS LÄN</t>
        </is>
      </c>
      <c r="G257" t="inlineStr">
        <is>
          <t>KRISTINEHAMN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46306</v>
      </c>
      <c r="F258" t="inlineStr">
        <is>
          <t>VÄRMLANDS LÄN</t>
        </is>
      </c>
      <c r="G258" t="inlineStr">
        <is>
          <t>KRISTINEHAMN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46306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46306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46306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Naturvårdsverket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45662</v>
      </c>
      <c r="E262" s="1" t="n">
        <v>46306</v>
      </c>
      <c r="F262" t="inlineStr">
        <is>
          <t>VÄRMLANDS LÄN</t>
        </is>
      </c>
      <c r="G262" t="inlineStr">
        <is>
          <t>KRISTINEHAMN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44924</v>
      </c>
      <c r="E263" s="1" t="n">
        <v>46306</v>
      </c>
      <c r="F263" t="inlineStr">
        <is>
          <t>VÄRMLANDS LÄN</t>
        </is>
      </c>
      <c r="G263" t="inlineStr">
        <is>
          <t>KRISTINEHAMN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46306</v>
      </c>
      <c r="F264" t="inlineStr">
        <is>
          <t>VÄRMLANDS LÄN</t>
        </is>
      </c>
      <c r="G264" t="inlineStr">
        <is>
          <t>KRISTINEHAMN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46306</v>
      </c>
      <c r="F265" t="inlineStr">
        <is>
          <t>VÄRMLANDS LÄN</t>
        </is>
      </c>
      <c r="G265" t="inlineStr">
        <is>
          <t>KRISTINEHAMN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46306</v>
      </c>
      <c r="F266" t="inlineStr">
        <is>
          <t>VÄRMLANDS LÄN</t>
        </is>
      </c>
      <c r="G266" t="inlineStr">
        <is>
          <t>KRISTINEHAMN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46306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46306</v>
      </c>
      <c r="F268" t="inlineStr">
        <is>
          <t>VÄRMLANDS LÄN</t>
        </is>
      </c>
      <c r="G268" t="inlineStr">
        <is>
          <t>KRISTINEHAMN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48405-2023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45201</v>
      </c>
      <c r="E269" s="1" t="n">
        <v>46306</v>
      </c>
      <c r="F269" t="inlineStr">
        <is>
          <t>VÄRMLANDS LÄN</t>
        </is>
      </c>
      <c r="G269" t="inlineStr">
        <is>
          <t>KRISTINEHAMN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46306</v>
      </c>
      <c r="F270" t="inlineStr">
        <is>
          <t>VÄRMLANDS LÄN</t>
        </is>
      </c>
      <c r="G270" t="inlineStr">
        <is>
          <t>KRISTINEHAMN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46306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Naturvårdsverket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46306</v>
      </c>
      <c r="F272" t="inlineStr">
        <is>
          <t>VÄRMLANDS LÄN</t>
        </is>
      </c>
      <c r="G272" t="inlineStr">
        <is>
          <t>KRISTINEHAMN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46306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56315-2025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45974</v>
      </c>
      <c r="E274" s="1" t="n">
        <v>46306</v>
      </c>
      <c r="F274" t="inlineStr">
        <is>
          <t>VÄRMLANDS LÄN</t>
        </is>
      </c>
      <c r="G274" t="inlineStr">
        <is>
          <t>KRISTINEHAMN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46306</v>
      </c>
      <c r="F275" t="inlineStr">
        <is>
          <t>VÄRMLANDS LÄN</t>
        </is>
      </c>
      <c r="G275" t="inlineStr">
        <is>
          <t>KRISTINEHAMN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46306</v>
      </c>
      <c r="F276" t="inlineStr">
        <is>
          <t>VÄRMLANDS LÄN</t>
        </is>
      </c>
      <c r="G276" t="inlineStr">
        <is>
          <t>KRISTINEHAMN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45770</v>
      </c>
      <c r="E277" s="1" t="n">
        <v>46306</v>
      </c>
      <c r="F277" t="inlineStr">
        <is>
          <t>VÄRMLANDS LÄN</t>
        </is>
      </c>
      <c r="G277" t="inlineStr">
        <is>
          <t>KRISTINEHAMN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45782</v>
      </c>
      <c r="E278" s="1" t="n">
        <v>46306</v>
      </c>
      <c r="F278" t="inlineStr">
        <is>
          <t>VÄRMLANDS LÄN</t>
        </is>
      </c>
      <c r="G278" t="inlineStr">
        <is>
          <t>KRISTINEHAMN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46306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44831</v>
      </c>
      <c r="E280" s="1" t="n">
        <v>46306</v>
      </c>
      <c r="F280" t="inlineStr">
        <is>
          <t>VÄRMLANDS LÄN</t>
        </is>
      </c>
      <c r="G280" t="inlineStr">
        <is>
          <t>KRISTINEHAMN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46306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45442</v>
      </c>
      <c r="E282" s="1" t="n">
        <v>46306</v>
      </c>
      <c r="F282" t="inlineStr">
        <is>
          <t>VÄRMLANDS LÄN</t>
        </is>
      </c>
      <c r="G282" t="inlineStr">
        <is>
          <t>KRISTINEHAMN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46306</v>
      </c>
      <c r="F283" t="inlineStr">
        <is>
          <t>VÄRMLANDS LÄN</t>
        </is>
      </c>
      <c r="G283" t="inlineStr">
        <is>
          <t>KRISTINEHAMN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45202</v>
      </c>
      <c r="E284" s="1" t="n">
        <v>46306</v>
      </c>
      <c r="F284" t="inlineStr">
        <is>
          <t>VÄRMLANDS LÄN</t>
        </is>
      </c>
      <c r="G284" t="inlineStr">
        <is>
          <t>KRISTINEHAMN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46306</v>
      </c>
      <c r="F285" t="inlineStr">
        <is>
          <t>VÄRMLANDS LÄN</t>
        </is>
      </c>
      <c r="G285" t="inlineStr">
        <is>
          <t>KRISTINEHAMN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46306</v>
      </c>
      <c r="F286" t="inlineStr">
        <is>
          <t>VÄRMLANDS LÄN</t>
        </is>
      </c>
      <c r="G286" t="inlineStr">
        <is>
          <t>KRISTINEHAMN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46306</v>
      </c>
      <c r="F287" t="inlineStr">
        <is>
          <t>VÄRMLANDS LÄN</t>
        </is>
      </c>
      <c r="G287" t="inlineStr">
        <is>
          <t>KRISTINEHAMN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45379</v>
      </c>
      <c r="E288" s="1" t="n">
        <v>46306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45647</v>
      </c>
      <c r="E289" s="1" t="n">
        <v>46306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46306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46306</v>
      </c>
      <c r="F291" t="inlineStr">
        <is>
          <t>VÄRMLANDS LÄN</t>
        </is>
      </c>
      <c r="G291" t="inlineStr">
        <is>
          <t>KRISTINEHAMN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41857-2023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45176</v>
      </c>
      <c r="E292" s="1" t="n">
        <v>46306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45686</v>
      </c>
      <c r="E293" s="1" t="n">
        <v>46306</v>
      </c>
      <c r="F293" t="inlineStr">
        <is>
          <t>VÄRMLANDS LÄN</t>
        </is>
      </c>
      <c r="G293" t="inlineStr">
        <is>
          <t>KRISTINEHAMN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46306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45876</v>
      </c>
      <c r="E295" s="1" t="n">
        <v>46306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46306</v>
      </c>
      <c r="F296" t="inlineStr">
        <is>
          <t>VÄRMLANDS LÄN</t>
        </is>
      </c>
      <c r="G296" t="inlineStr">
        <is>
          <t>KRISTINEHAMN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46306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46306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46306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70126-2021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44533</v>
      </c>
      <c r="E300" s="1" t="n">
        <v>46306</v>
      </c>
      <c r="F300" t="inlineStr">
        <is>
          <t>VÄRMLANDS LÄN</t>
        </is>
      </c>
      <c r="G300" t="inlineStr">
        <is>
          <t>KRISTINEHAMN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46306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46306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46306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46306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46306</v>
      </c>
      <c r="F305" t="inlineStr">
        <is>
          <t>VÄRMLANDS LÄN</t>
        </is>
      </c>
      <c r="G305" t="inlineStr">
        <is>
          <t>KRISTINEHAMN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46106</v>
      </c>
      <c r="E306" s="1" t="n">
        <v>46306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46306</v>
      </c>
      <c r="F307" t="inlineStr">
        <is>
          <t>VÄRMLANDS LÄN</t>
        </is>
      </c>
      <c r="G307" t="inlineStr">
        <is>
          <t>KRISTINEHAMN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46306</v>
      </c>
      <c r="F308" t="inlineStr">
        <is>
          <t>VÄRMLANDS LÄN</t>
        </is>
      </c>
      <c r="G308" t="inlineStr">
        <is>
          <t>KRISTINEHAMN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46306</v>
      </c>
      <c r="F309" t="inlineStr">
        <is>
          <t>VÄRMLANDS LÄN</t>
        </is>
      </c>
      <c r="G309" t="inlineStr">
        <is>
          <t>KRISTINEHAMN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46306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46306</v>
      </c>
      <c r="F311" t="inlineStr">
        <is>
          <t>VÄRMLANDS LÄN</t>
        </is>
      </c>
      <c r="G311" t="inlineStr">
        <is>
          <t>KRISTINEHAMN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46306</v>
      </c>
      <c r="F312" t="inlineStr">
        <is>
          <t>VÄRMLANDS LÄN</t>
        </is>
      </c>
      <c r="G312" t="inlineStr">
        <is>
          <t>KRISTINEHAMN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46306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46306</v>
      </c>
      <c r="F314" t="inlineStr">
        <is>
          <t>VÄRMLANDS LÄN</t>
        </is>
      </c>
      <c r="G314" t="inlineStr">
        <is>
          <t>KRISTINEHAMN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46306</v>
      </c>
      <c r="F315" t="inlineStr">
        <is>
          <t>VÄRMLANDS LÄN</t>
        </is>
      </c>
      <c r="G315" t="inlineStr">
        <is>
          <t>KRISTINEHAMN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45226</v>
      </c>
      <c r="E316" s="1" t="n">
        <v>46306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46306</v>
      </c>
      <c r="F317" t="inlineStr">
        <is>
          <t>VÄRMLANDS LÄN</t>
        </is>
      </c>
      <c r="G317" t="inlineStr">
        <is>
          <t>KRISTINEHAMN</t>
        </is>
      </c>
      <c r="I317" t="n">
        <v>15.9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46306</v>
      </c>
      <c r="F318" t="inlineStr">
        <is>
          <t>VÄRMLANDS LÄN</t>
        </is>
      </c>
      <c r="G318" t="inlineStr">
        <is>
          <t>KRISTINEHAMN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46306</v>
      </c>
      <c r="F319" t="inlineStr">
        <is>
          <t>VÄRMLANDS LÄN</t>
        </is>
      </c>
      <c r="G319" t="inlineStr">
        <is>
          <t>KRISTINEHAMN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46306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Bergvik skog väst AB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46306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46306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46306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46306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46306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46306</v>
      </c>
      <c r="F326" t="inlineStr">
        <is>
          <t>VÄRMLANDS LÄN</t>
        </is>
      </c>
      <c r="G326" t="inlineStr">
        <is>
          <t>KRISTINEHAMN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46306</v>
      </c>
      <c r="F327" t="inlineStr">
        <is>
          <t>VÄRMLANDS LÄN</t>
        </is>
      </c>
      <c r="G327" t="inlineStr">
        <is>
          <t>KRISTINEHAMN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32821-2023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45112</v>
      </c>
      <c r="E328" s="1" t="n">
        <v>46306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46306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46306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45112</v>
      </c>
      <c r="E331" s="1" t="n">
        <v>46306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46306</v>
      </c>
      <c r="F332" t="inlineStr">
        <is>
          <t>VÄRMLANDS LÄN</t>
        </is>
      </c>
      <c r="G332" t="inlineStr">
        <is>
          <t>KRISTINEHAMN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46306</v>
      </c>
      <c r="F333" t="inlineStr">
        <is>
          <t>VÄRMLANDS LÄN</t>
        </is>
      </c>
      <c r="G333" t="inlineStr">
        <is>
          <t>KRISTINEHAMN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44651</v>
      </c>
      <c r="E334" s="1" t="n">
        <v>46306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44841</v>
      </c>
      <c r="E335" s="1" t="n">
        <v>46306</v>
      </c>
      <c r="F335" t="inlineStr">
        <is>
          <t>VÄRMLANDS LÄN</t>
        </is>
      </c>
      <c r="G335" t="inlineStr">
        <is>
          <t>KRISTINEHAMN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46306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44741</v>
      </c>
      <c r="E337" s="1" t="n">
        <v>46306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46306</v>
      </c>
      <c r="F338" t="inlineStr">
        <is>
          <t>VÄRMLANDS LÄN</t>
        </is>
      </c>
      <c r="G338" t="inlineStr">
        <is>
          <t>KRISTINEHAMN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46306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46306</v>
      </c>
      <c r="F340" t="inlineStr">
        <is>
          <t>VÄRMLANDS LÄN</t>
        </is>
      </c>
      <c r="G340" t="inlineStr">
        <is>
          <t>KRISTINEHAMN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46306</v>
      </c>
      <c r="F341" t="inlineStr">
        <is>
          <t>VÄRMLANDS LÄN</t>
        </is>
      </c>
      <c r="G341" t="inlineStr">
        <is>
          <t>KRISTINEHAMN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46306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47770-2023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46306</v>
      </c>
      <c r="F343" t="inlineStr">
        <is>
          <t>VÄRMLANDS LÄN</t>
        </is>
      </c>
      <c r="G343" t="inlineStr">
        <is>
          <t>KRISTINEHAMN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46306</v>
      </c>
      <c r="F344" t="inlineStr">
        <is>
          <t>VÄRMLANDS LÄN</t>
        </is>
      </c>
      <c r="G344" t="inlineStr">
        <is>
          <t>KRISTINEHAMN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46306</v>
      </c>
      <c r="F345" t="inlineStr">
        <is>
          <t>VÄRMLANDS LÄN</t>
        </is>
      </c>
      <c r="G345" t="inlineStr">
        <is>
          <t>KRISTINEHAMN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46306</v>
      </c>
      <c r="F346" t="inlineStr">
        <is>
          <t>VÄRMLANDS LÄN</t>
        </is>
      </c>
      <c r="G346" t="inlineStr">
        <is>
          <t>KRISTINEHAMN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46306</v>
      </c>
      <c r="F347" t="inlineStr">
        <is>
          <t>VÄRMLANDS LÄN</t>
        </is>
      </c>
      <c r="G347" t="inlineStr">
        <is>
          <t>KRISTINEHAMN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46306</v>
      </c>
      <c r="F348" t="inlineStr">
        <is>
          <t>VÄRMLANDS LÄN</t>
        </is>
      </c>
      <c r="G348" t="inlineStr">
        <is>
          <t>KRISTINEHAMN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46306</v>
      </c>
      <c r="F349" t="inlineStr">
        <is>
          <t>VÄRMLANDS LÄN</t>
        </is>
      </c>
      <c r="G349" t="inlineStr">
        <is>
          <t>KRISTINEHAMN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46306</v>
      </c>
      <c r="F350" t="inlineStr">
        <is>
          <t>VÄRMLANDS LÄN</t>
        </is>
      </c>
      <c r="G350" t="inlineStr">
        <is>
          <t>KRISTINEHAMN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46306</v>
      </c>
      <c r="F351" t="inlineStr">
        <is>
          <t>VÄRMLANDS LÄN</t>
        </is>
      </c>
      <c r="G351" t="inlineStr">
        <is>
          <t>KRISTINEHAMN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46306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46306</v>
      </c>
      <c r="F353" t="inlineStr">
        <is>
          <t>VÄRMLANDS LÄN</t>
        </is>
      </c>
      <c r="G353" t="inlineStr">
        <is>
          <t>KRISTINEHAMN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46306</v>
      </c>
      <c r="F354" t="inlineStr">
        <is>
          <t>VÄRMLANDS LÄN</t>
        </is>
      </c>
      <c r="G354" t="inlineStr">
        <is>
          <t>KRISTINEHAMN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45478</v>
      </c>
      <c r="E355" s="1" t="n">
        <v>46306</v>
      </c>
      <c r="F355" t="inlineStr">
        <is>
          <t>VÄRMLANDS LÄN</t>
        </is>
      </c>
      <c r="G355" t="inlineStr">
        <is>
          <t>KRISTINEHAMN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45478</v>
      </c>
      <c r="E356" s="1" t="n">
        <v>46306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46306</v>
      </c>
      <c r="F357" t="inlineStr">
        <is>
          <t>VÄRMLANDS LÄN</t>
        </is>
      </c>
      <c r="G357" t="inlineStr">
        <is>
          <t>KRISTINEHAMN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46306</v>
      </c>
      <c r="F358" t="inlineStr">
        <is>
          <t>VÄRMLANDS LÄN</t>
        </is>
      </c>
      <c r="G358" t="inlineStr">
        <is>
          <t>KRISTINEHAMN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46306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46306</v>
      </c>
      <c r="F360" t="inlineStr">
        <is>
          <t>VÄRMLANDS LÄN</t>
        </is>
      </c>
      <c r="G360" t="inlineStr">
        <is>
          <t>KRISTINEHAMN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46306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46306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68526-2021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44526</v>
      </c>
      <c r="E363" s="1" t="n">
        <v>46306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68530-2021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44526</v>
      </c>
      <c r="E364" s="1" t="n">
        <v>46306</v>
      </c>
      <c r="F364" t="inlineStr">
        <is>
          <t>VÄRMLANDS LÄN</t>
        </is>
      </c>
      <c r="G364" t="inlineStr">
        <is>
          <t>KRISTINEHAMN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46306</v>
      </c>
      <c r="F365" t="inlineStr">
        <is>
          <t>VÄRMLANDS LÄN</t>
        </is>
      </c>
      <c r="G365" t="inlineStr">
        <is>
          <t>KRISTINEHAMN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46306</v>
      </c>
      <c r="F366" t="inlineStr">
        <is>
          <t>VÄRMLANDS LÄN</t>
        </is>
      </c>
      <c r="G366" t="inlineStr">
        <is>
          <t>KRISTINEHAMN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46306</v>
      </c>
      <c r="F367" t="inlineStr">
        <is>
          <t>VÄRMLANDS LÄN</t>
        </is>
      </c>
      <c r="G367" t="inlineStr">
        <is>
          <t>KRISTINEHAMN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46306</v>
      </c>
      <c r="F368" t="inlineStr">
        <is>
          <t>VÄRMLANDS LÄN</t>
        </is>
      </c>
      <c r="G368" t="inlineStr">
        <is>
          <t>KRISTINEHAMN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44595</v>
      </c>
      <c r="E369" s="1" t="n">
        <v>46306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46306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45804</v>
      </c>
      <c r="E371" s="1" t="n">
        <v>46306</v>
      </c>
      <c r="F371" t="inlineStr">
        <is>
          <t>VÄRMLANDS LÄN</t>
        </is>
      </c>
      <c r="G371" t="inlineStr">
        <is>
          <t>KRISTINEHAMN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46136</v>
      </c>
      <c r="E372" s="1" t="n">
        <v>46306</v>
      </c>
      <c r="F372" t="inlineStr">
        <is>
          <t>VÄRMLANDS LÄN</t>
        </is>
      </c>
      <c r="G372" t="inlineStr">
        <is>
          <t>KRISTINEHAMN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46306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45756</v>
      </c>
      <c r="E374" s="1" t="n">
        <v>46306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46306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46306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Naturvårdsverket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46306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46306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46306</v>
      </c>
      <c r="F379" t="inlineStr">
        <is>
          <t>VÄRMLANDS LÄN</t>
        </is>
      </c>
      <c r="G379" t="inlineStr">
        <is>
          <t>KRISTINEHAMN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46306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45127</v>
      </c>
      <c r="E381" s="1" t="n">
        <v>46306</v>
      </c>
      <c r="F381" t="inlineStr">
        <is>
          <t>VÄRMLANDS LÄN</t>
        </is>
      </c>
      <c r="G381" t="inlineStr">
        <is>
          <t>KRISTINEHAMN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46306</v>
      </c>
      <c r="F382" t="inlineStr">
        <is>
          <t>VÄRMLANDS LÄN</t>
        </is>
      </c>
      <c r="G382" t="inlineStr">
        <is>
          <t>KRISTINEHAMN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46306</v>
      </c>
      <c r="F383" t="inlineStr">
        <is>
          <t>VÄRMLANDS LÄN</t>
        </is>
      </c>
      <c r="G383" t="inlineStr">
        <is>
          <t>KRISTINEHAMN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46306</v>
      </c>
      <c r="F384" t="inlineStr">
        <is>
          <t>VÄRMLANDS LÄN</t>
        </is>
      </c>
      <c r="G384" t="inlineStr">
        <is>
          <t>KRISTINEHAMN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45639</v>
      </c>
      <c r="E385" s="1" t="n">
        <v>46306</v>
      </c>
      <c r="F385" t="inlineStr">
        <is>
          <t>VÄRMLANDS LÄN</t>
        </is>
      </c>
      <c r="G385" t="inlineStr">
        <is>
          <t>KRISTINEHAMN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46306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46306</v>
      </c>
      <c r="F387" t="inlineStr">
        <is>
          <t>VÄRMLANDS LÄN</t>
        </is>
      </c>
      <c r="G387" t="inlineStr">
        <is>
          <t>KRISTINEHAMN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46306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46051</v>
      </c>
      <c r="E389" s="1" t="n">
        <v>46306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45827</v>
      </c>
      <c r="E390" s="1" t="n">
        <v>46306</v>
      </c>
      <c r="F390" t="inlineStr">
        <is>
          <t>VÄRMLANDS LÄN</t>
        </is>
      </c>
      <c r="G390" t="inlineStr">
        <is>
          <t>KRISTINEHAMN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46306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46306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22060-2026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46149</v>
      </c>
      <c r="E393" s="1" t="n">
        <v>46306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46306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46306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46306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46306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46306</v>
      </c>
      <c r="F398" t="inlineStr">
        <is>
          <t>VÄRMLANDS LÄN</t>
        </is>
      </c>
      <c r="G398" t="inlineStr">
        <is>
          <t>KRISTINEHAMN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45341</v>
      </c>
      <c r="E399" s="1" t="n">
        <v>46306</v>
      </c>
      <c r="F399" t="inlineStr">
        <is>
          <t>VÄRMLANDS LÄN</t>
        </is>
      </c>
      <c r="G399" t="inlineStr">
        <is>
          <t>KRISTINEHAMN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45569</v>
      </c>
      <c r="E400" s="1" t="n">
        <v>46306</v>
      </c>
      <c r="F400" t="inlineStr">
        <is>
          <t>VÄRMLANDS LÄN</t>
        </is>
      </c>
      <c r="G400" t="inlineStr">
        <is>
          <t>KRISTINEHAMN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46306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46306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46306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46306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46306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24570-2026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46170</v>
      </c>
      <c r="E406" s="1" t="n">
        <v>46306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46171</v>
      </c>
      <c r="E407" s="1" t="n">
        <v>46306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46306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46037</v>
      </c>
      <c r="E409" s="1" t="n">
        <v>46306</v>
      </c>
      <c r="F409" t="inlineStr">
        <is>
          <t>VÄRMLANDS LÄN</t>
        </is>
      </c>
      <c r="G409" t="inlineStr">
        <is>
          <t>KRISTINEHAMN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46306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46306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46306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46306</v>
      </c>
      <c r="F413" t="inlineStr">
        <is>
          <t>VÄRMLANDS LÄN</t>
        </is>
      </c>
      <c r="G413" t="inlineStr">
        <is>
          <t>KRISTINEHAMN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46306</v>
      </c>
      <c r="F414" t="inlineStr">
        <is>
          <t>VÄRMLANDS LÄN</t>
        </is>
      </c>
      <c r="G414" t="inlineStr">
        <is>
          <t>KRISTINEHAMN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46274</v>
      </c>
      <c r="E415" s="1" t="n">
        <v>46306</v>
      </c>
      <c r="F415" t="inlineStr">
        <is>
          <t>VÄRMLANDS LÄN</t>
        </is>
      </c>
      <c r="G415" t="inlineStr">
        <is>
          <t>KRISTINEHAMN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46230</v>
      </c>
      <c r="E416" s="1" t="n">
        <v>46306</v>
      </c>
      <c r="F416" t="inlineStr">
        <is>
          <t>VÄRMLANDS LÄN</t>
        </is>
      </c>
      <c r="G416" t="inlineStr">
        <is>
          <t>KRISTINEHAMN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46306</v>
      </c>
      <c r="F417" t="inlineStr">
        <is>
          <t>VÄRMLANDS LÄN</t>
        </is>
      </c>
      <c r="G417" t="inlineStr">
        <is>
          <t>KRISTINEHAMN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46306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46306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46306</v>
      </c>
      <c r="F420" t="inlineStr">
        <is>
          <t>VÄRMLANDS LÄN</t>
        </is>
      </c>
      <c r="G420" t="inlineStr">
        <is>
          <t>KRISTINEHAMN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46282</v>
      </c>
      <c r="E421" s="1" t="n">
        <v>46306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38840-2026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46286</v>
      </c>
      <c r="E422" s="1" t="n">
        <v>46306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46293</v>
      </c>
      <c r="E423" s="1" t="n">
        <v>46306</v>
      </c>
      <c r="F423" t="inlineStr">
        <is>
          <t>VÄRMLANDS LÄN</t>
        </is>
      </c>
      <c r="G423" t="inlineStr">
        <is>
          <t>KRISTINEHAMN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46306</v>
      </c>
      <c r="F424" t="inlineStr">
        <is>
          <t>VÄRMLANDS LÄN</t>
        </is>
      </c>
      <c r="G424" t="inlineStr">
        <is>
          <t>KRISTINEHAMN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46306</v>
      </c>
      <c r="F425" t="inlineStr">
        <is>
          <t>VÄRMLANDS LÄN</t>
        </is>
      </c>
      <c r="G425" t="inlineStr">
        <is>
          <t>KRISTINEHAMN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46302</v>
      </c>
      <c r="E426" s="1" t="n">
        <v>46306</v>
      </c>
      <c r="F426" t="inlineStr">
        <is>
          <t>VÄRMLANDS LÄN</t>
        </is>
      </c>
      <c r="G426" t="inlineStr">
        <is>
          <t>KRISTINEHAMN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46306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1219-2020</t>
        </is>
      </c>
      <c r="B428" t="inlineStr">
        <is>
          <t>samrådsanmälan</t>
        </is>
      </c>
      <c r="C428" t="n">
        <v/>
      </c>
      <c r="D428" s="1" t="n">
        <v>43980</v>
      </c>
      <c r="E428" s="1" t="n">
        <v>46306</v>
      </c>
      <c r="F428" t="inlineStr">
        <is>
          <t>VÄRMLANDS LÄN</t>
        </is>
      </c>
      <c r="G428" t="inlineStr">
        <is>
          <t>KRISTINEHAMN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46306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2879-2022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44711</v>
      </c>
      <c r="E430" s="1" t="n">
        <v>46306</v>
      </c>
      <c r="F430" t="inlineStr">
        <is>
          <t>VÄRMLANDS LÄN</t>
        </is>
      </c>
      <c r="G430" t="inlineStr">
        <is>
          <t>KRISTINEHAMN</t>
        </is>
      </c>
      <c r="I430" t="n">
        <v>25.9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2393-2022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44690</v>
      </c>
      <c r="E431" s="1" t="n">
        <v>46306</v>
      </c>
      <c r="F431" t="inlineStr">
        <is>
          <t>VÄRMLANDS LÄN</t>
        </is>
      </c>
      <c r="G431" t="inlineStr">
        <is>
          <t>KRISTINEHAMN</t>
        </is>
      </c>
      <c r="I431" t="n">
        <v>51.7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4147-2023</t>
        </is>
      </c>
      <c r="B432" t="inlineStr">
        <is>
          <t>samrådsanmälan</t>
        </is>
      </c>
      <c r="C432" t="inlineStr">
        <is>
          <t>Skogsgödsling</t>
        </is>
      </c>
      <c r="D432" s="1" t="n">
        <v>45247</v>
      </c>
      <c r="E432" s="1" t="n">
        <v>46306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13.5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4149-2023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46306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9.5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2254-2023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45103</v>
      </c>
      <c r="E434" s="1" t="n">
        <v>46306</v>
      </c>
      <c r="F434" t="inlineStr">
        <is>
          <t>VÄRMLANDS LÄN</t>
        </is>
      </c>
      <c r="G434" t="inlineStr">
        <is>
          <t>KRISTINEHAMN</t>
        </is>
      </c>
      <c r="I434" t="n">
        <v>51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1899-2024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45442</v>
      </c>
      <c r="E435" s="1" t="n">
        <v>46306</v>
      </c>
      <c r="F435" t="inlineStr">
        <is>
          <t>VÄRMLANDS LÄN</t>
        </is>
      </c>
      <c r="G435" t="inlineStr">
        <is>
          <t>KRISTINEHAMN</t>
        </is>
      </c>
      <c r="I435" t="n">
        <v>21.4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2301-2024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45463</v>
      </c>
      <c r="E436" s="1" t="n">
        <v>46306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28.1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2553-2024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46306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46306</v>
      </c>
      <c r="F438" t="inlineStr">
        <is>
          <t>VÄRMLANDS LÄN</t>
        </is>
      </c>
      <c r="G438" t="inlineStr">
        <is>
          <t>KRISTINEHAMN</t>
        </is>
      </c>
      <c r="I438" t="n">
        <v>53.7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1903-2024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46306</v>
      </c>
      <c r="F439" t="inlineStr">
        <is>
          <t>VÄRMLANDS LÄN</t>
        </is>
      </c>
      <c r="G439" t="inlineStr">
        <is>
          <t>KRISTINEHAMN</t>
        </is>
      </c>
      <c r="I439" t="n">
        <v>104.3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717-2023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44985</v>
      </c>
      <c r="E440" s="1" t="n">
        <v>46306</v>
      </c>
      <c r="F440" t="inlineStr">
        <is>
          <t>VÄRMLANDS LÄN</t>
        </is>
      </c>
      <c r="G440" t="inlineStr">
        <is>
          <t>KRISTINEHAMN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1412-2024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45414</v>
      </c>
      <c r="E441" s="1" t="n">
        <v>46306</v>
      </c>
      <c r="F441" t="inlineStr">
        <is>
          <t>VÄRMLANDS LÄN</t>
        </is>
      </c>
      <c r="G441" t="inlineStr">
        <is>
          <t>KRISTINEHAMN</t>
        </is>
      </c>
      <c r="I441" t="n">
        <v>42.9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1900-2024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46306</v>
      </c>
      <c r="F442" t="inlineStr">
        <is>
          <t>VÄRMLANDS LÄN</t>
        </is>
      </c>
      <c r="G442" t="inlineStr">
        <is>
          <t>KRISTINEHAMN</t>
        </is>
      </c>
      <c r="I442" t="n">
        <v>63.5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3374-2024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46306</v>
      </c>
      <c r="F443" t="inlineStr">
        <is>
          <t>VÄRMLANDS LÄN</t>
        </is>
      </c>
      <c r="G443" t="inlineStr">
        <is>
          <t>KRISTINEHAMN</t>
        </is>
      </c>
      <c r="I443" t="n">
        <v>18.3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2464-2023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45118</v>
      </c>
      <c r="E444" s="1" t="n">
        <v>46306</v>
      </c>
      <c r="F444" t="inlineStr">
        <is>
          <t>VÄRMLANDS LÄN</t>
        </is>
      </c>
      <c r="G444" t="inlineStr">
        <is>
          <t>KRISTINEHAMN</t>
        </is>
      </c>
      <c r="I444" t="n">
        <v>42.3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4146-2023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45247</v>
      </c>
      <c r="E445" s="1" t="n">
        <v>46306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Bergvik skog väst AB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3007-2024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45512</v>
      </c>
      <c r="E446" s="1" t="n">
        <v>46306</v>
      </c>
      <c r="F446" t="inlineStr">
        <is>
          <t>VÄRMLANDS LÄN</t>
        </is>
      </c>
      <c r="G446" t="inlineStr">
        <is>
          <t>KRISTINEHAMN</t>
        </is>
      </c>
      <c r="I446" t="n">
        <v>56.9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45783</v>
      </c>
      <c r="E447" s="1" t="n">
        <v>46306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1546-2025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45792</v>
      </c>
      <c r="E448" s="1" t="n">
        <v>46306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1698-2025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45805</v>
      </c>
      <c r="E449" s="1" t="n">
        <v>46306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46040</v>
      </c>
      <c r="E450" s="1" t="n">
        <v>46306</v>
      </c>
      <c r="F450" t="inlineStr">
        <is>
          <t>VÄRMLANDS LÄN</t>
        </is>
      </c>
      <c r="G450" t="inlineStr">
        <is>
          <t>KRISTINEHAMN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865-2026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46106</v>
      </c>
      <c r="E451" s="1" t="n">
        <v>46306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99-2026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46036</v>
      </c>
      <c r="E452" s="1" t="n">
        <v>46306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80.8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2026-10-11T02:02:14Z</dcterms:created>
  <dcterms:modified xmlns:dcterms="http://purl.org/dc/terms/" xmlns:xsi="http://www.w3.org/2001/XMLSchema-instance" xsi:type="dcterms:W3CDTF">2026-10-11T02:02:15Z</dcterms:modified>
</cp:coreProperties>
</file>