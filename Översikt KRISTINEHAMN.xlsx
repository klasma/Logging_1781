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46248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46248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46248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46248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46248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46248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46248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46248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46248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46248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46248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46248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46248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68497-2021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46248</v>
      </c>
      <c r="F15" t="inlineStr">
        <is>
          <t>VÄRMLANDS LÄN</t>
        </is>
      </c>
      <c r="G15" t="inlineStr">
        <is>
          <t>KRISTINEHAMN</t>
        </is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1</v>
      </c>
      <c r="V15" s="2" t="inlineStr">
        <is>
          <t>Slåttergubbe</t>
        </is>
      </c>
      <c r="W15">
        <f>HYPERLINK("https://klasma.github.io/Logging_1781/artfynd/A 68497-2021 artfynd.xlsx", "A 68497-2021")</f>
        <v/>
      </c>
      <c r="X15">
        <f>HYPERLINK("https://klasma.github.io/Logging_1781/kartor/A 68497-2021 karta.png", "A 68497-2021")</f>
        <v/>
      </c>
      <c r="Y15">
        <f>HYPERLINK("https://klasma.github.io/Logging_1781/kartor_geotiff/A 68497-2021 georefererad karta.tif", "A 68497-2021")</f>
        <v/>
      </c>
      <c r="AA15">
        <f>HYPERLINK("https://klasma.github.io/Logging_1781/klagomål/A 68497-2021 FSC-klagomål.docx", "A 68497-2021")</f>
        <v/>
      </c>
      <c r="AB15">
        <f>HYPERLINK("https://klasma.github.io/Logging_1781/klagomålsmail/A 68497-2021 FSC-klagomål mail.docx", "A 68497-2021")</f>
        <v/>
      </c>
      <c r="AC15">
        <f>HYPERLINK("https://klasma.github.io/Logging_1781/tillsyn/A 68497-2021 tillsynsbegäran.docx", "A 68497-2021")</f>
        <v/>
      </c>
      <c r="AD15">
        <f>HYPERLINK("https://klasma.github.io/Logging_1781/tillsynsmail/A 68497-2021 tillsynsbegäran mail.docx", "A 68497-2021")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46248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46248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1734-2022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46248</v>
      </c>
      <c r="F18" t="inlineStr">
        <is>
          <t>VÄRMLANDS LÄN</t>
        </is>
      </c>
      <c r="G18" t="inlineStr">
        <is>
          <t>KRISTINEHAMN</t>
        </is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Hasselmus</t>
        </is>
      </c>
      <c r="W18">
        <f>HYPERLINK("https://klasma.github.io/Logging_1781/artfynd/A 1734-2022 artfynd.xlsx", "A 1734-2022")</f>
        <v/>
      </c>
      <c r="X18">
        <f>HYPERLINK("https://klasma.github.io/Logging_1781/kartor/A 1734-2022 karta.png", "A 1734-2022")</f>
        <v/>
      </c>
      <c r="Y18">
        <f>HYPERLINK("https://klasma.github.io/Logging_1781/kartor_geotiff/A 1734-2022 georefererad karta.tif", "A 1734-2022")</f>
        <v/>
      </c>
      <c r="AA18">
        <f>HYPERLINK("https://klasma.github.io/Logging_1781/klagomål/A 1734-2022 FSC-klagomål.docx", "A 1734-2022")</f>
        <v/>
      </c>
      <c r="AB18">
        <f>HYPERLINK("https://klasma.github.io/Logging_1781/klagomålsmail/A 1734-2022 FSC-klagomål mail.docx", "A 1734-2022")</f>
        <v/>
      </c>
      <c r="AC18">
        <f>HYPERLINK("https://klasma.github.io/Logging_1781/tillsyn/A 1734-2022 tillsynsbegäran.docx", "A 1734-2022")</f>
        <v/>
      </c>
      <c r="AD18">
        <f>HYPERLINK("https://klasma.github.io/Logging_1781/tillsynsmail/A 1734-2022 tillsynsbegäran mail.docx", "A 1734-2022")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46248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46248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54771-2022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44883</v>
      </c>
      <c r="E21" s="1" t="n">
        <v>46248</v>
      </c>
      <c r="F21" t="inlineStr">
        <is>
          <t>VÄRMLANDS LÄN</t>
        </is>
      </c>
      <c r="G21" t="inlineStr">
        <is>
          <t>KRISTINEHAMN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HYPERLINK("https://klasma.github.io/Logging_1781/artfynd/A 54771-2022 artfynd.xlsx", "A 54771-2022")</f>
        <v/>
      </c>
      <c r="X21">
        <f>HYPERLINK("https://klasma.github.io/Logging_1781/kartor/A 54771-2022 karta.png", "A 54771-2022")</f>
        <v/>
      </c>
      <c r="Y21">
        <f>HYPERLINK("https://klasma.github.io/Logging_1781/kartor_geotiff/A 54771-2022 georefererad karta.tif", "A 54771-2022")</f>
        <v/>
      </c>
      <c r="AA21">
        <f>HYPERLINK("https://klasma.github.io/Logging_1781/klagomål/A 54771-2022 FSC-klagomål.docx", "A 54771-2022")</f>
        <v/>
      </c>
      <c r="AB21">
        <f>HYPERLINK("https://klasma.github.io/Logging_1781/klagomålsmail/A 54771-2022 FSC-klagomål mail.docx", "A 54771-2022")</f>
        <v/>
      </c>
      <c r="AC21">
        <f>HYPERLINK("https://klasma.github.io/Logging_1781/tillsyn/A 54771-2022 tillsynsbegäran.docx", "A 54771-2022")</f>
        <v/>
      </c>
      <c r="AD21">
        <f>HYPERLINK("https://klasma.github.io/Logging_1781/tillsynsmail/A 54771-2022 tillsynsbegäran mail.docx", "A 54771-2022")</f>
        <v/>
      </c>
      <c r="AE21">
        <f>HYPERLINK("https://klasma.github.io/Logging_1781/fåglar/A 54771-2022 prioriterade fågelarter.docx", "A 54771-2022")</f>
        <v/>
      </c>
    </row>
    <row r="22" ht="15" customHeight="1">
      <c r="A22" t="inlineStr">
        <is>
          <t>A 45122-2022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44843</v>
      </c>
      <c r="E22" s="1" t="n">
        <v>46248</v>
      </c>
      <c r="F22" t="inlineStr">
        <is>
          <t>VÄRMLANDS LÄN</t>
        </is>
      </c>
      <c r="G22" t="inlineStr">
        <is>
          <t>KRISTINEHAMN</t>
        </is>
      </c>
      <c r="I22" t="n">
        <v>3.3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Dvärglin</t>
        </is>
      </c>
      <c r="W22">
        <f>HYPERLINK("https://klasma.github.io/Logging_1781/artfynd/A 45122-2022 artfynd.xlsx", "A 45122-2022")</f>
        <v/>
      </c>
      <c r="X22">
        <f>HYPERLINK("https://klasma.github.io/Logging_1781/kartor/A 45122-2022 karta.png", "A 45122-2022")</f>
        <v/>
      </c>
      <c r="Y22">
        <f>HYPERLINK("https://klasma.github.io/Logging_1781/kartor_geotiff/A 45122-2022 georefererad karta.tif", "A 45122-2022")</f>
        <v/>
      </c>
      <c r="AA22">
        <f>HYPERLINK("https://klasma.github.io/Logging_1781/klagomål/A 45122-2022 FSC-klagomål.docx", "A 45122-2022")</f>
        <v/>
      </c>
      <c r="AB22">
        <f>HYPERLINK("https://klasma.github.io/Logging_1781/klagomålsmail/A 45122-2022 FSC-klagomål mail.docx", "A 45122-2022")</f>
        <v/>
      </c>
      <c r="AC22">
        <f>HYPERLINK("https://klasma.github.io/Logging_1781/tillsyn/A 45122-2022 tillsynsbegäran.docx", "A 45122-2022")</f>
        <v/>
      </c>
      <c r="AD22">
        <f>HYPERLINK("https://klasma.github.io/Logging_1781/tillsynsmail/A 45122-2022 tillsynsbegäran mail.docx", "A 45122-2022")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46248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12593-2024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45380</v>
      </c>
      <c r="E24" s="1" t="n">
        <v>46248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Bombmurkla</t>
        </is>
      </c>
      <c r="W24">
        <f>HYPERLINK("https://klasma.github.io/Logging_1781/artfynd/A 12593-2024 artfynd.xlsx", "A 12593-2024")</f>
        <v/>
      </c>
      <c r="X24">
        <f>HYPERLINK("https://klasma.github.io/Logging_1781/kartor/A 12593-2024 karta.png", "A 12593-2024")</f>
        <v/>
      </c>
      <c r="Y24">
        <f>HYPERLINK("https://klasma.github.io/Logging_1781/kartor_geotiff/A 12593-2024 georefererad karta.tif", "A 12593-2024")</f>
        <v/>
      </c>
      <c r="AA24">
        <f>HYPERLINK("https://klasma.github.io/Logging_1781/klagomål/A 12593-2024 FSC-klagomål.docx", "A 12593-2024")</f>
        <v/>
      </c>
      <c r="AB24">
        <f>HYPERLINK("https://klasma.github.io/Logging_1781/klagomålsmail/A 12593-2024 FSC-klagomål mail.docx", "A 12593-2024")</f>
        <v/>
      </c>
      <c r="AC24">
        <f>HYPERLINK("https://klasma.github.io/Logging_1781/tillsyn/A 12593-2024 tillsynsbegäran.docx", "A 12593-2024")</f>
        <v/>
      </c>
      <c r="AD24">
        <f>HYPERLINK("https://klasma.github.io/Logging_1781/tillsynsmail/A 12593-2024 tillsynsbegäran mail.docx", "A 12593-2024")</f>
        <v/>
      </c>
    </row>
    <row r="25" ht="15" customHeight="1">
      <c r="A25" t="inlineStr">
        <is>
          <t>A 8714-2024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45356</v>
      </c>
      <c r="E25" s="1" t="n">
        <v>46248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8714-2024 artfynd.xlsx", "A 8714-2024")</f>
        <v/>
      </c>
      <c r="X25">
        <f>HYPERLINK("https://klasma.github.io/Logging_1781/kartor/A 8714-2024 karta.png", "A 8714-2024")</f>
        <v/>
      </c>
      <c r="Y25">
        <f>HYPERLINK("https://klasma.github.io/Logging_1781/kartor_geotiff/A 8714-2024 georefererad karta.tif", "A 8714-2024")</f>
        <v/>
      </c>
      <c r="AA25">
        <f>HYPERLINK("https://klasma.github.io/Logging_1781/klagomål/A 8714-2024 FSC-klagomål.docx", "A 8714-2024")</f>
        <v/>
      </c>
      <c r="AB25">
        <f>HYPERLINK("https://klasma.github.io/Logging_1781/klagomålsmail/A 8714-2024 FSC-klagomål mail.docx", "A 8714-2024")</f>
        <v/>
      </c>
      <c r="AC25">
        <f>HYPERLINK("https://klasma.github.io/Logging_1781/tillsyn/A 8714-2024 tillsynsbegäran.docx", "A 8714-2024")</f>
        <v/>
      </c>
      <c r="AD25">
        <f>HYPERLINK("https://klasma.github.io/Logging_1781/tillsynsmail/A 8714-2024 tillsynsbegäran mail.docx", "A 8714-2024")</f>
        <v/>
      </c>
    </row>
    <row r="26" ht="15" customHeight="1">
      <c r="A26" t="inlineStr">
        <is>
          <t>A 25888-2025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45804</v>
      </c>
      <c r="E26" s="1" t="n">
        <v>46248</v>
      </c>
      <c r="F26" t="inlineStr">
        <is>
          <t>VÄRMLANDS LÄN</t>
        </is>
      </c>
      <c r="G26" t="inlineStr">
        <is>
          <t>KRISTINEHAMN</t>
        </is>
      </c>
      <c r="I26" t="n">
        <v>5.9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HYPERLINK("https://klasma.github.io/Logging_1781/artfynd/A 25888-2025 artfynd.xlsx", "A 25888-2025")</f>
        <v/>
      </c>
      <c r="X26">
        <f>HYPERLINK("https://klasma.github.io/Logging_1781/kartor/A 25888-2025 karta.png", "A 25888-2025")</f>
        <v/>
      </c>
      <c r="Y26">
        <f>HYPERLINK("https://klasma.github.io/Logging_1781/kartor_geotiff/A 25888-2025 georefererad karta.tif", "A 25888-2025")</f>
        <v/>
      </c>
      <c r="AA26">
        <f>HYPERLINK("https://klasma.github.io/Logging_1781/klagomål/A 25888-2025 FSC-klagomål.docx", "A 25888-2025")</f>
        <v/>
      </c>
      <c r="AB26">
        <f>HYPERLINK("https://klasma.github.io/Logging_1781/klagomålsmail/A 25888-2025 FSC-klagomål mail.docx", "A 25888-2025")</f>
        <v/>
      </c>
      <c r="AC26">
        <f>HYPERLINK("https://klasma.github.io/Logging_1781/tillsyn/A 25888-2025 tillsynsbegäran.docx", "A 25888-2025")</f>
        <v/>
      </c>
      <c r="AD26">
        <f>HYPERLINK("https://klasma.github.io/Logging_1781/tillsynsmail/A 25888-2025 tillsynsbegäran mail.docx", "A 25888-2025")</f>
        <v/>
      </c>
      <c r="AE26">
        <f>HYPERLINK("https://klasma.github.io/Logging_1781/fåglar/A 25888-2025 prioriterade fågelarter.docx", "A 25888-2025")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46248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20746-2026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46248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6.3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20746-2026 artfynd.xlsx", "A 20746-2026")</f>
        <v/>
      </c>
      <c r="X28">
        <f>HYPERLINK("https://klasma.github.io/Logging_1781/kartor/A 20746-2026 karta.png", "A 20746-2026")</f>
        <v/>
      </c>
      <c r="Y28">
        <f>HYPERLINK("https://klasma.github.io/Logging_1781/kartor_geotiff/A 20746-2026 georefererad karta.tif", "A 20746-2026")</f>
        <v/>
      </c>
      <c r="AA28">
        <f>HYPERLINK("https://klasma.github.io/Logging_1781/klagomål/A 20746-2026 FSC-klagomål.docx", "A 20746-2026")</f>
        <v/>
      </c>
      <c r="AB28">
        <f>HYPERLINK("https://klasma.github.io/Logging_1781/klagomålsmail/A 20746-2026 FSC-klagomål mail.docx", "A 20746-2026")</f>
        <v/>
      </c>
      <c r="AC28">
        <f>HYPERLINK("https://klasma.github.io/Logging_1781/tillsyn/A 20746-2026 tillsynsbegäran.docx", "A 20746-2026")</f>
        <v/>
      </c>
      <c r="AD28">
        <f>HYPERLINK("https://klasma.github.io/Logging_1781/tillsynsmail/A 20746-2026 tillsynsbegäran mail.docx", "A 20746-2026")</f>
        <v/>
      </c>
    </row>
    <row r="29" ht="15" customHeight="1">
      <c r="A29" t="inlineStr">
        <is>
          <t>A 53607-2025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46248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53607-2025 artfynd.xlsx", "A 53607-2025")</f>
        <v/>
      </c>
      <c r="X29">
        <f>HYPERLINK("https://klasma.github.io/Logging_1781/kartor/A 53607-2025 karta.png", "A 53607-2025")</f>
        <v/>
      </c>
      <c r="Y29">
        <f>HYPERLINK("https://klasma.github.io/Logging_1781/kartor_geotiff/A 53607-2025 georefererad karta.tif", "A 53607-2025")</f>
        <v/>
      </c>
      <c r="AA29">
        <f>HYPERLINK("https://klasma.github.io/Logging_1781/klagomål/A 53607-2025 FSC-klagomål.docx", "A 53607-2025")</f>
        <v/>
      </c>
      <c r="AB29">
        <f>HYPERLINK("https://klasma.github.io/Logging_1781/klagomålsmail/A 53607-2025 FSC-klagomål mail.docx", "A 53607-2025")</f>
        <v/>
      </c>
      <c r="AC29">
        <f>HYPERLINK("https://klasma.github.io/Logging_1781/tillsyn/A 53607-2025 tillsynsbegäran.docx", "A 53607-2025")</f>
        <v/>
      </c>
      <c r="AD29">
        <f>HYPERLINK("https://klasma.github.io/Logging_1781/tillsynsmail/A 53607-2025 tillsynsbegäran mail.docx", "A 53607-2025")</f>
        <v/>
      </c>
    </row>
    <row r="30" ht="15" customHeight="1">
      <c r="A30" t="inlineStr">
        <is>
          <t>A 53630-2025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46248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53630-2025 artfynd.xlsx", "A 53630-2025")</f>
        <v/>
      </c>
      <c r="X30">
        <f>HYPERLINK("https://klasma.github.io/Logging_1781/kartor/A 53630-2025 karta.png", "A 53630-2025")</f>
        <v/>
      </c>
      <c r="Y30">
        <f>HYPERLINK("https://klasma.github.io/Logging_1781/kartor_geotiff/A 53630-2025 georefererad karta.tif", "A 53630-2025")</f>
        <v/>
      </c>
      <c r="AA30">
        <f>HYPERLINK("https://klasma.github.io/Logging_1781/klagomål/A 53630-2025 FSC-klagomål.docx", "A 53630-2025")</f>
        <v/>
      </c>
      <c r="AB30">
        <f>HYPERLINK("https://klasma.github.io/Logging_1781/klagomålsmail/A 53630-2025 FSC-klagomål mail.docx", "A 53630-2025")</f>
        <v/>
      </c>
      <c r="AC30">
        <f>HYPERLINK("https://klasma.github.io/Logging_1781/tillsyn/A 53630-2025 tillsynsbegäran.docx", "A 53630-2025")</f>
        <v/>
      </c>
      <c r="AD30">
        <f>HYPERLINK("https://klasma.github.io/Logging_1781/tillsynsmail/A 53630-2025 tillsynsbegäran mail.docx", "A 53630-2025")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46248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46248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60714-2025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46248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Björksplintborre</t>
        </is>
      </c>
      <c r="W33">
        <f>HYPERLINK("https://klasma.github.io/Logging_1781/artfynd/A 60714-2025 artfynd.xlsx", "A 60714-2025")</f>
        <v/>
      </c>
      <c r="X33">
        <f>HYPERLINK("https://klasma.github.io/Logging_1781/kartor/A 60714-2025 karta.png", "A 60714-2025")</f>
        <v/>
      </c>
      <c r="Y33">
        <f>HYPERLINK("https://klasma.github.io/Logging_1781/kartor_geotiff/A 60714-2025 georefererad karta.tif", "A 60714-2025")</f>
        <v/>
      </c>
      <c r="AA33">
        <f>HYPERLINK("https://klasma.github.io/Logging_1781/klagomål/A 60714-2025 FSC-klagomål.docx", "A 60714-2025")</f>
        <v/>
      </c>
      <c r="AB33">
        <f>HYPERLINK("https://klasma.github.io/Logging_1781/klagomålsmail/A 60714-2025 FSC-klagomål mail.docx", "A 60714-2025")</f>
        <v/>
      </c>
      <c r="AC33">
        <f>HYPERLINK("https://klasma.github.io/Logging_1781/tillsyn/A 60714-2025 tillsynsbegäran.docx", "A 60714-2025")</f>
        <v/>
      </c>
      <c r="AD33">
        <f>HYPERLINK("https://klasma.github.io/Logging_1781/tillsynsmail/A 60714-2025 tillsynsbegäran mail.docx", "A 60714-2025")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46248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14762-2026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46248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14762-2026 artfynd.xlsx", "A 14762-2026")</f>
        <v/>
      </c>
      <c r="X35">
        <f>HYPERLINK("https://klasma.github.io/Logging_1781/kartor/A 14762-2026 karta.png", "A 14762-2026")</f>
        <v/>
      </c>
      <c r="Y35">
        <f>HYPERLINK("https://klasma.github.io/Logging_1781/kartor_geotiff/A 14762-2026 georefererad karta.tif", "A 14762-2026")</f>
        <v/>
      </c>
      <c r="AA35">
        <f>HYPERLINK("https://klasma.github.io/Logging_1781/klagomål/A 14762-2026 FSC-klagomål.docx", "A 14762-2026")</f>
        <v/>
      </c>
      <c r="AB35">
        <f>HYPERLINK("https://klasma.github.io/Logging_1781/klagomålsmail/A 14762-2026 FSC-klagomål mail.docx", "A 14762-2026")</f>
        <v/>
      </c>
      <c r="AC35">
        <f>HYPERLINK("https://klasma.github.io/Logging_1781/tillsyn/A 14762-2026 tillsynsbegäran.docx", "A 14762-2026")</f>
        <v/>
      </c>
      <c r="AD35">
        <f>HYPERLINK("https://klasma.github.io/Logging_1781/tillsynsmail/A 14762-2026 tillsynsbegäran mail.docx", "A 14762-2026")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46248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46248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46248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46248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46248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46248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46248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46248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46248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46248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46248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46248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46248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46248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46248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46248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46248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46248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46248</v>
      </c>
      <c r="F54" t="inlineStr">
        <is>
          <t>VÄRMLANDS LÄN</t>
        </is>
      </c>
      <c r="G54" t="inlineStr">
        <is>
          <t>KRISTINEHAMN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73568-2021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44551</v>
      </c>
      <c r="E55" s="1" t="n">
        <v>46248</v>
      </c>
      <c r="F55" t="inlineStr">
        <is>
          <t>VÄRMLANDS LÄN</t>
        </is>
      </c>
      <c r="G55" t="inlineStr">
        <is>
          <t>KRISTINEHAMN</t>
        </is>
      </c>
      <c r="I55" t="n">
        <v>13.9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46248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46248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46248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46248</v>
      </c>
      <c r="F59" t="inlineStr">
        <is>
          <t>VÄRMLANDS LÄN</t>
        </is>
      </c>
      <c r="G59" t="inlineStr">
        <is>
          <t>KRISTINEHAMN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45662-2021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46248</v>
      </c>
      <c r="F60" t="inlineStr">
        <is>
          <t>VÄRMLANDS LÄN</t>
        </is>
      </c>
      <c r="G60" t="inlineStr">
        <is>
          <t>KRISTINEHAMN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48206-2021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44449</v>
      </c>
      <c r="E61" s="1" t="n">
        <v>46248</v>
      </c>
      <c r="F61" t="inlineStr">
        <is>
          <t>VÄRMLANDS LÄN</t>
        </is>
      </c>
      <c r="G61" t="inlineStr">
        <is>
          <t>KRISTINEHAMN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52853-2021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46248</v>
      </c>
      <c r="F62" t="inlineStr">
        <is>
          <t>VÄRMLANDS LÄN</t>
        </is>
      </c>
      <c r="G62" t="inlineStr">
        <is>
          <t>KRISTINEHAMN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46248</v>
      </c>
      <c r="F63" t="inlineStr">
        <is>
          <t>VÄRMLANDS LÄN</t>
        </is>
      </c>
      <c r="G63" t="inlineStr">
        <is>
          <t>KRISTINEHAMN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44576</v>
      </c>
      <c r="E64" s="1" t="n">
        <v>46248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34125-2022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44791</v>
      </c>
      <c r="E65" s="1" t="n">
        <v>46248</v>
      </c>
      <c r="F65" t="inlineStr">
        <is>
          <t>VÄRMLANDS LÄN</t>
        </is>
      </c>
      <c r="G65" t="inlineStr">
        <is>
          <t>KRISTINEHAMN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46248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46248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45481-2021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44440</v>
      </c>
      <c r="E68" s="1" t="n">
        <v>46248</v>
      </c>
      <c r="F68" t="inlineStr">
        <is>
          <t>VÄRMLANDS LÄN</t>
        </is>
      </c>
      <c r="G68" t="inlineStr">
        <is>
          <t>KRISTINEHAMN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46248</v>
      </c>
      <c r="F69" t="inlineStr">
        <is>
          <t>VÄRMLANDS LÄN</t>
        </is>
      </c>
      <c r="G69" t="inlineStr">
        <is>
          <t>KRISTINEHAMN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44662</v>
      </c>
      <c r="E70" s="1" t="n">
        <v>46248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44829</v>
      </c>
      <c r="E71" s="1" t="n">
        <v>46248</v>
      </c>
      <c r="F71" t="inlineStr">
        <is>
          <t>VÄRMLANDS LÄN</t>
        </is>
      </c>
      <c r="G71" t="inlineStr">
        <is>
          <t>KRISTINEHAMN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46248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46248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46248</v>
      </c>
      <c r="F74" t="inlineStr">
        <is>
          <t>VÄRMLANDS LÄN</t>
        </is>
      </c>
      <c r="G74" t="inlineStr">
        <is>
          <t>KRISTINEHAMN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46248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46248</v>
      </c>
      <c r="F76" t="inlineStr">
        <is>
          <t>VÄRMLANDS LÄN</t>
        </is>
      </c>
      <c r="G76" t="inlineStr">
        <is>
          <t>KRISTINEHAMN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44834</v>
      </c>
      <c r="E77" s="1" t="n">
        <v>46248</v>
      </c>
      <c r="F77" t="inlineStr">
        <is>
          <t>VÄRMLANDS LÄN</t>
        </is>
      </c>
      <c r="G77" t="inlineStr">
        <is>
          <t>KRISTINEHAMN</t>
        </is>
      </c>
      <c r="I77" t="n">
        <v>12.1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46248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46248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37794-2022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44810</v>
      </c>
      <c r="E80" s="1" t="n">
        <v>46248</v>
      </c>
      <c r="F80" t="inlineStr">
        <is>
          <t>VÄRMLANDS LÄN</t>
        </is>
      </c>
      <c r="G80" t="inlineStr">
        <is>
          <t>KRISTINEHAMN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46248</v>
      </c>
      <c r="F81" t="inlineStr">
        <is>
          <t>VÄRMLANDS LÄN</t>
        </is>
      </c>
      <c r="G81" t="inlineStr">
        <is>
          <t>KRISTINEHAMN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46248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46248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46248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44591</v>
      </c>
      <c r="E85" s="1" t="n">
        <v>46248</v>
      </c>
      <c r="F85" t="inlineStr">
        <is>
          <t>VÄRMLANDS LÄN</t>
        </is>
      </c>
      <c r="G85" t="inlineStr">
        <is>
          <t>KRISTINEHAMN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44448</v>
      </c>
      <c r="E86" s="1" t="n">
        <v>46248</v>
      </c>
      <c r="F86" t="inlineStr">
        <is>
          <t>VÄRMLANDS LÄN</t>
        </is>
      </c>
      <c r="G86" t="inlineStr">
        <is>
          <t>KRISTINEHAMN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46248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66442-2021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46248</v>
      </c>
      <c r="F88" t="inlineStr">
        <is>
          <t>VÄRMLANDS LÄN</t>
        </is>
      </c>
      <c r="G88" t="inlineStr">
        <is>
          <t>KRISTINEHAMN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61707-2021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46248</v>
      </c>
      <c r="F89" t="inlineStr">
        <is>
          <t>VÄRMLANDS LÄN</t>
        </is>
      </c>
      <c r="G89" t="inlineStr">
        <is>
          <t>KRISTINEHAMN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44584</v>
      </c>
      <c r="E90" s="1" t="n">
        <v>46248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44741</v>
      </c>
      <c r="E91" s="1" t="n">
        <v>46248</v>
      </c>
      <c r="F91" t="inlineStr">
        <is>
          <t>VÄRMLANDS LÄN</t>
        </is>
      </c>
      <c r="G91" t="inlineStr">
        <is>
          <t>KRISTINEHAMN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46248</v>
      </c>
      <c r="F92" t="inlineStr">
        <is>
          <t>VÄRMLANDS LÄN</t>
        </is>
      </c>
      <c r="G92" t="inlineStr">
        <is>
          <t>KRISTINEHAMN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46248</v>
      </c>
      <c r="F93" t="inlineStr">
        <is>
          <t>VÄRMLANDS LÄN</t>
        </is>
      </c>
      <c r="G93" t="inlineStr">
        <is>
          <t>KRISTINEHAMN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46248</v>
      </c>
      <c r="F94" t="inlineStr">
        <is>
          <t>VÄRMLANDS LÄN</t>
        </is>
      </c>
      <c r="G94" t="inlineStr">
        <is>
          <t>KRISTINEHAMN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45121</v>
      </c>
      <c r="E95" s="1" t="n">
        <v>46248</v>
      </c>
      <c r="F95" t="inlineStr">
        <is>
          <t>VÄRMLANDS LÄN</t>
        </is>
      </c>
      <c r="G95" t="inlineStr">
        <is>
          <t>KRISTINEHAMN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46248</v>
      </c>
      <c r="F96" t="inlineStr">
        <is>
          <t>VÄRMLANDS LÄN</t>
        </is>
      </c>
      <c r="G96" t="inlineStr">
        <is>
          <t>KRISTINEHAMN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46248</v>
      </c>
      <c r="F97" t="inlineStr">
        <is>
          <t>VÄRMLANDS LÄN</t>
        </is>
      </c>
      <c r="G97" t="inlineStr">
        <is>
          <t>KRISTINEHAMN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13459-2024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45387</v>
      </c>
      <c r="E98" s="1" t="n">
        <v>46248</v>
      </c>
      <c r="F98" t="inlineStr">
        <is>
          <t>VÄRMLANDS LÄN</t>
        </is>
      </c>
      <c r="G98" t="inlineStr">
        <is>
          <t>KRISTINEHAMN</t>
        </is>
      </c>
      <c r="H98" t="inlineStr">
        <is>
          <t>Naturvårdsverket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19638-2025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45770</v>
      </c>
      <c r="E99" s="1" t="n">
        <v>46248</v>
      </c>
      <c r="F99" t="inlineStr">
        <is>
          <t>VÄRMLANDS LÄN</t>
        </is>
      </c>
      <c r="G99" t="inlineStr">
        <is>
          <t>KRISTINEHAMN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46248</v>
      </c>
      <c r="F100" t="inlineStr">
        <is>
          <t>VÄRMLANDS LÄN</t>
        </is>
      </c>
      <c r="G100" t="inlineStr">
        <is>
          <t>KRISTINEHAMN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45450</v>
      </c>
      <c r="E101" s="1" t="n">
        <v>46248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Kommuner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45593</v>
      </c>
      <c r="E102" s="1" t="n">
        <v>46248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46248</v>
      </c>
      <c r="F103" t="inlineStr">
        <is>
          <t>VÄRMLANDS LÄN</t>
        </is>
      </c>
      <c r="G103" t="inlineStr">
        <is>
          <t>KRISTINEHAMN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46248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46248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Kommuner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45252</v>
      </c>
      <c r="E106" s="1" t="n">
        <v>46248</v>
      </c>
      <c r="F106" t="inlineStr">
        <is>
          <t>VÄRMLANDS LÄN</t>
        </is>
      </c>
      <c r="G106" t="inlineStr">
        <is>
          <t>KRISTINEHAMN</t>
        </is>
      </c>
      <c r="I106" t="n">
        <v>19.4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46248</v>
      </c>
      <c r="F107" t="inlineStr">
        <is>
          <t>VÄRMLANDS LÄN</t>
        </is>
      </c>
      <c r="G107" t="inlineStr">
        <is>
          <t>KRISTINEHAMN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46248</v>
      </c>
      <c r="F108" t="inlineStr">
        <is>
          <t>VÄRMLANDS LÄN</t>
        </is>
      </c>
      <c r="G108" t="inlineStr">
        <is>
          <t>KRISTINEHAMN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36792-2023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45154</v>
      </c>
      <c r="E109" s="1" t="n">
        <v>46248</v>
      </c>
      <c r="F109" t="inlineStr">
        <is>
          <t>VÄRMLANDS LÄN</t>
        </is>
      </c>
      <c r="G109" t="inlineStr">
        <is>
          <t>KRISTINEHAMN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46248</v>
      </c>
      <c r="F110" t="inlineStr">
        <is>
          <t>VÄRMLANDS LÄN</t>
        </is>
      </c>
      <c r="G110" t="inlineStr">
        <is>
          <t>KRISTINEHAMN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46248</v>
      </c>
      <c r="F111" t="inlineStr">
        <is>
          <t>VÄRMLANDS LÄN</t>
        </is>
      </c>
      <c r="G111" t="inlineStr">
        <is>
          <t>KRISTINEHAMN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45749</v>
      </c>
      <c r="E112" s="1" t="n">
        <v>46248</v>
      </c>
      <c r="F112" t="inlineStr">
        <is>
          <t>VÄRMLANDS LÄN</t>
        </is>
      </c>
      <c r="G112" t="inlineStr">
        <is>
          <t>KRISTINEHAMN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45203</v>
      </c>
      <c r="E113" s="1" t="n">
        <v>46248</v>
      </c>
      <c r="F113" t="inlineStr">
        <is>
          <t>VÄRMLANDS LÄN</t>
        </is>
      </c>
      <c r="G113" t="inlineStr">
        <is>
          <t>KRISTINEHAMN</t>
        </is>
      </c>
      <c r="I113" t="n">
        <v>9.300000000000001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32409-2023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45110</v>
      </c>
      <c r="E114" s="1" t="n">
        <v>46248</v>
      </c>
      <c r="F114" t="inlineStr">
        <is>
          <t>VÄRMLANDS LÄN</t>
        </is>
      </c>
      <c r="G114" t="inlineStr">
        <is>
          <t>KRISTINEHAMN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46248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46248</v>
      </c>
      <c r="F116" t="inlineStr">
        <is>
          <t>VÄRMLANDS LÄN</t>
        </is>
      </c>
      <c r="G116" t="inlineStr">
        <is>
          <t>KRISTINEHAMN</t>
        </is>
      </c>
      <c r="I116" t="n">
        <v>15.9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46248</v>
      </c>
      <c r="F117" t="inlineStr">
        <is>
          <t>VÄRMLANDS LÄN</t>
        </is>
      </c>
      <c r="G117" t="inlineStr">
        <is>
          <t>KRISTINEHAMN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46248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46248</v>
      </c>
      <c r="F119" t="inlineStr">
        <is>
          <t>VÄRMLANDS LÄN</t>
        </is>
      </c>
      <c r="G119" t="inlineStr">
        <is>
          <t>KRISTINEHAMN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45460</v>
      </c>
      <c r="E120" s="1" t="n">
        <v>46248</v>
      </c>
      <c r="F120" t="inlineStr">
        <is>
          <t>VÄRMLANDS LÄN</t>
        </is>
      </c>
      <c r="G120" t="inlineStr">
        <is>
          <t>KRISTINEHAMN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46248</v>
      </c>
      <c r="F121" t="inlineStr">
        <is>
          <t>VÄRMLANDS LÄN</t>
        </is>
      </c>
      <c r="G121" t="inlineStr">
        <is>
          <t>KRISTINEHAMN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46248</v>
      </c>
      <c r="F122" t="inlineStr">
        <is>
          <t>VÄRMLANDS LÄN</t>
        </is>
      </c>
      <c r="G122" t="inlineStr">
        <is>
          <t>KRISTINEHAMN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46248</v>
      </c>
      <c r="F123" t="inlineStr">
        <is>
          <t>VÄRMLANDS LÄN</t>
        </is>
      </c>
      <c r="G123" t="inlineStr">
        <is>
          <t>KRISTINEHAMN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46248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Kommuner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46248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46248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45693</v>
      </c>
      <c r="E127" s="1" t="n">
        <v>46248</v>
      </c>
      <c r="F127" t="inlineStr">
        <is>
          <t>VÄRMLANDS LÄN</t>
        </is>
      </c>
      <c r="G127" t="inlineStr">
        <is>
          <t>KRISTINEHAMN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44918</v>
      </c>
      <c r="E128" s="1" t="n">
        <v>46248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Kommuner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41857-2023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45176</v>
      </c>
      <c r="E129" s="1" t="n">
        <v>46248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Naturvårdsverket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46248</v>
      </c>
      <c r="F130" t="inlineStr">
        <is>
          <t>VÄRMLANDS LÄN</t>
        </is>
      </c>
      <c r="G130" t="inlineStr">
        <is>
          <t>KRISTINEHAMN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46248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Kommuner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46248</v>
      </c>
      <c r="F132" t="inlineStr">
        <is>
          <t>VÄRMLANDS LÄN</t>
        </is>
      </c>
      <c r="G132" t="inlineStr">
        <is>
          <t>KRISTINEHAMN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45265</v>
      </c>
      <c r="E133" s="1" t="n">
        <v>46248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Naturvårdsverket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46248</v>
      </c>
      <c r="F134" t="inlineStr">
        <is>
          <t>VÄRMLANDS LÄN</t>
        </is>
      </c>
      <c r="G134" t="inlineStr">
        <is>
          <t>KRISTINEHAMN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46248</v>
      </c>
      <c r="F135" t="inlineStr">
        <is>
          <t>VÄRMLANDS LÄN</t>
        </is>
      </c>
      <c r="G135" t="inlineStr">
        <is>
          <t>KRISTINEHAMN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44473</v>
      </c>
      <c r="E136" s="1" t="n">
        <v>46248</v>
      </c>
      <c r="F136" t="inlineStr">
        <is>
          <t>VÄRMLANDS LÄN</t>
        </is>
      </c>
      <c r="G136" t="inlineStr">
        <is>
          <t>KRISTINEHAMN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46248</v>
      </c>
      <c r="F137" t="inlineStr">
        <is>
          <t>VÄRMLANDS LÄN</t>
        </is>
      </c>
      <c r="G137" t="inlineStr">
        <is>
          <t>KRISTINEHAMN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46248</v>
      </c>
      <c r="F138" t="inlineStr">
        <is>
          <t>VÄRMLANDS LÄN</t>
        </is>
      </c>
      <c r="G138" t="inlineStr">
        <is>
          <t>KRISTINEHAMN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46248</v>
      </c>
      <c r="F139" t="inlineStr">
        <is>
          <t>VÄRMLANDS LÄN</t>
        </is>
      </c>
      <c r="G139" t="inlineStr">
        <is>
          <t>KRISTINEHAMN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45686</v>
      </c>
      <c r="E140" s="1" t="n">
        <v>46248</v>
      </c>
      <c r="F140" t="inlineStr">
        <is>
          <t>VÄRMLANDS LÄN</t>
        </is>
      </c>
      <c r="G140" t="inlineStr">
        <is>
          <t>KRISTINEHAMN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45302</v>
      </c>
      <c r="E141" s="1" t="n">
        <v>46248</v>
      </c>
      <c r="F141" t="inlineStr">
        <is>
          <t>VÄRMLANDS LÄN</t>
        </is>
      </c>
      <c r="G141" t="inlineStr">
        <is>
          <t>KRISTINEHAMN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46248</v>
      </c>
      <c r="F142" t="inlineStr">
        <is>
          <t>VÄRMLANDS LÄN</t>
        </is>
      </c>
      <c r="G142" t="inlineStr">
        <is>
          <t>KRISTINEHAMN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46248</v>
      </c>
      <c r="F143" t="inlineStr">
        <is>
          <t>VÄRMLANDS LÄN</t>
        </is>
      </c>
      <c r="G143" t="inlineStr">
        <is>
          <t>KRISTINEHAMN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46248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Bergvik skog väst AB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46248</v>
      </c>
      <c r="F145" t="inlineStr">
        <is>
          <t>VÄRMLANDS LÄN</t>
        </is>
      </c>
      <c r="G145" t="inlineStr">
        <is>
          <t>KRISTINEHAMN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44677</v>
      </c>
      <c r="E146" s="1" t="n">
        <v>46248</v>
      </c>
      <c r="F146" t="inlineStr">
        <is>
          <t>VÄRMLANDS LÄN</t>
        </is>
      </c>
      <c r="G146" t="inlineStr">
        <is>
          <t>KRISTINEHAMN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45361</v>
      </c>
      <c r="E147" s="1" t="n">
        <v>46248</v>
      </c>
      <c r="F147" t="inlineStr">
        <is>
          <t>VÄRMLANDS LÄN</t>
        </is>
      </c>
      <c r="G147" t="inlineStr">
        <is>
          <t>KRISTINEHAMN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45447</v>
      </c>
      <c r="E148" s="1" t="n">
        <v>46248</v>
      </c>
      <c r="F148" t="inlineStr">
        <is>
          <t>VÄRMLANDS LÄN</t>
        </is>
      </c>
      <c r="G148" t="inlineStr">
        <is>
          <t>KRISTINEHAMN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46248</v>
      </c>
      <c r="F149" t="inlineStr">
        <is>
          <t>VÄRMLANDS LÄN</t>
        </is>
      </c>
      <c r="G149" t="inlineStr">
        <is>
          <t>KRISTINEHAMN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45662</v>
      </c>
      <c r="E150" s="1" t="n">
        <v>46248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45097</v>
      </c>
      <c r="E151" s="1" t="n">
        <v>46248</v>
      </c>
      <c r="F151" t="inlineStr">
        <is>
          <t>VÄRMLANDS LÄN</t>
        </is>
      </c>
      <c r="G151" t="inlineStr">
        <is>
          <t>KRISTINEHAMN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46248</v>
      </c>
      <c r="F152" t="inlineStr">
        <is>
          <t>VÄRMLANDS LÄN</t>
        </is>
      </c>
      <c r="G152" t="inlineStr">
        <is>
          <t>KRISTINEHAMN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45302</v>
      </c>
      <c r="E153" s="1" t="n">
        <v>46248</v>
      </c>
      <c r="F153" t="inlineStr">
        <is>
          <t>VÄRMLANDS LÄN</t>
        </is>
      </c>
      <c r="G153" t="inlineStr">
        <is>
          <t>KRISTINEHAMN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46248</v>
      </c>
      <c r="F154" t="inlineStr">
        <is>
          <t>VÄRMLANDS LÄN</t>
        </is>
      </c>
      <c r="G154" t="inlineStr">
        <is>
          <t>KRISTINEHAMN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46248</v>
      </c>
      <c r="F155" t="inlineStr">
        <is>
          <t>VÄRMLANDS LÄN</t>
        </is>
      </c>
      <c r="G155" t="inlineStr">
        <is>
          <t>KRISTINEHAMN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46248</v>
      </c>
      <c r="F156" t="inlineStr">
        <is>
          <t>VÄRMLANDS LÄN</t>
        </is>
      </c>
      <c r="G156" t="inlineStr">
        <is>
          <t>KRISTINEHAMN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46248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Kommuner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68526-2021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44526</v>
      </c>
      <c r="E158" s="1" t="n">
        <v>46248</v>
      </c>
      <c r="F158" t="inlineStr">
        <is>
          <t>VÄRMLANDS LÄN</t>
        </is>
      </c>
      <c r="G158" t="inlineStr">
        <is>
          <t>KRISTINEHAMN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68530-2021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44526</v>
      </c>
      <c r="E159" s="1" t="n">
        <v>46248</v>
      </c>
      <c r="F159" t="inlineStr">
        <is>
          <t>VÄRMLANDS LÄN</t>
        </is>
      </c>
      <c r="G159" t="inlineStr">
        <is>
          <t>KRISTINEHAMN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44712</v>
      </c>
      <c r="E160" s="1" t="n">
        <v>46248</v>
      </c>
      <c r="F160" t="inlineStr">
        <is>
          <t>VÄRMLANDS LÄN</t>
        </is>
      </c>
      <c r="G160" t="inlineStr">
        <is>
          <t>KRISTINEHAMN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45639</v>
      </c>
      <c r="E161" s="1" t="n">
        <v>46248</v>
      </c>
      <c r="F161" t="inlineStr">
        <is>
          <t>VÄRMLANDS LÄN</t>
        </is>
      </c>
      <c r="G161" t="inlineStr">
        <is>
          <t>KRISTINEHAMN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46248</v>
      </c>
      <c r="F162" t="inlineStr">
        <is>
          <t>VÄRMLANDS LÄN</t>
        </is>
      </c>
      <c r="G162" t="inlineStr">
        <is>
          <t>KRISTINEHAMN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46248</v>
      </c>
      <c r="F163" t="inlineStr">
        <is>
          <t>VÄRMLANDS LÄN</t>
        </is>
      </c>
      <c r="G163" t="inlineStr">
        <is>
          <t>KRISTINEHAMN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46248</v>
      </c>
      <c r="F164" t="inlineStr">
        <is>
          <t>VÄRMLANDS LÄN</t>
        </is>
      </c>
      <c r="G164" t="inlineStr">
        <is>
          <t>KRISTINEHAMN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46248</v>
      </c>
      <c r="F165" t="inlineStr">
        <is>
          <t>VÄRMLANDS LÄN</t>
        </is>
      </c>
      <c r="G165" t="inlineStr">
        <is>
          <t>KRISTINEHAMN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46248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Naturvårdsverket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44753</v>
      </c>
      <c r="E167" s="1" t="n">
        <v>46248</v>
      </c>
      <c r="F167" t="inlineStr">
        <is>
          <t>VÄRMLANDS LÄN</t>
        </is>
      </c>
      <c r="G167" t="inlineStr">
        <is>
          <t>KRISTINEHAMN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45477</v>
      </c>
      <c r="E168" s="1" t="n">
        <v>46248</v>
      </c>
      <c r="F168" t="inlineStr">
        <is>
          <t>VÄRMLANDS LÄN</t>
        </is>
      </c>
      <c r="G168" t="inlineStr">
        <is>
          <t>KRISTINEHAMN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45239</v>
      </c>
      <c r="E169" s="1" t="n">
        <v>46248</v>
      </c>
      <c r="F169" t="inlineStr">
        <is>
          <t>VÄRMLANDS LÄN</t>
        </is>
      </c>
      <c r="G169" t="inlineStr">
        <is>
          <t>KRISTINEHAMN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45058</v>
      </c>
      <c r="E170" s="1" t="n">
        <v>46248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Kommuner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45442</v>
      </c>
      <c r="E171" s="1" t="n">
        <v>46248</v>
      </c>
      <c r="F171" t="inlineStr">
        <is>
          <t>VÄRMLANDS LÄN</t>
        </is>
      </c>
      <c r="G171" t="inlineStr">
        <is>
          <t>KRISTINEHAMN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44923</v>
      </c>
      <c r="E172" s="1" t="n">
        <v>46248</v>
      </c>
      <c r="F172" t="inlineStr">
        <is>
          <t>VÄRMLANDS LÄN</t>
        </is>
      </c>
      <c r="G172" t="inlineStr">
        <is>
          <t>KRISTINEHAMN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45226</v>
      </c>
      <c r="E173" s="1" t="n">
        <v>46248</v>
      </c>
      <c r="F173" t="inlineStr">
        <is>
          <t>VÄRMLANDS LÄN</t>
        </is>
      </c>
      <c r="G173" t="inlineStr">
        <is>
          <t>KRISTINEHAMN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46248</v>
      </c>
      <c r="F174" t="inlineStr">
        <is>
          <t>VÄRMLANDS LÄN</t>
        </is>
      </c>
      <c r="G174" t="inlineStr">
        <is>
          <t>KRISTINEHAMN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46248</v>
      </c>
      <c r="F175" t="inlineStr">
        <is>
          <t>VÄRMLANDS LÄN</t>
        </is>
      </c>
      <c r="G175" t="inlineStr">
        <is>
          <t>KRISTINEHAMN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8557-2023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44972</v>
      </c>
      <c r="E176" s="1" t="n">
        <v>46248</v>
      </c>
      <c r="F176" t="inlineStr">
        <is>
          <t>VÄRMLANDS LÄN</t>
        </is>
      </c>
      <c r="G176" t="inlineStr">
        <is>
          <t>KRISTINEHAMN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46248</v>
      </c>
      <c r="F177" t="inlineStr">
        <is>
          <t>VÄRMLANDS LÄN</t>
        </is>
      </c>
      <c r="G177" t="inlineStr">
        <is>
          <t>KRISTINEHAMN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45268</v>
      </c>
      <c r="E178" s="1" t="n">
        <v>46248</v>
      </c>
      <c r="F178" t="inlineStr">
        <is>
          <t>VÄRMLANDS LÄN</t>
        </is>
      </c>
      <c r="G178" t="inlineStr">
        <is>
          <t>KRISTINEHAMN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46248</v>
      </c>
      <c r="F179" t="inlineStr">
        <is>
          <t>VÄRMLANDS LÄN</t>
        </is>
      </c>
      <c r="G179" t="inlineStr">
        <is>
          <t>KRISTINEHAMN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46248</v>
      </c>
      <c r="F180" t="inlineStr">
        <is>
          <t>VÄRMLANDS LÄN</t>
        </is>
      </c>
      <c r="G180" t="inlineStr">
        <is>
          <t>KRISTINEHAMN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46248</v>
      </c>
      <c r="F181" t="inlineStr">
        <is>
          <t>VÄRMLANDS LÄN</t>
        </is>
      </c>
      <c r="G181" t="inlineStr">
        <is>
          <t>KRISTINEHAMN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52750-2021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46248</v>
      </c>
      <c r="F182" t="inlineStr">
        <is>
          <t>VÄRMLANDS LÄN</t>
        </is>
      </c>
      <c r="G182" t="inlineStr">
        <is>
          <t>KRISTINEHAMN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46248</v>
      </c>
      <c r="F183" t="inlineStr">
        <is>
          <t>VÄRMLANDS LÄN</t>
        </is>
      </c>
      <c r="G183" t="inlineStr">
        <is>
          <t>KRISTINEHAMN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46248</v>
      </c>
      <c r="F184" t="inlineStr">
        <is>
          <t>VÄRMLANDS LÄN</t>
        </is>
      </c>
      <c r="G184" t="inlineStr">
        <is>
          <t>KRISTINEHAMN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45679</v>
      </c>
      <c r="E185" s="1" t="n">
        <v>46248</v>
      </c>
      <c r="F185" t="inlineStr">
        <is>
          <t>VÄRMLANDS LÄN</t>
        </is>
      </c>
      <c r="G185" t="inlineStr">
        <is>
          <t>KRISTINEHAMN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46248</v>
      </c>
      <c r="F186" t="inlineStr">
        <is>
          <t>VÄRMLANDS LÄN</t>
        </is>
      </c>
      <c r="G186" t="inlineStr">
        <is>
          <t>KRISTINEHAMN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45379</v>
      </c>
      <c r="E187" s="1" t="n">
        <v>46248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45379</v>
      </c>
      <c r="E188" s="1" t="n">
        <v>46248</v>
      </c>
      <c r="F188" t="inlineStr">
        <is>
          <t>VÄRMLANDS LÄN</t>
        </is>
      </c>
      <c r="G188" t="inlineStr">
        <is>
          <t>KRISTINEHAMN</t>
        </is>
      </c>
      <c r="I188" t="n">
        <v>12.6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44431</v>
      </c>
      <c r="E189" s="1" t="n">
        <v>46248</v>
      </c>
      <c r="F189" t="inlineStr">
        <is>
          <t>VÄRMLANDS LÄN</t>
        </is>
      </c>
      <c r="G189" t="inlineStr">
        <is>
          <t>KRISTINEHAMN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44917</v>
      </c>
      <c r="E190" s="1" t="n">
        <v>46248</v>
      </c>
      <c r="F190" t="inlineStr">
        <is>
          <t>VÄRMLANDS LÄN</t>
        </is>
      </c>
      <c r="G190" t="inlineStr">
        <is>
          <t>KRISTINEHAMN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46248</v>
      </c>
      <c r="F191" t="inlineStr">
        <is>
          <t>VÄRMLANDS LÄN</t>
        </is>
      </c>
      <c r="G191" t="inlineStr">
        <is>
          <t>KRISTINEHAMN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44741</v>
      </c>
      <c r="E192" s="1" t="n">
        <v>46248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Bergvik skog väst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46248</v>
      </c>
      <c r="F193" t="inlineStr">
        <is>
          <t>VÄRMLANDS LÄN</t>
        </is>
      </c>
      <c r="G193" t="inlineStr">
        <is>
          <t>KRISTINEHAMN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39781-2023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46248</v>
      </c>
      <c r="F194" t="inlineStr">
        <is>
          <t>VÄRMLANDS LÄN</t>
        </is>
      </c>
      <c r="G194" t="inlineStr">
        <is>
          <t>KRISTINEHAMN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44454</v>
      </c>
      <c r="E195" s="1" t="n">
        <v>46248</v>
      </c>
      <c r="F195" t="inlineStr">
        <is>
          <t>VÄRMLANDS LÄN</t>
        </is>
      </c>
      <c r="G195" t="inlineStr">
        <is>
          <t>KRISTINEHAMN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46248</v>
      </c>
      <c r="F196" t="inlineStr">
        <is>
          <t>VÄRMLANDS LÄN</t>
        </is>
      </c>
      <c r="G196" t="inlineStr">
        <is>
          <t>KRISTINEHAMN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44883</v>
      </c>
      <c r="E197" s="1" t="n">
        <v>46248</v>
      </c>
      <c r="F197" t="inlineStr">
        <is>
          <t>VÄRMLANDS LÄN</t>
        </is>
      </c>
      <c r="G197" t="inlineStr">
        <is>
          <t>KRISTINEHAMN</t>
        </is>
      </c>
      <c r="I197" t="n">
        <v>11.1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44917</v>
      </c>
      <c r="E198" s="1" t="n">
        <v>46248</v>
      </c>
      <c r="F198" t="inlineStr">
        <is>
          <t>VÄRMLANDS LÄN</t>
        </is>
      </c>
      <c r="G198" t="inlineStr">
        <is>
          <t>KRISTINEHAMN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46248</v>
      </c>
      <c r="F199" t="inlineStr">
        <is>
          <t>VÄRMLANDS LÄN</t>
        </is>
      </c>
      <c r="G199" t="inlineStr">
        <is>
          <t>KRISTINEHAMN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58616-2021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46248</v>
      </c>
      <c r="F200" t="inlineStr">
        <is>
          <t>VÄRMLANDS LÄN</t>
        </is>
      </c>
      <c r="G200" t="inlineStr">
        <is>
          <t>KRISTINEHAMN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45188</v>
      </c>
      <c r="E201" s="1" t="n">
        <v>46248</v>
      </c>
      <c r="F201" t="inlineStr">
        <is>
          <t>VÄRMLANDS LÄN</t>
        </is>
      </c>
      <c r="G201" t="inlineStr">
        <is>
          <t>KRISTINEHAMN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22896-2023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45072</v>
      </c>
      <c r="E202" s="1" t="n">
        <v>46248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46248</v>
      </c>
      <c r="F203" t="inlineStr">
        <is>
          <t>VÄRMLANDS LÄN</t>
        </is>
      </c>
      <c r="G203" t="inlineStr">
        <is>
          <t>KRISTINEHAMN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44985</v>
      </c>
      <c r="E204" s="1" t="n">
        <v>46248</v>
      </c>
      <c r="F204" t="inlineStr">
        <is>
          <t>VÄRMLANDS LÄN</t>
        </is>
      </c>
      <c r="G204" t="inlineStr">
        <is>
          <t>KRISTINEHAMN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44742</v>
      </c>
      <c r="E205" s="1" t="n">
        <v>46248</v>
      </c>
      <c r="F205" t="inlineStr">
        <is>
          <t>VÄRMLANDS LÄN</t>
        </is>
      </c>
      <c r="G205" t="inlineStr">
        <is>
          <t>KRISTINEHAMN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44742</v>
      </c>
      <c r="E206" s="1" t="n">
        <v>46248</v>
      </c>
      <c r="F206" t="inlineStr">
        <is>
          <t>VÄRMLANDS LÄN</t>
        </is>
      </c>
      <c r="G206" t="inlineStr">
        <is>
          <t>KRISTINEHAMN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46248</v>
      </c>
      <c r="F207" t="inlineStr">
        <is>
          <t>VÄRMLANDS LÄN</t>
        </is>
      </c>
      <c r="G207" t="inlineStr">
        <is>
          <t>KRISTINEHAMN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46248</v>
      </c>
      <c r="F208" t="inlineStr">
        <is>
          <t>VÄRMLANDS LÄN</t>
        </is>
      </c>
      <c r="G208" t="inlineStr">
        <is>
          <t>KRISTINEHAMN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23332-2024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45453</v>
      </c>
      <c r="E209" s="1" t="n">
        <v>46248</v>
      </c>
      <c r="F209" t="inlineStr">
        <is>
          <t>VÄRMLANDS LÄN</t>
        </is>
      </c>
      <c r="G209" t="inlineStr">
        <is>
          <t>KRISTINEHAMN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46248</v>
      </c>
      <c r="F210" t="inlineStr">
        <is>
          <t>VÄRMLANDS LÄN</t>
        </is>
      </c>
      <c r="G210" t="inlineStr">
        <is>
          <t>KRISTINEHAMN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46248</v>
      </c>
      <c r="F211" t="inlineStr">
        <is>
          <t>VÄRMLANDS LÄN</t>
        </is>
      </c>
      <c r="G211" t="inlineStr">
        <is>
          <t>KRISTINEHAMN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45322</v>
      </c>
      <c r="E212" s="1" t="n">
        <v>46248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46248</v>
      </c>
      <c r="F213" t="inlineStr">
        <is>
          <t>VÄRMLANDS LÄN</t>
        </is>
      </c>
      <c r="G213" t="inlineStr">
        <is>
          <t>KRISTINEHAMN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44841</v>
      </c>
      <c r="E214" s="1" t="n">
        <v>46248</v>
      </c>
      <c r="F214" t="inlineStr">
        <is>
          <t>VÄRMLANDS LÄN</t>
        </is>
      </c>
      <c r="G214" t="inlineStr">
        <is>
          <t>KRISTINEHAMN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46248</v>
      </c>
      <c r="F215" t="inlineStr">
        <is>
          <t>VÄRMLANDS LÄN</t>
        </is>
      </c>
      <c r="G215" t="inlineStr">
        <is>
          <t>KRISTINEHAMN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44851</v>
      </c>
      <c r="E216" s="1" t="n">
        <v>46248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Kommuner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45461</v>
      </c>
      <c r="E217" s="1" t="n">
        <v>46248</v>
      </c>
      <c r="F217" t="inlineStr">
        <is>
          <t>VÄRMLANDS LÄN</t>
        </is>
      </c>
      <c r="G217" t="inlineStr">
        <is>
          <t>KRISTINEHAMN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46248</v>
      </c>
      <c r="F218" t="inlineStr">
        <is>
          <t>VÄRMLANDS LÄN</t>
        </is>
      </c>
      <c r="G218" t="inlineStr">
        <is>
          <t>KRISTINEHAMN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46248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46248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Kommuner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44595</v>
      </c>
      <c r="E221" s="1" t="n">
        <v>46248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45082</v>
      </c>
      <c r="E222" s="1" t="n">
        <v>46248</v>
      </c>
      <c r="F222" t="inlineStr">
        <is>
          <t>VÄRMLANDS LÄN</t>
        </is>
      </c>
      <c r="G222" t="inlineStr">
        <is>
          <t>KRISTINEHAMN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46248</v>
      </c>
      <c r="F223" t="inlineStr">
        <is>
          <t>VÄRMLANDS LÄN</t>
        </is>
      </c>
      <c r="G223" t="inlineStr">
        <is>
          <t>KRISTINEHAMN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45442</v>
      </c>
      <c r="E224" s="1" t="n">
        <v>46248</v>
      </c>
      <c r="F224" t="inlineStr">
        <is>
          <t>VÄRMLANDS LÄN</t>
        </is>
      </c>
      <c r="G224" t="inlineStr">
        <is>
          <t>KRISTINEHAMN</t>
        </is>
      </c>
      <c r="I224" t="n">
        <v>14.9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46248</v>
      </c>
      <c r="F225" t="inlineStr">
        <is>
          <t>VÄRMLANDS LÄN</t>
        </is>
      </c>
      <c r="G225" t="inlineStr">
        <is>
          <t>KRISTINEHAMN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45690-2021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44441</v>
      </c>
      <c r="E226" s="1" t="n">
        <v>46248</v>
      </c>
      <c r="F226" t="inlineStr">
        <is>
          <t>VÄRMLANDS LÄN</t>
        </is>
      </c>
      <c r="G226" t="inlineStr">
        <is>
          <t>KRISTINEHAMN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45302</v>
      </c>
      <c r="E227" s="1" t="n">
        <v>46248</v>
      </c>
      <c r="F227" t="inlineStr">
        <is>
          <t>VÄRMLANDS LÄN</t>
        </is>
      </c>
      <c r="G227" t="inlineStr">
        <is>
          <t>KRISTINEHAMN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45513</v>
      </c>
      <c r="E228" s="1" t="n">
        <v>46248</v>
      </c>
      <c r="F228" t="inlineStr">
        <is>
          <t>VÄRMLANDS LÄN</t>
        </is>
      </c>
      <c r="G228" t="inlineStr">
        <is>
          <t>KRISTINEHAMN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45429</v>
      </c>
      <c r="E229" s="1" t="n">
        <v>46248</v>
      </c>
      <c r="F229" t="inlineStr">
        <is>
          <t>VÄRMLANDS LÄN</t>
        </is>
      </c>
      <c r="G229" t="inlineStr">
        <is>
          <t>KRISTINEHAMN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46248</v>
      </c>
      <c r="F230" t="inlineStr">
        <is>
          <t>VÄRMLANDS LÄN</t>
        </is>
      </c>
      <c r="G230" t="inlineStr">
        <is>
          <t>KRISTINEHAMN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45141</v>
      </c>
      <c r="E231" s="1" t="n">
        <v>46248</v>
      </c>
      <c r="F231" t="inlineStr">
        <is>
          <t>VÄRMLANDS LÄN</t>
        </is>
      </c>
      <c r="G231" t="inlineStr">
        <is>
          <t>KRISTINEHAMN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44855</v>
      </c>
      <c r="E232" s="1" t="n">
        <v>46248</v>
      </c>
      <c r="F232" t="inlineStr">
        <is>
          <t>VÄRMLANDS LÄN</t>
        </is>
      </c>
      <c r="G232" t="inlineStr">
        <is>
          <t>KRISTINEHAMN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46248</v>
      </c>
      <c r="F233" t="inlineStr">
        <is>
          <t>VÄRMLANDS LÄN</t>
        </is>
      </c>
      <c r="G233" t="inlineStr">
        <is>
          <t>KRISTINEHAMN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46248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46248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46248</v>
      </c>
      <c r="F236" t="inlineStr">
        <is>
          <t>VÄRMLANDS LÄN</t>
        </is>
      </c>
      <c r="G236" t="inlineStr">
        <is>
          <t>KRISTINEHAMN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47951-2021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44448</v>
      </c>
      <c r="E237" s="1" t="n">
        <v>46248</v>
      </c>
      <c r="F237" t="inlineStr">
        <is>
          <t>VÄRMLANDS LÄN</t>
        </is>
      </c>
      <c r="G237" t="inlineStr">
        <is>
          <t>KRISTINEHAMN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45456</v>
      </c>
      <c r="E238" s="1" t="n">
        <v>46248</v>
      </c>
      <c r="F238" t="inlineStr">
        <is>
          <t>VÄRMLANDS LÄN</t>
        </is>
      </c>
      <c r="G238" t="inlineStr">
        <is>
          <t>KRISTINEHAMN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10030-2023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44985</v>
      </c>
      <c r="E239" s="1" t="n">
        <v>46248</v>
      </c>
      <c r="F239" t="inlineStr">
        <is>
          <t>VÄRMLANDS LÄN</t>
        </is>
      </c>
      <c r="G239" t="inlineStr">
        <is>
          <t>KRISTINEHAMN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45478</v>
      </c>
      <c r="E240" s="1" t="n">
        <v>46248</v>
      </c>
      <c r="F240" t="inlineStr">
        <is>
          <t>VÄRMLANDS LÄN</t>
        </is>
      </c>
      <c r="G240" t="inlineStr">
        <is>
          <t>KRISTINEHAMN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45478</v>
      </c>
      <c r="E241" s="1" t="n">
        <v>46248</v>
      </c>
      <c r="F241" t="inlineStr">
        <is>
          <t>VÄRMLANDS LÄN</t>
        </is>
      </c>
      <c r="G241" t="inlineStr">
        <is>
          <t>KRISTINEHAMN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46248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46248</v>
      </c>
      <c r="F243" t="inlineStr">
        <is>
          <t>VÄRMLANDS LÄN</t>
        </is>
      </c>
      <c r="G243" t="inlineStr">
        <is>
          <t>KRISTINEHAMN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46248</v>
      </c>
      <c r="F244" t="inlineStr">
        <is>
          <t>VÄRMLANDS LÄN</t>
        </is>
      </c>
      <c r="G244" t="inlineStr">
        <is>
          <t>KRISTINEHAMN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44924</v>
      </c>
      <c r="E245" s="1" t="n">
        <v>46248</v>
      </c>
      <c r="F245" t="inlineStr">
        <is>
          <t>VÄRMLANDS LÄN</t>
        </is>
      </c>
      <c r="G245" t="inlineStr">
        <is>
          <t>KRISTINEHAMN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48405-2023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45201</v>
      </c>
      <c r="E246" s="1" t="n">
        <v>46248</v>
      </c>
      <c r="F246" t="inlineStr">
        <is>
          <t>VÄRMLANDS LÄN</t>
        </is>
      </c>
      <c r="G246" t="inlineStr">
        <is>
          <t>KRISTINEHAMN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45622</v>
      </c>
      <c r="E247" s="1" t="n">
        <v>46248</v>
      </c>
      <c r="F247" t="inlineStr">
        <is>
          <t>VÄRMLANDS LÄN</t>
        </is>
      </c>
      <c r="G247" t="inlineStr">
        <is>
          <t>KRISTINEHAMN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45666</v>
      </c>
      <c r="E248" s="1" t="n">
        <v>46248</v>
      </c>
      <c r="F248" t="inlineStr">
        <is>
          <t>VÄRMLANDS LÄN</t>
        </is>
      </c>
      <c r="G248" t="inlineStr">
        <is>
          <t>KRISTINEHAMN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46248</v>
      </c>
      <c r="F249" t="inlineStr">
        <is>
          <t>VÄRMLANDS LÄN</t>
        </is>
      </c>
      <c r="G249" t="inlineStr">
        <is>
          <t>KRISTINEHAMN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46248</v>
      </c>
      <c r="F250" t="inlineStr">
        <is>
          <t>VÄRMLANDS LÄN</t>
        </is>
      </c>
      <c r="G250" t="inlineStr">
        <is>
          <t>KRISTINEHAMN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44588</v>
      </c>
      <c r="E251" s="1" t="n">
        <v>46248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46248</v>
      </c>
      <c r="F252" t="inlineStr">
        <is>
          <t>VÄRMLANDS LÄN</t>
        </is>
      </c>
      <c r="G252" t="inlineStr">
        <is>
          <t>KRISTINEHAMN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46248</v>
      </c>
      <c r="F253" t="inlineStr">
        <is>
          <t>VÄRMLANDS LÄN</t>
        </is>
      </c>
      <c r="G253" t="inlineStr">
        <is>
          <t>KRISTINEHAMN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46248</v>
      </c>
      <c r="F254" t="inlineStr">
        <is>
          <t>VÄRMLANDS LÄN</t>
        </is>
      </c>
      <c r="G254" t="inlineStr">
        <is>
          <t>KRISTINEHAMN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45377</v>
      </c>
      <c r="E255" s="1" t="n">
        <v>46248</v>
      </c>
      <c r="F255" t="inlineStr">
        <is>
          <t>VÄRMLANDS LÄN</t>
        </is>
      </c>
      <c r="G255" t="inlineStr">
        <is>
          <t>KRISTINEHAMN</t>
        </is>
      </c>
      <c r="I255" t="n">
        <v>13.2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46248</v>
      </c>
      <c r="F256" t="inlineStr">
        <is>
          <t>VÄRMLANDS LÄN</t>
        </is>
      </c>
      <c r="G256" t="inlineStr">
        <is>
          <t>KRISTINEHAMN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45104</v>
      </c>
      <c r="E257" s="1" t="n">
        <v>46248</v>
      </c>
      <c r="F257" t="inlineStr">
        <is>
          <t>VÄRMLANDS LÄN</t>
        </is>
      </c>
      <c r="G257" t="inlineStr">
        <is>
          <t>KRISTINEHAMN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46248</v>
      </c>
      <c r="F258" t="inlineStr">
        <is>
          <t>VÄRMLANDS LÄN</t>
        </is>
      </c>
      <c r="G258" t="inlineStr">
        <is>
          <t>KRISTINEHAMN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44734</v>
      </c>
      <c r="E259" s="1" t="n">
        <v>46248</v>
      </c>
      <c r="F259" t="inlineStr">
        <is>
          <t>VÄRMLANDS LÄN</t>
        </is>
      </c>
      <c r="G259" t="inlineStr">
        <is>
          <t>KRISTINEHAMN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45313</v>
      </c>
      <c r="E260" s="1" t="n">
        <v>46248</v>
      </c>
      <c r="F260" t="inlineStr">
        <is>
          <t>VÄRMLANDS LÄN</t>
        </is>
      </c>
      <c r="G260" t="inlineStr">
        <is>
          <t>KRISTINEHAMN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45647</v>
      </c>
      <c r="E261" s="1" t="n">
        <v>46248</v>
      </c>
      <c r="F261" t="inlineStr">
        <is>
          <t>VÄRMLANDS LÄN</t>
        </is>
      </c>
      <c r="G261" t="inlineStr">
        <is>
          <t>KRISTINEHAMN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45366</v>
      </c>
      <c r="E262" s="1" t="n">
        <v>46248</v>
      </c>
      <c r="F262" t="inlineStr">
        <is>
          <t>VÄRMLANDS LÄN</t>
        </is>
      </c>
      <c r="G262" t="inlineStr">
        <is>
          <t>KRISTINEHAMN</t>
        </is>
      </c>
      <c r="I262" t="n">
        <v>19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46248</v>
      </c>
      <c r="F263" t="inlineStr">
        <is>
          <t>VÄRMLANDS LÄN</t>
        </is>
      </c>
      <c r="G263" t="inlineStr">
        <is>
          <t>KRISTINEHAMN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44941</v>
      </c>
      <c r="E264" s="1" t="n">
        <v>46248</v>
      </c>
      <c r="F264" t="inlineStr">
        <is>
          <t>VÄRMLANDS LÄN</t>
        </is>
      </c>
      <c r="G264" t="inlineStr">
        <is>
          <t>KRISTINEHAMN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54603-2021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44473</v>
      </c>
      <c r="E265" s="1" t="n">
        <v>46248</v>
      </c>
      <c r="F265" t="inlineStr">
        <is>
          <t>VÄRMLANDS LÄN</t>
        </is>
      </c>
      <c r="G265" t="inlineStr">
        <is>
          <t>KRISTINEHAMN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46248</v>
      </c>
      <c r="F266" t="inlineStr">
        <is>
          <t>VÄRMLANDS LÄN</t>
        </is>
      </c>
      <c r="G266" t="inlineStr">
        <is>
          <t>KRISTINEHAMN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45656</v>
      </c>
      <c r="E267" s="1" t="n">
        <v>46248</v>
      </c>
      <c r="F267" t="inlineStr">
        <is>
          <t>VÄRMLANDS LÄN</t>
        </is>
      </c>
      <c r="G267" t="inlineStr">
        <is>
          <t>KRISTINEHAMN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45081</v>
      </c>
      <c r="E268" s="1" t="n">
        <v>46248</v>
      </c>
      <c r="F268" t="inlineStr">
        <is>
          <t>VÄRMLANDS LÄN</t>
        </is>
      </c>
      <c r="G268" t="inlineStr">
        <is>
          <t>KRISTINEHAMN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45553</v>
      </c>
      <c r="E269" s="1" t="n">
        <v>46248</v>
      </c>
      <c r="F269" t="inlineStr">
        <is>
          <t>VÄRMLANDS LÄN</t>
        </is>
      </c>
      <c r="G269" t="inlineStr">
        <is>
          <t>KRISTINEHAMN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45644</v>
      </c>
      <c r="E270" s="1" t="n">
        <v>46248</v>
      </c>
      <c r="F270" t="inlineStr">
        <is>
          <t>VÄRMLANDS LÄN</t>
        </is>
      </c>
      <c r="G270" t="inlineStr">
        <is>
          <t>KRISTINEHAMN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46248</v>
      </c>
      <c r="F271" t="inlineStr">
        <is>
          <t>VÄRMLANDS LÄN</t>
        </is>
      </c>
      <c r="G271" t="inlineStr">
        <is>
          <t>KRISTINEHAMN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59144-2021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46248</v>
      </c>
      <c r="F272" t="inlineStr">
        <is>
          <t>VÄRMLANDS LÄN</t>
        </is>
      </c>
      <c r="G272" t="inlineStr">
        <is>
          <t>KRISTINEHAMN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46248</v>
      </c>
      <c r="F273" t="inlineStr">
        <is>
          <t>VÄRMLANDS LÄN</t>
        </is>
      </c>
      <c r="G273" t="inlineStr">
        <is>
          <t>KRISTINEHAMN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44651</v>
      </c>
      <c r="E274" s="1" t="n">
        <v>46248</v>
      </c>
      <c r="F274" t="inlineStr">
        <is>
          <t>VÄRMLANDS LÄN</t>
        </is>
      </c>
      <c r="G274" t="inlineStr">
        <is>
          <t>KRISTINEHAMN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46248</v>
      </c>
      <c r="F275" t="inlineStr">
        <is>
          <t>VÄRMLANDS LÄN</t>
        </is>
      </c>
      <c r="G275" t="inlineStr">
        <is>
          <t>KRISTINEHAMN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48416-2021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44452</v>
      </c>
      <c r="E276" s="1" t="n">
        <v>46248</v>
      </c>
      <c r="F276" t="inlineStr">
        <is>
          <t>VÄRMLANDS LÄN</t>
        </is>
      </c>
      <c r="G276" t="inlineStr">
        <is>
          <t>KRISTINEHAMN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45802</v>
      </c>
      <c r="E277" s="1" t="n">
        <v>46248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Naturvårdsverket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46248</v>
      </c>
      <c r="F278" t="inlineStr">
        <is>
          <t>VÄRMLANDS LÄN</t>
        </is>
      </c>
      <c r="G278" t="inlineStr">
        <is>
          <t>KRISTINEHAMN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46248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26181-2025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45805</v>
      </c>
      <c r="E280" s="1" t="n">
        <v>46248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26623-2025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45810</v>
      </c>
      <c r="E281" s="1" t="n">
        <v>46248</v>
      </c>
      <c r="F281" t="inlineStr">
        <is>
          <t>VÄRMLANDS LÄN</t>
        </is>
      </c>
      <c r="G281" t="inlineStr">
        <is>
          <t>KRISTINEHAMN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46248</v>
      </c>
      <c r="F282" t="inlineStr">
        <is>
          <t>VÄRMLANDS LÄN</t>
        </is>
      </c>
      <c r="G282" t="inlineStr">
        <is>
          <t>KRISTINEHAMN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46248</v>
      </c>
      <c r="F283" t="inlineStr">
        <is>
          <t>VÄRMLANDS LÄN</t>
        </is>
      </c>
      <c r="G283" t="inlineStr">
        <is>
          <t>KRISTINEHAMN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45705</v>
      </c>
      <c r="E284" s="1" t="n">
        <v>46248</v>
      </c>
      <c r="F284" t="inlineStr">
        <is>
          <t>VÄRMLANDS LÄN</t>
        </is>
      </c>
      <c r="G284" t="inlineStr">
        <is>
          <t>KRISTINEHAMN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46248</v>
      </c>
      <c r="F285" t="inlineStr">
        <is>
          <t>VÄRMLANDS LÄN</t>
        </is>
      </c>
      <c r="G285" t="inlineStr">
        <is>
          <t>KRISTINEHAMN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44533</v>
      </c>
      <c r="E286" s="1" t="n">
        <v>46248</v>
      </c>
      <c r="F286" t="inlineStr">
        <is>
          <t>VÄRMLANDS LÄN</t>
        </is>
      </c>
      <c r="G286" t="inlineStr">
        <is>
          <t>KRISTINEHAMN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45810</v>
      </c>
      <c r="E287" s="1" t="n">
        <v>46248</v>
      </c>
      <c r="F287" t="inlineStr">
        <is>
          <t>VÄRMLANDS LÄN</t>
        </is>
      </c>
      <c r="G287" t="inlineStr">
        <is>
          <t>KRISTINEHAMN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46248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46248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44847</v>
      </c>
      <c r="E290" s="1" t="n">
        <v>46248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68505-2021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46248</v>
      </c>
      <c r="F291" t="inlineStr">
        <is>
          <t>VÄRMLANDS LÄN</t>
        </is>
      </c>
      <c r="G291" t="inlineStr">
        <is>
          <t>KRISTINEHAMN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46248</v>
      </c>
      <c r="F292" t="inlineStr">
        <is>
          <t>VÄRMLANDS LÄN</t>
        </is>
      </c>
      <c r="G292" t="inlineStr">
        <is>
          <t>KRISTINEHAMN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46248</v>
      </c>
      <c r="F293" t="inlineStr">
        <is>
          <t>VÄRMLANDS LÄN</t>
        </is>
      </c>
      <c r="G293" t="inlineStr">
        <is>
          <t>KRISTINEHAMN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45081</v>
      </c>
      <c r="E294" s="1" t="n">
        <v>46248</v>
      </c>
      <c r="F294" t="inlineStr">
        <is>
          <t>VÄRMLANDS LÄN</t>
        </is>
      </c>
      <c r="G294" t="inlineStr">
        <is>
          <t>KRISTINEHAMN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45095</v>
      </c>
      <c r="E295" s="1" t="n">
        <v>46248</v>
      </c>
      <c r="F295" t="inlineStr">
        <is>
          <t>VÄRMLANDS LÄN</t>
        </is>
      </c>
      <c r="G295" t="inlineStr">
        <is>
          <t>KRISTINEHAMN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46248</v>
      </c>
      <c r="F296" t="inlineStr">
        <is>
          <t>VÄRMLANDS LÄN</t>
        </is>
      </c>
      <c r="G296" t="inlineStr">
        <is>
          <t>KRISTINEHAMN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44497</v>
      </c>
      <c r="E297" s="1" t="n">
        <v>46248</v>
      </c>
      <c r="F297" t="inlineStr">
        <is>
          <t>VÄRMLANDS LÄN</t>
        </is>
      </c>
      <c r="G297" t="inlineStr">
        <is>
          <t>KRISTINEHAMN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46248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41297-2021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44424</v>
      </c>
      <c r="E299" s="1" t="n">
        <v>46248</v>
      </c>
      <c r="F299" t="inlineStr">
        <is>
          <t>VÄRMLANDS LÄN</t>
        </is>
      </c>
      <c r="G299" t="inlineStr">
        <is>
          <t>KRISTINEHAMN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10124-2024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45364</v>
      </c>
      <c r="E300" s="1" t="n">
        <v>46248</v>
      </c>
      <c r="F300" t="inlineStr">
        <is>
          <t>VÄRMLANDS LÄN</t>
        </is>
      </c>
      <c r="G300" t="inlineStr">
        <is>
          <t>KRISTINEHAMN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46248</v>
      </c>
      <c r="F301" t="inlineStr">
        <is>
          <t>VÄRMLANDS LÄN</t>
        </is>
      </c>
      <c r="G301" t="inlineStr">
        <is>
          <t>KRISTINEHAMN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46248</v>
      </c>
      <c r="F302" t="inlineStr">
        <is>
          <t>VÄRMLANDS LÄN</t>
        </is>
      </c>
      <c r="G302" t="inlineStr">
        <is>
          <t>KRISTINEHAMN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45701</v>
      </c>
      <c r="E303" s="1" t="n">
        <v>46248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Naturvårdsverket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45378</v>
      </c>
      <c r="E304" s="1" t="n">
        <v>46248</v>
      </c>
      <c r="F304" t="inlineStr">
        <is>
          <t>VÄRMLANDS LÄN</t>
        </is>
      </c>
      <c r="G304" t="inlineStr">
        <is>
          <t>KRISTINEHAMN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45364</v>
      </c>
      <c r="E305" s="1" t="n">
        <v>46248</v>
      </c>
      <c r="F305" t="inlineStr">
        <is>
          <t>VÄRMLANDS LÄN</t>
        </is>
      </c>
      <c r="G305" t="inlineStr">
        <is>
          <t>KRISTINEHAMN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46248</v>
      </c>
      <c r="F306" t="inlineStr">
        <is>
          <t>VÄRMLANDS LÄN</t>
        </is>
      </c>
      <c r="G306" t="inlineStr">
        <is>
          <t>KRISTINEHAMN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45364</v>
      </c>
      <c r="E307" s="1" t="n">
        <v>46248</v>
      </c>
      <c r="F307" t="inlineStr">
        <is>
          <t>VÄRMLANDS LÄN</t>
        </is>
      </c>
      <c r="G307" t="inlineStr">
        <is>
          <t>KRISTINEHAMN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46248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46248</v>
      </c>
      <c r="F309" t="inlineStr">
        <is>
          <t>VÄRMLANDS LÄN</t>
        </is>
      </c>
      <c r="G309" t="inlineStr">
        <is>
          <t>KRISTINEHAMN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31250-2025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46248</v>
      </c>
      <c r="F310" t="inlineStr">
        <is>
          <t>VÄRMLANDS LÄN</t>
        </is>
      </c>
      <c r="G310" t="inlineStr">
        <is>
          <t>KRISTINEHAMN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46248</v>
      </c>
      <c r="F311" t="inlineStr">
        <is>
          <t>VÄRMLANDS LÄN</t>
        </is>
      </c>
      <c r="G311" t="inlineStr">
        <is>
          <t>KRISTINEHAMN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46248</v>
      </c>
      <c r="F312" t="inlineStr">
        <is>
          <t>VÄRMLANDS LÄN</t>
        </is>
      </c>
      <c r="G312" t="inlineStr">
        <is>
          <t>KRISTINEHAMN</t>
        </is>
      </c>
      <c r="I312" t="n">
        <v>20.1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28485-2024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45477</v>
      </c>
      <c r="E313" s="1" t="n">
        <v>46248</v>
      </c>
      <c r="F313" t="inlineStr">
        <is>
          <t>VÄRMLANDS LÄN</t>
        </is>
      </c>
      <c r="G313" t="inlineStr">
        <is>
          <t>KRISTINEHAMN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46248</v>
      </c>
      <c r="F314" t="inlineStr">
        <is>
          <t>VÄRMLANDS LÄN</t>
        </is>
      </c>
      <c r="G314" t="inlineStr">
        <is>
          <t>KRISTINEHAMN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20168-2026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46248</v>
      </c>
      <c r="F315" t="inlineStr">
        <is>
          <t>VÄRMLANDS LÄN</t>
        </is>
      </c>
      <c r="G315" t="inlineStr">
        <is>
          <t>KRISTINEHAMN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46248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46248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Bergvik skog väst AB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45243</v>
      </c>
      <c r="E318" s="1" t="n">
        <v>46248</v>
      </c>
      <c r="F318" t="inlineStr">
        <is>
          <t>VÄRMLANDS LÄN</t>
        </is>
      </c>
      <c r="G318" t="inlineStr">
        <is>
          <t>KRISTINEHAMN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56522-2021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44480</v>
      </c>
      <c r="E319" s="1" t="n">
        <v>46248</v>
      </c>
      <c r="F319" t="inlineStr">
        <is>
          <t>VÄRMLANDS LÄN</t>
        </is>
      </c>
      <c r="G319" t="inlineStr">
        <is>
          <t>KRISTINEHAMN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46248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Naturvårdsverket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46248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46248</v>
      </c>
      <c r="F322" t="inlineStr">
        <is>
          <t>VÄRMLANDS LÄN</t>
        </is>
      </c>
      <c r="G322" t="inlineStr">
        <is>
          <t>KRISTINEHAMN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46248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45344</v>
      </c>
      <c r="E324" s="1" t="n">
        <v>46248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46248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Naturvårdsverket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46140</v>
      </c>
      <c r="E326" s="1" t="n">
        <v>46248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65050-2023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46248</v>
      </c>
      <c r="F327" t="inlineStr">
        <is>
          <t>VÄRMLANDS LÄN</t>
        </is>
      </c>
      <c r="G327" t="inlineStr">
        <is>
          <t>KRISTINEHAMN</t>
        </is>
      </c>
      <c r="I327" t="n">
        <v>9.6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45782</v>
      </c>
      <c r="E328" s="1" t="n">
        <v>46248</v>
      </c>
      <c r="F328" t="inlineStr">
        <is>
          <t>VÄRMLANDS LÄN</t>
        </is>
      </c>
      <c r="G328" t="inlineStr">
        <is>
          <t>KRISTINEHAMN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45127</v>
      </c>
      <c r="E329" s="1" t="n">
        <v>46248</v>
      </c>
      <c r="F329" t="inlineStr">
        <is>
          <t>VÄRMLANDS LÄN</t>
        </is>
      </c>
      <c r="G329" t="inlineStr">
        <is>
          <t>KRISTINEHAMN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46248</v>
      </c>
      <c r="F330" t="inlineStr">
        <is>
          <t>VÄRMLANDS LÄN</t>
        </is>
      </c>
      <c r="G330" t="inlineStr">
        <is>
          <t>KRISTINEHAMN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46248</v>
      </c>
      <c r="F331" t="inlineStr">
        <is>
          <t>VÄRMLANDS LÄN</t>
        </is>
      </c>
      <c r="G331" t="inlineStr">
        <is>
          <t>KRISTINEHAMN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46248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33464-2023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45118</v>
      </c>
      <c r="E333" s="1" t="n">
        <v>46248</v>
      </c>
      <c r="F333" t="inlineStr">
        <is>
          <t>VÄRMLANDS LÄN</t>
        </is>
      </c>
      <c r="G333" t="inlineStr">
        <is>
          <t>KRISTINEHAMN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45769</v>
      </c>
      <c r="E334" s="1" t="n">
        <v>46248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Kyrkan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41770-2025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45902</v>
      </c>
      <c r="E335" s="1" t="n">
        <v>46248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37742-2023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46248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56697-2022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44888</v>
      </c>
      <c r="E337" s="1" t="n">
        <v>46248</v>
      </c>
      <c r="F337" t="inlineStr">
        <is>
          <t>VÄRMLANDS LÄN</t>
        </is>
      </c>
      <c r="G337" t="inlineStr">
        <is>
          <t>KRISTINEHAMN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46248</v>
      </c>
      <c r="F338" t="inlineStr">
        <is>
          <t>VÄRMLANDS LÄN</t>
        </is>
      </c>
      <c r="G338" t="inlineStr">
        <is>
          <t>KRISTINEHAMN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46248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46248</v>
      </c>
      <c r="F340" t="inlineStr">
        <is>
          <t>VÄRMLANDS LÄN</t>
        </is>
      </c>
      <c r="G340" t="inlineStr">
        <is>
          <t>KRISTINEHAMN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12395-2024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45379</v>
      </c>
      <c r="E341" s="1" t="n">
        <v>46248</v>
      </c>
      <c r="F341" t="inlineStr">
        <is>
          <t>VÄRMLANDS LÄN</t>
        </is>
      </c>
      <c r="G341" t="inlineStr">
        <is>
          <t>KRISTINEHAMN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28834-2024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45478</v>
      </c>
      <c r="E342" s="1" t="n">
        <v>46248</v>
      </c>
      <c r="F342" t="inlineStr">
        <is>
          <t>VÄRMLANDS LÄN</t>
        </is>
      </c>
      <c r="G342" t="inlineStr">
        <is>
          <t>KRISTINEHAMN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44965</v>
      </c>
      <c r="E343" s="1" t="n">
        <v>46248</v>
      </c>
      <c r="F343" t="inlineStr">
        <is>
          <t>VÄRMLANDS LÄN</t>
        </is>
      </c>
      <c r="G343" t="inlineStr">
        <is>
          <t>KRISTINEHAMN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46248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Sveaskog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44770</v>
      </c>
      <c r="E345" s="1" t="n">
        <v>46248</v>
      </c>
      <c r="F345" t="inlineStr">
        <is>
          <t>VÄRMLANDS LÄN</t>
        </is>
      </c>
      <c r="G345" t="inlineStr">
        <is>
          <t>KRISTINEHAMN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45701</v>
      </c>
      <c r="E346" s="1" t="n">
        <v>46248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45876</v>
      </c>
      <c r="E347" s="1" t="n">
        <v>46248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Sveaskog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46248</v>
      </c>
      <c r="F348" t="inlineStr">
        <is>
          <t>VÄRMLANDS LÄN</t>
        </is>
      </c>
      <c r="G348" t="inlineStr">
        <is>
          <t>KRISTINEHAMN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45876</v>
      </c>
      <c r="E349" s="1" t="n">
        <v>46248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22060-2026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46149</v>
      </c>
      <c r="E350" s="1" t="n">
        <v>46248</v>
      </c>
      <c r="F350" t="inlineStr">
        <is>
          <t>VÄRMLANDS LÄN</t>
        </is>
      </c>
      <c r="G350" t="inlineStr">
        <is>
          <t>KRISTINEHAMN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21844-2026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46248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46248</v>
      </c>
      <c r="F352" t="inlineStr">
        <is>
          <t>VÄRMLANDS LÄN</t>
        </is>
      </c>
      <c r="G352" t="inlineStr">
        <is>
          <t>KRISTINEHAMN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21602-2025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45783</v>
      </c>
      <c r="E353" s="1" t="n">
        <v>46248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21842-2026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46150</v>
      </c>
      <c r="E354" s="1" t="n">
        <v>46248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46248</v>
      </c>
      <c r="F355" t="inlineStr">
        <is>
          <t>VÄRMLANDS LÄN</t>
        </is>
      </c>
      <c r="G355" t="inlineStr">
        <is>
          <t>KRISTINEHAMN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45341</v>
      </c>
      <c r="E356" s="1" t="n">
        <v>46248</v>
      </c>
      <c r="F356" t="inlineStr">
        <is>
          <t>VÄRMLANDS LÄN</t>
        </is>
      </c>
      <c r="G356" t="inlineStr">
        <is>
          <t>KRISTINEHAMN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45569</v>
      </c>
      <c r="E357" s="1" t="n">
        <v>46248</v>
      </c>
      <c r="F357" t="inlineStr">
        <is>
          <t>VÄRMLANDS LÄN</t>
        </is>
      </c>
      <c r="G357" t="inlineStr">
        <is>
          <t>KRISTINEHAMN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46248</v>
      </c>
      <c r="F358" t="inlineStr">
        <is>
          <t>VÄRMLANDS LÄN</t>
        </is>
      </c>
      <c r="G358" t="inlineStr">
        <is>
          <t>KRISTINEHAMN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45022</v>
      </c>
      <c r="E359" s="1" t="n">
        <v>46248</v>
      </c>
      <c r="F359" t="inlineStr">
        <is>
          <t>VÄRMLANDS LÄN</t>
        </is>
      </c>
      <c r="G359" t="inlineStr">
        <is>
          <t>KRISTINEHAMN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45341</v>
      </c>
      <c r="E360" s="1" t="n">
        <v>46248</v>
      </c>
      <c r="F360" t="inlineStr">
        <is>
          <t>VÄRMLANDS LÄN</t>
        </is>
      </c>
      <c r="G360" t="inlineStr">
        <is>
          <t>KRISTINEHAMN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44805</v>
      </c>
      <c r="E361" s="1" t="n">
        <v>46248</v>
      </c>
      <c r="F361" t="inlineStr">
        <is>
          <t>VÄRMLANDS LÄN</t>
        </is>
      </c>
      <c r="G361" t="inlineStr">
        <is>
          <t>KRISTINEHAMN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46248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23510-2025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45792</v>
      </c>
      <c r="E363" s="1" t="n">
        <v>46248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45792</v>
      </c>
      <c r="E364" s="1" t="n">
        <v>46248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45792</v>
      </c>
      <c r="E365" s="1" t="n">
        <v>46248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45792</v>
      </c>
      <c r="E366" s="1" t="n">
        <v>46248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45700</v>
      </c>
      <c r="E367" s="1" t="n">
        <v>46248</v>
      </c>
      <c r="F367" t="inlineStr">
        <is>
          <t>VÄRMLANDS LÄN</t>
        </is>
      </c>
      <c r="G367" t="inlineStr">
        <is>
          <t>KRISTINEHAMN</t>
        </is>
      </c>
      <c r="I367" t="n">
        <v>11.2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45686</v>
      </c>
      <c r="E368" s="1" t="n">
        <v>46248</v>
      </c>
      <c r="F368" t="inlineStr">
        <is>
          <t>VÄRMLANDS LÄN</t>
        </is>
      </c>
      <c r="G368" t="inlineStr">
        <is>
          <t>KRISTINEHAMN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46248</v>
      </c>
      <c r="F369" t="inlineStr">
        <is>
          <t>VÄRMLANDS LÄN</t>
        </is>
      </c>
      <c r="G369" t="inlineStr">
        <is>
          <t>KRISTINEHAMN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23294-2026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46248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45674</v>
      </c>
      <c r="E371" s="1" t="n">
        <v>46248</v>
      </c>
      <c r="F371" t="inlineStr">
        <is>
          <t>VÄRMLANDS LÄN</t>
        </is>
      </c>
      <c r="G371" t="inlineStr">
        <is>
          <t>KRISTINEHAMN</t>
        </is>
      </c>
      <c r="I371" t="n">
        <v>9.699999999999999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65055-2023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45282</v>
      </c>
      <c r="E372" s="1" t="n">
        <v>46248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25628-2025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46248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Naturvårdsverket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46248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45575</v>
      </c>
      <c r="E375" s="1" t="n">
        <v>46248</v>
      </c>
      <c r="F375" t="inlineStr">
        <is>
          <t>VÄRMLANDS LÄN</t>
        </is>
      </c>
      <c r="G375" t="inlineStr">
        <is>
          <t>KRISTINEHAMN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48379-2025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46248</v>
      </c>
      <c r="F376" t="inlineStr">
        <is>
          <t>VÄRMLANDS LÄN</t>
        </is>
      </c>
      <c r="G376" t="inlineStr">
        <is>
          <t>KRISTINEHAMN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24570-2026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46170</v>
      </c>
      <c r="E377" s="1" t="n">
        <v>46248</v>
      </c>
      <c r="F377" t="inlineStr">
        <is>
          <t>VÄRMLANDS LÄN</t>
        </is>
      </c>
      <c r="G377" t="inlineStr">
        <is>
          <t>KRISTINEHAMN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45944</v>
      </c>
      <c r="E378" s="1" t="n">
        <v>46248</v>
      </c>
      <c r="F378" t="inlineStr">
        <is>
          <t>VÄRMLANDS LÄN</t>
        </is>
      </c>
      <c r="G378" t="inlineStr">
        <is>
          <t>KRISTINEHAMN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46248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Sveaskog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46248</v>
      </c>
      <c r="F380" t="inlineStr">
        <is>
          <t>VÄRMLANDS LÄN</t>
        </is>
      </c>
      <c r="G380" t="inlineStr">
        <is>
          <t>KRISTINEHAMN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46248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25258-2026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46175</v>
      </c>
      <c r="E382" s="1" t="n">
        <v>46248</v>
      </c>
      <c r="F382" t="inlineStr">
        <is>
          <t>VÄRMLANDS LÄN</t>
        </is>
      </c>
      <c r="G382" t="inlineStr">
        <is>
          <t>KRISTINEHAMN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45959</v>
      </c>
      <c r="E383" s="1" t="n">
        <v>46248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Naturvårdsverket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53371-2025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45959</v>
      </c>
      <c r="E384" s="1" t="n">
        <v>46248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Naturvårdsverket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53819-2025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45961</v>
      </c>
      <c r="E385" s="1" t="n">
        <v>46248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Naturvårdsverket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46248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2522-2026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46037</v>
      </c>
      <c r="E387" s="1" t="n">
        <v>46248</v>
      </c>
      <c r="F387" t="inlineStr">
        <is>
          <t>VÄRMLANDS LÄN</t>
        </is>
      </c>
      <c r="G387" t="inlineStr">
        <is>
          <t>KRISTINEHAMN</t>
        </is>
      </c>
      <c r="I387" t="n">
        <v>11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56315-2025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45974</v>
      </c>
      <c r="E388" s="1" t="n">
        <v>46248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31829-2026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46230</v>
      </c>
      <c r="E389" s="1" t="n">
        <v>46248</v>
      </c>
      <c r="F389" t="inlineStr">
        <is>
          <t>VÄRMLANDS LÄN</t>
        </is>
      </c>
      <c r="G389" t="inlineStr">
        <is>
          <t>KRISTINEHAMN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27568-2026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46248</v>
      </c>
      <c r="F390" t="inlineStr">
        <is>
          <t>VÄRMLANDS LÄN</t>
        </is>
      </c>
      <c r="G390" t="inlineStr">
        <is>
          <t>KRISTINEHAMN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46248</v>
      </c>
      <c r="F391" t="inlineStr">
        <is>
          <t>VÄRMLANDS LÄN</t>
        </is>
      </c>
      <c r="G391" t="inlineStr">
        <is>
          <t>KRISTINEHAMN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45995</v>
      </c>
      <c r="E392" s="1" t="n">
        <v>46248</v>
      </c>
      <c r="F392" t="inlineStr">
        <is>
          <t>VÄRMLANDS LÄN</t>
        </is>
      </c>
      <c r="G392" t="inlineStr">
        <is>
          <t>KRISTINEHAMN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46248</v>
      </c>
      <c r="F393" t="inlineStr">
        <is>
          <t>VÄRMLANDS LÄN</t>
        </is>
      </c>
      <c r="G393" t="inlineStr">
        <is>
          <t>KRISTINEHAMN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46248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Naturvårdsverket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60942-2025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46248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60915-2025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46248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46248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Bergvik skog väst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46248</v>
      </c>
      <c r="F398" t="inlineStr">
        <is>
          <t>VÄRMLANDS LÄN</t>
        </is>
      </c>
      <c r="G398" t="inlineStr">
        <is>
          <t>KRISTINEHAMN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61081-2025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46000</v>
      </c>
      <c r="E399" s="1" t="n">
        <v>46248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46248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Bergvik skog väst AB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46003</v>
      </c>
      <c r="E401" s="1" t="n">
        <v>46248</v>
      </c>
      <c r="F401" t="inlineStr">
        <is>
          <t>VÄRMLANDS LÄN</t>
        </is>
      </c>
      <c r="G401" t="inlineStr">
        <is>
          <t>KRISTINEHAMN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61888-2025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46003</v>
      </c>
      <c r="E402" s="1" t="n">
        <v>46248</v>
      </c>
      <c r="F402" t="inlineStr">
        <is>
          <t>VÄRMLANDS LÄN</t>
        </is>
      </c>
      <c r="G402" t="inlineStr">
        <is>
          <t>KRISTINEHAMN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46248</v>
      </c>
      <c r="F403" t="inlineStr">
        <is>
          <t>VÄRMLANDS LÄN</t>
        </is>
      </c>
      <c r="G403" t="inlineStr">
        <is>
          <t>KRISTINEHAMN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46248</v>
      </c>
      <c r="F404" t="inlineStr">
        <is>
          <t>VÄRMLANDS LÄN</t>
        </is>
      </c>
      <c r="G404" t="inlineStr">
        <is>
          <t>KRISTINEHAMN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46248</v>
      </c>
      <c r="F405" t="inlineStr">
        <is>
          <t>VÄRMLANDS LÄN</t>
        </is>
      </c>
      <c r="G405" t="inlineStr">
        <is>
          <t>KRISTINEHAMN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46248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46248</v>
      </c>
      <c r="F407" t="inlineStr">
        <is>
          <t>VÄRMLANDS LÄN</t>
        </is>
      </c>
      <c r="G407" t="inlineStr">
        <is>
          <t>KRISTINEHAMN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46248</v>
      </c>
      <c r="F408" t="inlineStr">
        <is>
          <t>VÄRMLANDS LÄN</t>
        </is>
      </c>
      <c r="G408" t="inlineStr">
        <is>
          <t>KRISTINEHAMN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46248</v>
      </c>
      <c r="F409" t="inlineStr">
        <is>
          <t>VÄRMLANDS LÄN</t>
        </is>
      </c>
      <c r="G409" t="inlineStr">
        <is>
          <t>KRISTINEHAMN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46248</v>
      </c>
      <c r="F410" t="inlineStr">
        <is>
          <t>VÄRMLANDS LÄN</t>
        </is>
      </c>
      <c r="G410" t="inlineStr">
        <is>
          <t>KRISTINEHAMN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46248</v>
      </c>
      <c r="F411" t="inlineStr">
        <is>
          <t>VÄRMLANDS LÄN</t>
        </is>
      </c>
      <c r="G411" t="inlineStr">
        <is>
          <t>KRISTINEHAMN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46248</v>
      </c>
      <c r="F412" t="inlineStr">
        <is>
          <t>VÄRMLANDS LÄN</t>
        </is>
      </c>
      <c r="G412" t="inlineStr">
        <is>
          <t>KRISTINEHAMN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46038</v>
      </c>
      <c r="E413" s="1" t="n">
        <v>46248</v>
      </c>
      <c r="F413" t="inlineStr">
        <is>
          <t>VÄRMLANDS LÄN</t>
        </is>
      </c>
      <c r="G413" t="inlineStr">
        <is>
          <t>KRISTINEHAMN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46248</v>
      </c>
      <c r="F414" t="inlineStr">
        <is>
          <t>VÄRMLANDS LÄN</t>
        </is>
      </c>
      <c r="G414" t="inlineStr">
        <is>
          <t>KRISTINEHAMN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46248</v>
      </c>
      <c r="F415" t="inlineStr">
        <is>
          <t>VÄRMLANDS LÄN</t>
        </is>
      </c>
      <c r="G415" t="inlineStr">
        <is>
          <t>KRISTINEHAMN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46248</v>
      </c>
      <c r="F416" t="inlineStr">
        <is>
          <t>VÄRMLANDS LÄN</t>
        </is>
      </c>
      <c r="G416" t="inlineStr">
        <is>
          <t>KRISTINEHAMN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6259-2026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46051</v>
      </c>
      <c r="E417" s="1" t="n">
        <v>46248</v>
      </c>
      <c r="F417" t="inlineStr">
        <is>
          <t>VÄRMLANDS LÄN</t>
        </is>
      </c>
      <c r="G417" t="inlineStr">
        <is>
          <t>KRISTINEHAMN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46248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46248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46248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46248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46248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46094</v>
      </c>
      <c r="E423" s="1" t="n">
        <v>46248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46248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14757-2026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46101</v>
      </c>
      <c r="E425" s="1" t="n">
        <v>46248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14759-2026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46101</v>
      </c>
      <c r="E426" s="1" t="n">
        <v>46248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46248</v>
      </c>
      <c r="F427" t="inlineStr">
        <is>
          <t>VÄRMLANDS LÄN</t>
        </is>
      </c>
      <c r="G427" t="inlineStr">
        <is>
          <t>KRISTINEHAMN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15646-2026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46106</v>
      </c>
      <c r="E428" s="1" t="n">
        <v>46248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46248</v>
      </c>
      <c r="F429" t="inlineStr">
        <is>
          <t>VÄRMLANDS LÄN</t>
        </is>
      </c>
      <c r="G429" t="inlineStr">
        <is>
          <t>KRISTINEHAMN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32821-2023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45112</v>
      </c>
      <c r="E430" s="1" t="n">
        <v>46248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Kommuner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18902-2026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46129</v>
      </c>
      <c r="E431" s="1" t="n">
        <v>46248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46129</v>
      </c>
      <c r="E432" s="1" t="n">
        <v>46248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32821-2023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45112</v>
      </c>
      <c r="E433" s="1" t="n">
        <v>46248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Kommuner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46248</v>
      </c>
      <c r="F434" t="inlineStr">
        <is>
          <t>VÄRMLANDS LÄN</t>
        </is>
      </c>
      <c r="G434" t="inlineStr">
        <is>
          <t>KRISTINEHAMN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45804</v>
      </c>
      <c r="E435" s="1" t="n">
        <v>46248</v>
      </c>
      <c r="F435" t="inlineStr">
        <is>
          <t>VÄRMLANDS LÄN</t>
        </is>
      </c>
      <c r="G435" t="inlineStr">
        <is>
          <t>KRISTINEHAMN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45888</v>
      </c>
      <c r="E436" s="1" t="n">
        <v>46248</v>
      </c>
      <c r="F436" t="inlineStr">
        <is>
          <t>VÄRMLANDS LÄN</t>
        </is>
      </c>
      <c r="G436" t="inlineStr">
        <is>
          <t>KRISTINEHAMN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46248</v>
      </c>
      <c r="F437" t="inlineStr">
        <is>
          <t>VÄRMLANDS LÄN</t>
        </is>
      </c>
      <c r="G437" t="inlineStr">
        <is>
          <t>KRISTINEHAMN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45811</v>
      </c>
      <c r="E438" s="1" t="n">
        <v>46248</v>
      </c>
      <c r="F438" t="inlineStr">
        <is>
          <t>VÄRMLANDS LÄN</t>
        </is>
      </c>
      <c r="G438" t="inlineStr">
        <is>
          <t>KRISTINEHAMN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60805-2025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46248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45933</v>
      </c>
      <c r="E440" s="1" t="n">
        <v>46248</v>
      </c>
      <c r="F440" t="inlineStr">
        <is>
          <t>VÄRMLANDS LÄN</t>
        </is>
      </c>
      <c r="G440" t="inlineStr">
        <is>
          <t>KRISTINEHAMN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45756</v>
      </c>
      <c r="E441" s="1" t="n">
        <v>46248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1219-2020</t>
        </is>
      </c>
      <c r="B442" t="inlineStr">
        <is>
          <t>samrådsanmälan</t>
        </is>
      </c>
      <c r="C442" t="n">
        <v/>
      </c>
      <c r="D442" s="1" t="n">
        <v>43980</v>
      </c>
      <c r="E442" s="1" t="n">
        <v>46248</v>
      </c>
      <c r="F442" t="inlineStr">
        <is>
          <t>VÄRMLANDS LÄN</t>
        </is>
      </c>
      <c r="G442" t="inlineStr">
        <is>
          <t>KRISTINEHAMN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4147-2023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46248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4149-2023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45247</v>
      </c>
      <c r="E444" s="1" t="n">
        <v>46248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1815-2022</t>
        </is>
      </c>
      <c r="B445" t="inlineStr">
        <is>
          <t>samrådsanmälan</t>
        </is>
      </c>
      <c r="C445" t="inlineStr">
        <is>
          <t>Åtgärd i nyckelbiotop</t>
        </is>
      </c>
      <c r="D445" s="1" t="n">
        <v>44657</v>
      </c>
      <c r="E445" s="1" t="n">
        <v>46248</v>
      </c>
      <c r="F445" t="inlineStr">
        <is>
          <t>VÄRMLANDS LÄN</t>
        </is>
      </c>
      <c r="G445" t="inlineStr">
        <is>
          <t>KRISTINEHAMN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2254-2023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45103</v>
      </c>
      <c r="E446" s="1" t="n">
        <v>46248</v>
      </c>
      <c r="F446" t="inlineStr">
        <is>
          <t>VÄRMLANDS LÄN</t>
        </is>
      </c>
      <c r="G446" t="inlineStr">
        <is>
          <t>KRISTINEHAMN</t>
        </is>
      </c>
      <c r="I446" t="n">
        <v>51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2879-2022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44711</v>
      </c>
      <c r="E447" s="1" t="n">
        <v>46248</v>
      </c>
      <c r="F447" t="inlineStr">
        <is>
          <t>VÄRMLANDS LÄN</t>
        </is>
      </c>
      <c r="G447" t="inlineStr">
        <is>
          <t>KRISTINEHAMN</t>
        </is>
      </c>
      <c r="I447" t="n">
        <v>25.9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1899-2024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46248</v>
      </c>
      <c r="F448" t="inlineStr">
        <is>
          <t>VÄRMLANDS LÄN</t>
        </is>
      </c>
      <c r="G448" t="inlineStr">
        <is>
          <t>KRISTINEHAMN</t>
        </is>
      </c>
      <c r="I448" t="n">
        <v>21.4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2301-2024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45463</v>
      </c>
      <c r="E449" s="1" t="n">
        <v>46248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28.1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2553-2024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45475</v>
      </c>
      <c r="E450" s="1" t="n">
        <v>46248</v>
      </c>
      <c r="F450" t="inlineStr">
        <is>
          <t>VÄRMLANDS LÄN</t>
        </is>
      </c>
      <c r="G450" t="inlineStr">
        <is>
          <t>KRISTINEHAMN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46248</v>
      </c>
      <c r="F451" t="inlineStr">
        <is>
          <t>VÄRMLANDS LÄN</t>
        </is>
      </c>
      <c r="G451" t="inlineStr">
        <is>
          <t>KRISTINEHAMN</t>
        </is>
      </c>
      <c r="I451" t="n">
        <v>53.7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2393-2022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44690</v>
      </c>
      <c r="E452" s="1" t="n">
        <v>46248</v>
      </c>
      <c r="F452" t="inlineStr">
        <is>
          <t>VÄRMLANDS LÄN</t>
        </is>
      </c>
      <c r="G452" t="inlineStr">
        <is>
          <t>KRISTINEHAMN</t>
        </is>
      </c>
      <c r="I452" t="n">
        <v>51.7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46248</v>
      </c>
      <c r="F453" t="inlineStr">
        <is>
          <t>VÄRMLANDS LÄN</t>
        </is>
      </c>
      <c r="G453" t="inlineStr">
        <is>
          <t>KRISTINEHAMN</t>
        </is>
      </c>
      <c r="I453" t="n">
        <v>104.3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717-2023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44985</v>
      </c>
      <c r="E454" s="1" t="n">
        <v>46248</v>
      </c>
      <c r="F454" t="inlineStr">
        <is>
          <t>VÄRMLANDS LÄN</t>
        </is>
      </c>
      <c r="G454" t="inlineStr">
        <is>
          <t>KRISTINEHAMN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45414</v>
      </c>
      <c r="E455" s="1" t="n">
        <v>46248</v>
      </c>
      <c r="F455" t="inlineStr">
        <is>
          <t>VÄRMLANDS LÄN</t>
        </is>
      </c>
      <c r="G455" t="inlineStr">
        <is>
          <t>KRISTINEHAMN</t>
        </is>
      </c>
      <c r="I455" t="n">
        <v>42.9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1900-2024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46248</v>
      </c>
      <c r="F456" t="inlineStr">
        <is>
          <t>VÄRMLANDS LÄN</t>
        </is>
      </c>
      <c r="G456" t="inlineStr">
        <is>
          <t>KRISTINEHAMN</t>
        </is>
      </c>
      <c r="I456" t="n">
        <v>63.5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3374-2024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45533</v>
      </c>
      <c r="E457" s="1" t="n">
        <v>46248</v>
      </c>
      <c r="F457" t="inlineStr">
        <is>
          <t>VÄRMLANDS LÄN</t>
        </is>
      </c>
      <c r="G457" t="inlineStr">
        <is>
          <t>KRISTINEHAMN</t>
        </is>
      </c>
      <c r="I457" t="n">
        <v>18.3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45118</v>
      </c>
      <c r="E458" s="1" t="n">
        <v>46248</v>
      </c>
      <c r="F458" t="inlineStr">
        <is>
          <t>VÄRMLANDS LÄN</t>
        </is>
      </c>
      <c r="G458" t="inlineStr">
        <is>
          <t>KRISTINEHAMN</t>
        </is>
      </c>
      <c r="I458" t="n">
        <v>42.3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4146-2023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45247</v>
      </c>
      <c r="E459" s="1" t="n">
        <v>46248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3007-2024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45512</v>
      </c>
      <c r="E460" s="1" t="n">
        <v>46248</v>
      </c>
      <c r="F460" t="inlineStr">
        <is>
          <t>VÄRMLANDS LÄN</t>
        </is>
      </c>
      <c r="G460" t="inlineStr">
        <is>
          <t>KRISTINEHAMN</t>
        </is>
      </c>
      <c r="I460" t="n">
        <v>56.9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1418-2025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45783</v>
      </c>
      <c r="E461" s="1" t="n">
        <v>46248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1546-2025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45792</v>
      </c>
      <c r="E462" s="1" t="n">
        <v>46248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1698-2025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45805</v>
      </c>
      <c r="E463" s="1" t="n">
        <v>46248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12.6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46040</v>
      </c>
      <c r="E464" s="1" t="n">
        <v>46248</v>
      </c>
      <c r="F464" t="inlineStr">
        <is>
          <t>VÄRMLANDS LÄN</t>
        </is>
      </c>
      <c r="G464" t="inlineStr">
        <is>
          <t>KRISTINEHAMN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46106</v>
      </c>
      <c r="E465" s="1" t="n">
        <v>46248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Sveaskog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99-2026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46036</v>
      </c>
      <c r="E466" s="1" t="n">
        <v>46248</v>
      </c>
      <c r="F466" t="inlineStr">
        <is>
          <t>VÄRMLANDS LÄN</t>
        </is>
      </c>
      <c r="G466" t="inlineStr">
        <is>
          <t>KRISTINEHAMN</t>
        </is>
      </c>
      <c r="H466" t="inlineStr">
        <is>
          <t>Naturvårdsverket</t>
        </is>
      </c>
      <c r="I466" t="n">
        <v>80.8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2026-08-14T01:56:22Z</dcterms:created>
  <dcterms:modified xmlns:dcterms="http://purl.org/dc/terms/" xmlns:xsi="http://www.w3.org/2001/XMLSchema-instance" xsi:type="dcterms:W3CDTF">2026-08-14T01:56:22Z</dcterms:modified>
</cp:coreProperties>
</file>