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46318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46318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46318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46318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46318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46318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46318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46318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46318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46318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13025-2023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45002</v>
      </c>
      <c r="E17" s="1" t="n">
        <v>46318</v>
      </c>
      <c r="F17" t="inlineStr">
        <is>
          <t>VÄRMLANDS LÄN</t>
        </is>
      </c>
      <c r="G17" t="inlineStr">
        <is>
          <t>KRISTINEHAMN</t>
        </is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Kamjordstjärna</t>
        </is>
      </c>
      <c r="W17">
        <f>HYPERLINK("https://klasma.github.io/Logging_1781/artfynd/A 13025-2023 artfynd.xlsx", "A 13025-2023")</f>
        <v/>
      </c>
      <c r="X17">
        <f>HYPERLINK("https://klasma.github.io/Logging_1781/kartor/A 13025-2023 karta.png", "A 13025-2023")</f>
        <v/>
      </c>
      <c r="Y17">
        <f>HYPERLINK("https://klasma.github.io/Logging_1781/kartor_geotiff/A 13025-2023 georefererad karta.tif", "A 13025-2023")</f>
        <v/>
      </c>
      <c r="AA17">
        <f>HYPERLINK("https://klasma.github.io/Logging_1781/klagomål/A 13025-2023 FSC-klagomål.docx", "A 13025-2023")</f>
        <v/>
      </c>
      <c r="AB17">
        <f>HYPERLINK("https://klasma.github.io/Logging_1781/klagomålsmail/A 13025-2023 FSC-klagomål mail.docx", "A 13025-2023")</f>
        <v/>
      </c>
      <c r="AC17">
        <f>HYPERLINK("https://klasma.github.io/Logging_1781/tillsyn/A 13025-2023 tillsynsbegäran.docx", "A 13025-2023")</f>
        <v/>
      </c>
      <c r="AD17">
        <f>HYPERLINK("https://klasma.github.io/Logging_1781/tillsynsmail/A 13025-2023 tillsynsbegäran mail.docx", "A 13025-2023")</f>
        <v/>
      </c>
    </row>
    <row r="18" ht="15" customHeight="1">
      <c r="A18" t="inlineStr">
        <is>
          <t>A 59096-2024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45637</v>
      </c>
      <c r="E18" s="1" t="n">
        <v>46318</v>
      </c>
      <c r="F18" t="inlineStr">
        <is>
          <t>VÄRMLANDS LÄN</t>
        </is>
      </c>
      <c r="G18" t="inlineStr">
        <is>
          <t>KRISTINEHAMN</t>
        </is>
      </c>
      <c r="I18" t="n">
        <v>4.4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3</v>
      </c>
      <c r="U18" t="n">
        <v>0</v>
      </c>
      <c r="V18" s="2" t="inlineStr">
        <is>
          <t>Bombmurkla</t>
        </is>
      </c>
      <c r="W18">
        <f>HYPERLINK("https://klasma.github.io/Logging_1781/artfynd/A 59096-2024 artfynd.xlsx", "A 59096-2024")</f>
        <v/>
      </c>
      <c r="X18">
        <f>HYPERLINK("https://klasma.github.io/Logging_1781/kartor/A 59096-2024 karta.png", "A 59096-2024")</f>
        <v/>
      </c>
      <c r="Y18">
        <f>HYPERLINK("https://klasma.github.io/Logging_1781/kartor_geotiff/A 59096-2024 georefererad karta.tif", "A 59096-2024")</f>
        <v/>
      </c>
      <c r="AA18">
        <f>HYPERLINK("https://klasma.github.io/Logging_1781/klagomål/A 59096-2024 FSC-klagomål.docx", "A 59096-2024")</f>
        <v/>
      </c>
      <c r="AB18">
        <f>HYPERLINK("https://klasma.github.io/Logging_1781/klagomålsmail/A 59096-2024 FSC-klagomål mail.docx", "A 59096-2024")</f>
        <v/>
      </c>
      <c r="AC18">
        <f>HYPERLINK("https://klasma.github.io/Logging_1781/tillsyn/A 59096-2024 tillsynsbegäran.docx", "A 59096-2024")</f>
        <v/>
      </c>
      <c r="AD18">
        <f>HYPERLINK("https://klasma.github.io/Logging_1781/tillsynsmail/A 59096-2024 tillsynsbegäran mail.docx", "A 59096-2024")</f>
        <v/>
      </c>
    </row>
    <row r="19" ht="15" customHeight="1">
      <c r="A19" t="inlineStr">
        <is>
          <t>A 8920-2022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44614</v>
      </c>
      <c r="E19" s="1" t="n">
        <v>46318</v>
      </c>
      <c r="F19" t="inlineStr">
        <is>
          <t>VÄRMLANDS LÄN</t>
        </is>
      </c>
      <c r="G19" t="inlineStr">
        <is>
          <t>KRISTINEHAMN</t>
        </is>
      </c>
      <c r="I19" t="n">
        <v>6.2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8920-2022 artfynd.xlsx", "A 8920-2022")</f>
        <v/>
      </c>
      <c r="X19">
        <f>HYPERLINK("https://klasma.github.io/Logging_1781/kartor/A 8920-2022 karta.png", "A 8920-2022")</f>
        <v/>
      </c>
      <c r="Y19">
        <f>HYPERLINK("https://klasma.github.io/Logging_1781/kartor_geotiff/A 8920-2022 georefererad karta.tif", "A 8920-2022")</f>
        <v/>
      </c>
      <c r="AA19">
        <f>HYPERLINK("https://klasma.github.io/Logging_1781/klagomål/A 8920-2022 FSC-klagomål.docx", "A 8920-2022")</f>
        <v/>
      </c>
      <c r="AB19">
        <f>HYPERLINK("https://klasma.github.io/Logging_1781/klagomålsmail/A 8920-2022 FSC-klagomål mail.docx", "A 8920-2022")</f>
        <v/>
      </c>
      <c r="AC19">
        <f>HYPERLINK("https://klasma.github.io/Logging_1781/tillsyn/A 8920-2022 tillsynsbegäran.docx", "A 8920-2022")</f>
        <v/>
      </c>
      <c r="AD19">
        <f>HYPERLINK("https://klasma.github.io/Logging_1781/tillsynsmail/A 8920-2022 tillsynsbegäran mail.docx", "A 8920-2022")</f>
        <v/>
      </c>
    </row>
    <row r="20" ht="15" customHeight="1">
      <c r="A20" t="inlineStr">
        <is>
          <t>A 25888-2025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46318</v>
      </c>
      <c r="F20" t="inlineStr">
        <is>
          <t>VÄRMLANDS LÄN</t>
        </is>
      </c>
      <c r="G20" t="inlineStr">
        <is>
          <t>KRISTINEHAMN</t>
        </is>
      </c>
      <c r="I20" t="n">
        <v>5.9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HYPERLINK("https://klasma.github.io/Logging_1781/artfynd/A 25888-2025 artfynd.xlsx", "A 25888-2025")</f>
        <v/>
      </c>
      <c r="X20">
        <f>HYPERLINK("https://klasma.github.io/Logging_1781/kartor/A 25888-2025 karta.png", "A 25888-2025")</f>
        <v/>
      </c>
      <c r="Y20">
        <f>HYPERLINK("https://klasma.github.io/Logging_1781/kartor_geotiff/A 25888-2025 georefererad karta.tif", "A 25888-2025")</f>
        <v/>
      </c>
      <c r="AA20">
        <f>HYPERLINK("https://klasma.github.io/Logging_1781/klagomål/A 25888-2025 FSC-klagomål.docx", "A 25888-2025")</f>
        <v/>
      </c>
      <c r="AB20">
        <f>HYPERLINK("https://klasma.github.io/Logging_1781/klagomålsmail/A 25888-2025 FSC-klagomål mail.docx", "A 25888-2025")</f>
        <v/>
      </c>
      <c r="AC20">
        <f>HYPERLINK("https://klasma.github.io/Logging_1781/tillsyn/A 25888-2025 tillsynsbegäran.docx", "A 25888-2025")</f>
        <v/>
      </c>
      <c r="AD20">
        <f>HYPERLINK("https://klasma.github.io/Logging_1781/tillsynsmail/A 25888-2025 tillsynsbegäran mail.docx", "A 25888-2025")</f>
        <v/>
      </c>
      <c r="AE20">
        <f>HYPERLINK("https://klasma.github.io/Logging_1781/fåglar/A 25888-2025 prioriterade fågelarter.docx", "A 25888-2025")</f>
        <v/>
      </c>
    </row>
    <row r="21" ht="15" customHeight="1">
      <c r="A21" t="inlineStr">
        <is>
          <t>A 36792-2023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45154</v>
      </c>
      <c r="E21" s="1" t="n">
        <v>46318</v>
      </c>
      <c r="F21" t="inlineStr">
        <is>
          <t>VÄRMLANDS LÄN</t>
        </is>
      </c>
      <c r="G21" t="inlineStr">
        <is>
          <t>KRISTINEHAMN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HYPERLINK("https://klasma.github.io/Logging_1781/artfynd/A 36792-2023 artfynd.xlsx", "A 36792-2023")</f>
        <v/>
      </c>
      <c r="X21">
        <f>HYPERLINK("https://klasma.github.io/Logging_1781/kartor/A 36792-2023 karta.png", "A 36792-2023")</f>
        <v/>
      </c>
      <c r="Y21">
        <f>HYPERLINK("https://klasma.github.io/Logging_1781/kartor_geotiff/A 36792-2023 georefererad karta.tif", "A 36792-2023")</f>
        <v/>
      </c>
      <c r="AA21">
        <f>HYPERLINK("https://klasma.github.io/Logging_1781/klagomål/A 36792-2023 FSC-klagomål.docx", "A 36792-2023")</f>
        <v/>
      </c>
      <c r="AB21">
        <f>HYPERLINK("https://klasma.github.io/Logging_1781/klagomålsmail/A 36792-2023 FSC-klagomål mail.docx", "A 36792-2023")</f>
        <v/>
      </c>
      <c r="AC21">
        <f>HYPERLINK("https://klasma.github.io/Logging_1781/tillsyn/A 36792-2023 tillsynsbegäran.docx", "A 36792-2023")</f>
        <v/>
      </c>
      <c r="AD21">
        <f>HYPERLINK("https://klasma.github.io/Logging_1781/tillsynsmail/A 36792-2023 tillsynsbegäran mail.docx", "A 36792-2023")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46318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45122-2022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44843</v>
      </c>
      <c r="E23" s="1" t="n">
        <v>46318</v>
      </c>
      <c r="F23" t="inlineStr">
        <is>
          <t>VÄRMLANDS LÄN</t>
        </is>
      </c>
      <c r="G23" t="inlineStr">
        <is>
          <t>KRISTINEHAMN</t>
        </is>
      </c>
      <c r="I23" t="n">
        <v>3.3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Dvärglin</t>
        </is>
      </c>
      <c r="W23">
        <f>HYPERLINK("https://klasma.github.io/Logging_1781/artfynd/A 45122-2022 artfynd.xlsx", "A 45122-2022")</f>
        <v/>
      </c>
      <c r="X23">
        <f>HYPERLINK("https://klasma.github.io/Logging_1781/kartor/A 45122-2022 karta.png", "A 45122-2022")</f>
        <v/>
      </c>
      <c r="Y23">
        <f>HYPERLINK("https://klasma.github.io/Logging_1781/kartor_geotiff/A 45122-2022 georefererad karta.tif", "A 45122-2022")</f>
        <v/>
      </c>
      <c r="AA23">
        <f>HYPERLINK("https://klasma.github.io/Logging_1781/klagomål/A 45122-2022 FSC-klagomål.docx", "A 45122-2022")</f>
        <v/>
      </c>
      <c r="AB23">
        <f>HYPERLINK("https://klasma.github.io/Logging_1781/klagomålsmail/A 45122-2022 FSC-klagomål mail.docx", "A 45122-2022")</f>
        <v/>
      </c>
      <c r="AC23">
        <f>HYPERLINK("https://klasma.github.io/Logging_1781/tillsyn/A 45122-2022 tillsynsbegäran.docx", "A 45122-2022")</f>
        <v/>
      </c>
      <c r="AD23">
        <f>HYPERLINK("https://klasma.github.io/Logging_1781/tillsynsmail/A 45122-2022 tillsynsbegäran mail.docx", "A 45122-2022")</f>
        <v/>
      </c>
    </row>
    <row r="24" ht="15" customHeight="1">
      <c r="A24" t="inlineStr">
        <is>
          <t>A 5494-2025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46318</v>
      </c>
      <c r="F24" t="inlineStr">
        <is>
          <t>VÄRMLANDS LÄN</t>
        </is>
      </c>
      <c r="G24" t="inlineStr">
        <is>
          <t>KRISTINEHAMN</t>
        </is>
      </c>
      <c r="I24" t="n">
        <v>8.699999999999999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Jungfrulin</t>
        </is>
      </c>
      <c r="W24">
        <f>HYPERLINK("https://klasma.github.io/Logging_1781/artfynd/A 5494-2025 artfynd.xlsx", "A 5494-2025")</f>
        <v/>
      </c>
      <c r="X24">
        <f>HYPERLINK("https://klasma.github.io/Logging_1781/kartor/A 5494-2025 karta.png", "A 5494-2025")</f>
        <v/>
      </c>
      <c r="Y24">
        <f>HYPERLINK("https://klasma.github.io/Logging_1781/kartor_geotiff/A 5494-2025 georefererad karta.tif", "A 5494-2025")</f>
        <v/>
      </c>
      <c r="AA24">
        <f>HYPERLINK("https://klasma.github.io/Logging_1781/klagomål/A 5494-2025 FSC-klagomål.docx", "A 5494-2025")</f>
        <v/>
      </c>
      <c r="AB24">
        <f>HYPERLINK("https://klasma.github.io/Logging_1781/klagomålsmail/A 5494-2025 FSC-klagomål mail.docx", "A 5494-2025")</f>
        <v/>
      </c>
      <c r="AC24">
        <f>HYPERLINK("https://klasma.github.io/Logging_1781/tillsyn/A 5494-2025 tillsynsbegäran.docx", "A 5494-2025")</f>
        <v/>
      </c>
      <c r="AD24">
        <f>HYPERLINK("https://klasma.github.io/Logging_1781/tillsynsmail/A 5494-2025 tillsynsbegäran mail.docx", "A 5494-2025")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46318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46318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20746-2026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46318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6.3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20746-2026 artfynd.xlsx", "A 20746-2026")</f>
        <v/>
      </c>
      <c r="X27">
        <f>HYPERLINK("https://klasma.github.io/Logging_1781/kartor/A 20746-2026 karta.png", "A 20746-2026")</f>
        <v/>
      </c>
      <c r="Y27">
        <f>HYPERLINK("https://klasma.github.io/Logging_1781/kartor_geotiff/A 20746-2026 georefererad karta.tif", "A 20746-2026")</f>
        <v/>
      </c>
      <c r="AA27">
        <f>HYPERLINK("https://klasma.github.io/Logging_1781/klagomål/A 20746-2026 FSC-klagomål.docx", "A 20746-2026")</f>
        <v/>
      </c>
      <c r="AB27">
        <f>HYPERLINK("https://klasma.github.io/Logging_1781/klagomålsmail/A 20746-2026 FSC-klagomål mail.docx", "A 20746-2026")</f>
        <v/>
      </c>
      <c r="AC27">
        <f>HYPERLINK("https://klasma.github.io/Logging_1781/tillsyn/A 20746-2026 tillsynsbegäran.docx", "A 20746-2026")</f>
        <v/>
      </c>
      <c r="AD27">
        <f>HYPERLINK("https://klasma.github.io/Logging_1781/tillsynsmail/A 20746-2026 tillsynsbegäran mail.docx", "A 20746-2026")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46318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46318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46318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3302-2022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46318</v>
      </c>
      <c r="F31" t="inlineStr">
        <is>
          <t>VÄRMLANDS LÄN</t>
        </is>
      </c>
      <c r="G31" t="inlineStr">
        <is>
          <t>KRISTINEHAMN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3302-2022 artfynd.xlsx", "A 3302-2022")</f>
        <v/>
      </c>
      <c r="X31">
        <f>HYPERLINK("https://klasma.github.io/Logging_1781/kartor/A 3302-2022 karta.png", "A 3302-2022")</f>
        <v/>
      </c>
      <c r="Y31">
        <f>HYPERLINK("https://klasma.github.io/Logging_1781/kartor_geotiff/A 3302-2022 georefererad karta.tif", "A 3302-2022")</f>
        <v/>
      </c>
      <c r="AA31">
        <f>HYPERLINK("https://klasma.github.io/Logging_1781/klagomål/A 3302-2022 FSC-klagomål.docx", "A 3302-2022")</f>
        <v/>
      </c>
      <c r="AB31">
        <f>HYPERLINK("https://klasma.github.io/Logging_1781/klagomålsmail/A 3302-2022 FSC-klagomål mail.docx", "A 3302-2022")</f>
        <v/>
      </c>
      <c r="AC31">
        <f>HYPERLINK("https://klasma.github.io/Logging_1781/tillsyn/A 3302-2022 tillsynsbegäran.docx", "A 3302-2022")</f>
        <v/>
      </c>
      <c r="AD31">
        <f>HYPERLINK("https://klasma.github.io/Logging_1781/tillsynsmail/A 3302-2022 tillsynsbegäran mail.docx", "A 3302-2022")</f>
        <v/>
      </c>
    </row>
    <row r="32" ht="15" customHeight="1">
      <c r="A32" t="inlineStr">
        <is>
          <t>A 2406-2025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45674</v>
      </c>
      <c r="E32" s="1" t="n">
        <v>46318</v>
      </c>
      <c r="F32" t="inlineStr">
        <is>
          <t>VÄRMLANDS LÄN</t>
        </is>
      </c>
      <c r="G32" t="inlineStr">
        <is>
          <t>KRISTINEHAMN</t>
        </is>
      </c>
      <c r="I32" t="n">
        <v>9.699999999999999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HYPERLINK("https://klasma.github.io/Logging_1781/artfynd/A 2406-2025 artfynd.xlsx", "A 2406-2025")</f>
        <v/>
      </c>
      <c r="X32">
        <f>HYPERLINK("https://klasma.github.io/Logging_1781/kartor/A 2406-2025 karta.png", "A 2406-2025")</f>
        <v/>
      </c>
      <c r="Y32">
        <f>HYPERLINK("https://klasma.github.io/Logging_1781/kartor_geotiff/A 2406-2025 georefererad karta.tif", "A 2406-2025")</f>
        <v/>
      </c>
      <c r="AA32">
        <f>HYPERLINK("https://klasma.github.io/Logging_1781/klagomål/A 2406-2025 FSC-klagomål.docx", "A 2406-2025")</f>
        <v/>
      </c>
      <c r="AB32">
        <f>HYPERLINK("https://klasma.github.io/Logging_1781/klagomålsmail/A 2406-2025 FSC-klagomål mail.docx", "A 2406-2025")</f>
        <v/>
      </c>
      <c r="AC32">
        <f>HYPERLINK("https://klasma.github.io/Logging_1781/tillsyn/A 2406-2025 tillsynsbegäran.docx", "A 2406-2025")</f>
        <v/>
      </c>
      <c r="AD32">
        <f>HYPERLINK("https://klasma.github.io/Logging_1781/tillsynsmail/A 2406-2025 tillsynsbegäran mail.docx", "A 2406-2025")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46318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46318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8714-2024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46318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Bombmurkla</t>
        </is>
      </c>
      <c r="W35">
        <f>HYPERLINK("https://klasma.github.io/Logging_1781/artfynd/A 8714-2024 artfynd.xlsx", "A 8714-2024")</f>
        <v/>
      </c>
      <c r="X35">
        <f>HYPERLINK("https://klasma.github.io/Logging_1781/kartor/A 8714-2024 karta.png", "A 8714-2024")</f>
        <v/>
      </c>
      <c r="Y35">
        <f>HYPERLINK("https://klasma.github.io/Logging_1781/kartor_geotiff/A 8714-2024 georefererad karta.tif", "A 8714-2024")</f>
        <v/>
      </c>
      <c r="AA35">
        <f>HYPERLINK("https://klasma.github.io/Logging_1781/klagomål/A 8714-2024 FSC-klagomål.docx", "A 8714-2024")</f>
        <v/>
      </c>
      <c r="AB35">
        <f>HYPERLINK("https://klasma.github.io/Logging_1781/klagomålsmail/A 8714-2024 FSC-klagomål mail.docx", "A 8714-2024")</f>
        <v/>
      </c>
      <c r="AC35">
        <f>HYPERLINK("https://klasma.github.io/Logging_1781/tillsyn/A 8714-2024 tillsynsbegäran.docx", "A 8714-2024")</f>
        <v/>
      </c>
      <c r="AD35">
        <f>HYPERLINK("https://klasma.github.io/Logging_1781/tillsynsmail/A 8714-2024 tillsynsbegäran mail.docx", "A 8714-2024")</f>
        <v/>
      </c>
    </row>
    <row r="36" ht="15" customHeight="1">
      <c r="A36" t="inlineStr">
        <is>
          <t>A 54771-2022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46318</v>
      </c>
      <c r="F36" t="inlineStr">
        <is>
          <t>VÄRMLANDS LÄN</t>
        </is>
      </c>
      <c r="G36" t="inlineStr">
        <is>
          <t>KRISTINEHAMN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HYPERLINK("https://klasma.github.io/Logging_1781/artfynd/A 54771-2022 artfynd.xlsx", "A 54771-2022")</f>
        <v/>
      </c>
      <c r="X36">
        <f>HYPERLINK("https://klasma.github.io/Logging_1781/kartor/A 54771-2022 karta.png", "A 54771-2022")</f>
        <v/>
      </c>
      <c r="Y36">
        <f>HYPERLINK("https://klasma.github.io/Logging_1781/kartor_geotiff/A 54771-2022 georefererad karta.tif", "A 54771-2022")</f>
        <v/>
      </c>
      <c r="AA36">
        <f>HYPERLINK("https://klasma.github.io/Logging_1781/klagomål/A 54771-2022 FSC-klagomål.docx", "A 54771-2022")</f>
        <v/>
      </c>
      <c r="AB36">
        <f>HYPERLINK("https://klasma.github.io/Logging_1781/klagomålsmail/A 54771-2022 FSC-klagomål mail.docx", "A 54771-2022")</f>
        <v/>
      </c>
      <c r="AC36">
        <f>HYPERLINK("https://klasma.github.io/Logging_1781/tillsyn/A 54771-2022 tillsynsbegäran.docx", "A 54771-2022")</f>
        <v/>
      </c>
      <c r="AD36">
        <f>HYPERLINK("https://klasma.github.io/Logging_1781/tillsynsmail/A 54771-2022 tillsynsbegäran mail.docx", "A 54771-2022")</f>
        <v/>
      </c>
      <c r="AE36">
        <f>HYPERLINK("https://klasma.github.io/Logging_1781/fåglar/A 54771-2022 prioriterade fågelarter.docx", "A 54771-2022")</f>
        <v/>
      </c>
    </row>
    <row r="37" ht="15" customHeight="1">
      <c r="A37" t="inlineStr">
        <is>
          <t>A 12593-2024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45380</v>
      </c>
      <c r="E37" s="1" t="n">
        <v>46318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Bombmurkla</t>
        </is>
      </c>
      <c r="W37">
        <f>HYPERLINK("https://klasma.github.io/Logging_1781/artfynd/A 12593-2024 artfynd.xlsx", "A 12593-2024")</f>
        <v/>
      </c>
      <c r="X37">
        <f>HYPERLINK("https://klasma.github.io/Logging_1781/kartor/A 12593-2024 karta.png", "A 12593-2024")</f>
        <v/>
      </c>
      <c r="Y37">
        <f>HYPERLINK("https://klasma.github.io/Logging_1781/kartor_geotiff/A 12593-2024 georefererad karta.tif", "A 12593-2024")</f>
        <v/>
      </c>
      <c r="AA37">
        <f>HYPERLINK("https://klasma.github.io/Logging_1781/klagomål/A 12593-2024 FSC-klagomål.docx", "A 12593-2024")</f>
        <v/>
      </c>
      <c r="AB37">
        <f>HYPERLINK("https://klasma.github.io/Logging_1781/klagomålsmail/A 12593-2024 FSC-klagomål mail.docx", "A 12593-2024")</f>
        <v/>
      </c>
      <c r="AC37">
        <f>HYPERLINK("https://klasma.github.io/Logging_1781/tillsyn/A 12593-2024 tillsynsbegäran.docx", "A 12593-2024")</f>
        <v/>
      </c>
      <c r="AD37">
        <f>HYPERLINK("https://klasma.github.io/Logging_1781/tillsynsmail/A 12593-2024 tillsynsbegäran mail.docx", "A 12593-2024")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46318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46318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46318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46318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46318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46318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46318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46318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46318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46318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46318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46318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46318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46318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46318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46318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46318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46318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46318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46318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46318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46318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46318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44497</v>
      </c>
      <c r="E61" s="1" t="n">
        <v>46318</v>
      </c>
      <c r="F61" t="inlineStr">
        <is>
          <t>VÄRMLANDS LÄN</t>
        </is>
      </c>
      <c r="G61" t="inlineStr">
        <is>
          <t>KRISTINEHAMN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46318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46318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46318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46318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46318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46318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46318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46318</v>
      </c>
      <c r="F69" t="inlineStr">
        <is>
          <t>VÄRMLANDS LÄN</t>
        </is>
      </c>
      <c r="G69" t="inlineStr">
        <is>
          <t>KRISTINEHAMN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46318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44584</v>
      </c>
      <c r="E71" s="1" t="n">
        <v>46318</v>
      </c>
      <c r="F71" t="inlineStr">
        <is>
          <t>VÄRMLANDS LÄN</t>
        </is>
      </c>
      <c r="G71" t="inlineStr">
        <is>
          <t>KRISTINEHAMN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46318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46318</v>
      </c>
      <c r="F73" t="inlineStr">
        <is>
          <t>VÄRMLANDS LÄN</t>
        </is>
      </c>
      <c r="G73" t="inlineStr">
        <is>
          <t>KRISTINEHAMN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46318</v>
      </c>
      <c r="F74" t="inlineStr">
        <is>
          <t>VÄRMLANDS LÄN</t>
        </is>
      </c>
      <c r="G74" t="inlineStr">
        <is>
          <t>KRISTINEHAMN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46318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46318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44707</v>
      </c>
      <c r="E77" s="1" t="n">
        <v>46318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44591</v>
      </c>
      <c r="E78" s="1" t="n">
        <v>46318</v>
      </c>
      <c r="F78" t="inlineStr">
        <is>
          <t>VÄRMLANDS LÄN</t>
        </is>
      </c>
      <c r="G78" t="inlineStr">
        <is>
          <t>KRISTINEHAMN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46318</v>
      </c>
      <c r="F79" t="inlineStr">
        <is>
          <t>VÄRMLANDS LÄN</t>
        </is>
      </c>
      <c r="G79" t="inlineStr">
        <is>
          <t>KRISTINEHAMN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46318</v>
      </c>
      <c r="F80" t="inlineStr">
        <is>
          <t>VÄRMLANDS LÄN</t>
        </is>
      </c>
      <c r="G80" t="inlineStr">
        <is>
          <t>KRISTINEHAMN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46318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46318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46318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46318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46318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45121</v>
      </c>
      <c r="E86" s="1" t="n">
        <v>46318</v>
      </c>
      <c r="F86" t="inlineStr">
        <is>
          <t>VÄRMLANDS LÄN</t>
        </is>
      </c>
      <c r="G86" t="inlineStr">
        <is>
          <t>KRISTINEHAMN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46318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46318</v>
      </c>
      <c r="F88" t="inlineStr">
        <is>
          <t>VÄRMLANDS LÄN</t>
        </is>
      </c>
      <c r="G88" t="inlineStr">
        <is>
          <t>KRISTINEHAMN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46318</v>
      </c>
      <c r="F89" t="inlineStr">
        <is>
          <t>VÄRMLANDS LÄN</t>
        </is>
      </c>
      <c r="G89" t="inlineStr">
        <is>
          <t>KRISTINEHAMN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46318</v>
      </c>
      <c r="F90" t="inlineStr">
        <is>
          <t>VÄRMLANDS LÄN</t>
        </is>
      </c>
      <c r="G90" t="inlineStr">
        <is>
          <t>KRISTINEHAMN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46318</v>
      </c>
      <c r="F91" t="inlineStr">
        <is>
          <t>VÄRMLANDS LÄN</t>
        </is>
      </c>
      <c r="G91" t="inlineStr">
        <is>
          <t>KRISTINEHAMN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45802</v>
      </c>
      <c r="E92" s="1" t="n">
        <v>46318</v>
      </c>
      <c r="F92" t="inlineStr">
        <is>
          <t>VÄRMLANDS LÄN</t>
        </is>
      </c>
      <c r="G92" t="inlineStr">
        <is>
          <t>KRISTINEHAMN</t>
        </is>
      </c>
      <c r="H92" t="inlineStr">
        <is>
          <t>Naturvårdsverket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46318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46318</v>
      </c>
      <c r="F94" t="inlineStr">
        <is>
          <t>VÄRMLANDS LÄN</t>
        </is>
      </c>
      <c r="G94" t="inlineStr">
        <is>
          <t>KRISTINEHAMN</t>
        </is>
      </c>
      <c r="H94" t="inlineStr">
        <is>
          <t>Kommuner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46318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46318</v>
      </c>
      <c r="F96" t="inlineStr">
        <is>
          <t>VÄRMLANDS LÄN</t>
        </is>
      </c>
      <c r="G96" t="inlineStr">
        <is>
          <t>KRISTINEHAMN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44841</v>
      </c>
      <c r="E97" s="1" t="n">
        <v>46318</v>
      </c>
      <c r="F97" t="inlineStr">
        <is>
          <t>VÄRMLANDS LÄN</t>
        </is>
      </c>
      <c r="G97" t="inlineStr">
        <is>
          <t>KRISTINEHAMN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46318</v>
      </c>
      <c r="F98" t="inlineStr">
        <is>
          <t>VÄRMLANDS LÄN</t>
        </is>
      </c>
      <c r="G98" t="inlineStr">
        <is>
          <t>KRISTINEHAMN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46318</v>
      </c>
      <c r="F99" t="inlineStr">
        <is>
          <t>VÄRMLANDS LÄN</t>
        </is>
      </c>
      <c r="G99" t="inlineStr">
        <is>
          <t>KRISTINEHAMN</t>
        </is>
      </c>
      <c r="I99" t="n">
        <v>14.9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46318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45081</v>
      </c>
      <c r="E101" s="1" t="n">
        <v>46318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46318</v>
      </c>
      <c r="F102" t="inlineStr">
        <is>
          <t>VÄRMLANDS LÄN</t>
        </is>
      </c>
      <c r="G102" t="inlineStr">
        <is>
          <t>KRISTINEHAMN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46318</v>
      </c>
      <c r="F103" t="inlineStr">
        <is>
          <t>VÄRMLANDS LÄN</t>
        </is>
      </c>
      <c r="G103" t="inlineStr">
        <is>
          <t>KRISTINEHAMN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46318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46318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68505-2021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46318</v>
      </c>
      <c r="F106" t="inlineStr">
        <is>
          <t>VÄRMLANDS LÄN</t>
        </is>
      </c>
      <c r="G106" t="inlineStr">
        <is>
          <t>KRISTINEHAMN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44991</v>
      </c>
      <c r="E107" s="1" t="n">
        <v>46318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45095</v>
      </c>
      <c r="E108" s="1" t="n">
        <v>46318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46318</v>
      </c>
      <c r="F109" t="inlineStr">
        <is>
          <t>VÄRMLANDS LÄN</t>
        </is>
      </c>
      <c r="G109" t="inlineStr">
        <is>
          <t>KRISTINEHAMN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45749</v>
      </c>
      <c r="E110" s="1" t="n">
        <v>46318</v>
      </c>
      <c r="F110" t="inlineStr">
        <is>
          <t>VÄRMLANDS LÄN</t>
        </is>
      </c>
      <c r="G110" t="inlineStr">
        <is>
          <t>KRISTINEHAMN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46318</v>
      </c>
      <c r="F111" t="inlineStr">
        <is>
          <t>VÄRMLANDS LÄN</t>
        </is>
      </c>
      <c r="G111" t="inlineStr">
        <is>
          <t>KRISTINEHAMN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32409-2023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45110</v>
      </c>
      <c r="E112" s="1" t="n">
        <v>46318</v>
      </c>
      <c r="F112" t="inlineStr">
        <is>
          <t>VÄRMLANDS LÄN</t>
        </is>
      </c>
      <c r="G112" t="inlineStr">
        <is>
          <t>KRISTINEHAMN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46318</v>
      </c>
      <c r="F113" t="inlineStr">
        <is>
          <t>VÄRMLANDS LÄN</t>
        </is>
      </c>
      <c r="G113" t="inlineStr">
        <is>
          <t>KRISTINEHAMN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46318</v>
      </c>
      <c r="F114" t="inlineStr">
        <is>
          <t>VÄRMLANDS LÄN</t>
        </is>
      </c>
      <c r="G114" t="inlineStr">
        <is>
          <t>KRISTINEHAMN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46318</v>
      </c>
      <c r="F115" t="inlineStr">
        <is>
          <t>VÄRMLANDS LÄN</t>
        </is>
      </c>
      <c r="G115" t="inlineStr">
        <is>
          <t>KRISTINEHAMN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46318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Kommuner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46318</v>
      </c>
      <c r="F117" t="inlineStr">
        <is>
          <t>VÄRMLANDS LÄN</t>
        </is>
      </c>
      <c r="G117" t="inlineStr">
        <is>
          <t>KRISTINEHAMN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46318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Kommuner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45176</v>
      </c>
      <c r="E119" s="1" t="n">
        <v>46318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Naturvårdsverket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46318</v>
      </c>
      <c r="F120" t="inlineStr">
        <is>
          <t>VÄRMLANDS LÄN</t>
        </is>
      </c>
      <c r="G120" t="inlineStr">
        <is>
          <t>KRISTINEHAMN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46318</v>
      </c>
      <c r="F121" t="inlineStr">
        <is>
          <t>VÄRMLANDS LÄN</t>
        </is>
      </c>
      <c r="G121" t="inlineStr">
        <is>
          <t>KRISTINEHAMN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46318</v>
      </c>
      <c r="F122" t="inlineStr">
        <is>
          <t>VÄRMLANDS LÄN</t>
        </is>
      </c>
      <c r="G122" t="inlineStr">
        <is>
          <t>KRISTINEHAMN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46318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46318</v>
      </c>
      <c r="F124" t="inlineStr">
        <is>
          <t>VÄRMLANDS LÄN</t>
        </is>
      </c>
      <c r="G124" t="inlineStr">
        <is>
          <t>KRISTINEHAMN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45364</v>
      </c>
      <c r="E125" s="1" t="n">
        <v>46318</v>
      </c>
      <c r="F125" t="inlineStr">
        <is>
          <t>VÄRMLANDS LÄN</t>
        </is>
      </c>
      <c r="G125" t="inlineStr">
        <is>
          <t>KRISTINEHAMN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46318</v>
      </c>
      <c r="F126" t="inlineStr">
        <is>
          <t>VÄRMLANDS LÄN</t>
        </is>
      </c>
      <c r="G126" t="inlineStr">
        <is>
          <t>KRISTINEHAMN</t>
        </is>
      </c>
      <c r="I126" t="n">
        <v>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46318</v>
      </c>
      <c r="F127" t="inlineStr">
        <is>
          <t>VÄRMLANDS LÄN</t>
        </is>
      </c>
      <c r="G127" t="inlineStr">
        <is>
          <t>KRISTINEHAMN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46318</v>
      </c>
      <c r="F128" t="inlineStr">
        <is>
          <t>VÄRMLANDS LÄN</t>
        </is>
      </c>
      <c r="G128" t="inlineStr">
        <is>
          <t>KRISTINEHAMN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46318</v>
      </c>
      <c r="F129" t="inlineStr">
        <is>
          <t>VÄRMLANDS LÄN</t>
        </is>
      </c>
      <c r="G129" t="inlineStr">
        <is>
          <t>KRISTINEHAMN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46318</v>
      </c>
      <c r="F130" t="inlineStr">
        <is>
          <t>VÄRMLANDS LÄN</t>
        </is>
      </c>
      <c r="G130" t="inlineStr">
        <is>
          <t>KRISTINEHAMN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46318</v>
      </c>
      <c r="F131" t="inlineStr">
        <is>
          <t>VÄRMLANDS LÄN</t>
        </is>
      </c>
      <c r="G131" t="inlineStr">
        <is>
          <t>KRISTINEHAMN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46318</v>
      </c>
      <c r="F132" t="inlineStr">
        <is>
          <t>VÄRMLANDS LÄN</t>
        </is>
      </c>
      <c r="G132" t="inlineStr">
        <is>
          <t>KRISTINEHAMN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46318</v>
      </c>
      <c r="F133" t="inlineStr">
        <is>
          <t>VÄRMLANDS LÄN</t>
        </is>
      </c>
      <c r="G133" t="inlineStr">
        <is>
          <t>KRISTINEHAMN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46318</v>
      </c>
      <c r="F134" t="inlineStr">
        <is>
          <t>VÄRMLANDS LÄN</t>
        </is>
      </c>
      <c r="G134" t="inlineStr">
        <is>
          <t>KRISTINEHAMN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46318</v>
      </c>
      <c r="F135" t="inlineStr">
        <is>
          <t>VÄRMLANDS LÄN</t>
        </is>
      </c>
      <c r="G135" t="inlineStr">
        <is>
          <t>KRISTINEHAMN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44497</v>
      </c>
      <c r="E136" s="1" t="n">
        <v>46318</v>
      </c>
      <c r="F136" t="inlineStr">
        <is>
          <t>VÄRMLANDS LÄN</t>
        </is>
      </c>
      <c r="G136" t="inlineStr">
        <is>
          <t>KRISTINEHAMN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44677</v>
      </c>
      <c r="E137" s="1" t="n">
        <v>46318</v>
      </c>
      <c r="F137" t="inlineStr">
        <is>
          <t>VÄRMLANDS LÄN</t>
        </is>
      </c>
      <c r="G137" t="inlineStr">
        <is>
          <t>KRISTINEHAMN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46318</v>
      </c>
      <c r="F138" t="inlineStr">
        <is>
          <t>VÄRMLANDS LÄN</t>
        </is>
      </c>
      <c r="G138" t="inlineStr">
        <is>
          <t>KRISTINEHAMN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46318</v>
      </c>
      <c r="F139" t="inlineStr">
        <is>
          <t>VÄRMLANDS LÄN</t>
        </is>
      </c>
      <c r="G139" t="inlineStr">
        <is>
          <t>KRISTINEHAMN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46318</v>
      </c>
      <c r="F140" t="inlineStr">
        <is>
          <t>VÄRMLANDS LÄN</t>
        </is>
      </c>
      <c r="G140" t="inlineStr">
        <is>
          <t>KRISTINEHAMN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46318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46318</v>
      </c>
      <c r="F142" t="inlineStr">
        <is>
          <t>VÄRMLANDS LÄN</t>
        </is>
      </c>
      <c r="G142" t="inlineStr">
        <is>
          <t>KRISTINEHAMN</t>
        </is>
      </c>
      <c r="I142" t="n">
        <v>20.1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46318</v>
      </c>
      <c r="F143" t="inlineStr">
        <is>
          <t>VÄRMLANDS LÄN</t>
        </is>
      </c>
      <c r="G143" t="inlineStr">
        <is>
          <t>KRISTINEHAMN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45664</v>
      </c>
      <c r="E144" s="1" t="n">
        <v>46318</v>
      </c>
      <c r="F144" t="inlineStr">
        <is>
          <t>VÄRMLANDS LÄN</t>
        </is>
      </c>
      <c r="G144" t="inlineStr">
        <is>
          <t>KRISTINEHAMN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45302</v>
      </c>
      <c r="E145" s="1" t="n">
        <v>46318</v>
      </c>
      <c r="F145" t="inlineStr">
        <is>
          <t>VÄRMLANDS LÄN</t>
        </is>
      </c>
      <c r="G145" t="inlineStr">
        <is>
          <t>KRISTINEHAMN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46318</v>
      </c>
      <c r="F146" t="inlineStr">
        <is>
          <t>VÄRMLANDS LÄN</t>
        </is>
      </c>
      <c r="G146" t="inlineStr">
        <is>
          <t>KRISTINEHAMN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45456</v>
      </c>
      <c r="E147" s="1" t="n">
        <v>46318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46318</v>
      </c>
      <c r="F148" t="inlineStr">
        <is>
          <t>VÄRMLANDS LÄN</t>
        </is>
      </c>
      <c r="G148" t="inlineStr">
        <is>
          <t>KRISTINEHAMN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46318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46318</v>
      </c>
      <c r="F150" t="inlineStr">
        <is>
          <t>VÄRMLANDS LÄN</t>
        </is>
      </c>
      <c r="G150" t="inlineStr">
        <is>
          <t>KRISTINEHAMN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46318</v>
      </c>
      <c r="F151" t="inlineStr">
        <is>
          <t>VÄRMLANDS LÄN</t>
        </is>
      </c>
      <c r="G151" t="inlineStr">
        <is>
          <t>KRISTINEHAMN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46318</v>
      </c>
      <c r="F152" t="inlineStr">
        <is>
          <t>VÄRMLANDS LÄN</t>
        </is>
      </c>
      <c r="G152" t="inlineStr">
        <is>
          <t>KRISTINEHAMN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45058</v>
      </c>
      <c r="E153" s="1" t="n">
        <v>46318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Kommuner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45442</v>
      </c>
      <c r="E154" s="1" t="n">
        <v>46318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46318</v>
      </c>
      <c r="F155" t="inlineStr">
        <is>
          <t>VÄRMLANDS LÄN</t>
        </is>
      </c>
      <c r="G155" t="inlineStr">
        <is>
          <t>KRISTINEHAMN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46318</v>
      </c>
      <c r="F156" t="inlineStr">
        <is>
          <t>VÄRMLANDS LÄN</t>
        </is>
      </c>
      <c r="G156" t="inlineStr">
        <is>
          <t>KRISTINEHAMN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45902</v>
      </c>
      <c r="E157" s="1" t="n">
        <v>46318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46318</v>
      </c>
      <c r="F158" t="inlineStr">
        <is>
          <t>VÄRMLANDS LÄN</t>
        </is>
      </c>
      <c r="G158" t="inlineStr">
        <is>
          <t>KRISTINEHAMN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46318</v>
      </c>
      <c r="F159" t="inlineStr">
        <is>
          <t>VÄRMLANDS LÄN</t>
        </is>
      </c>
      <c r="G159" t="inlineStr">
        <is>
          <t>KRISTINEHAMN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46318</v>
      </c>
      <c r="F160" t="inlineStr">
        <is>
          <t>VÄRMLANDS LÄN</t>
        </is>
      </c>
      <c r="G160" t="inlineStr">
        <is>
          <t>KRISTINEHAMN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46318</v>
      </c>
      <c r="F161" t="inlineStr">
        <is>
          <t>VÄRMLANDS LÄN</t>
        </is>
      </c>
      <c r="G161" t="inlineStr">
        <is>
          <t>KRISTINEHAMN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46318</v>
      </c>
      <c r="F162" t="inlineStr">
        <is>
          <t>VÄRMLANDS LÄN</t>
        </is>
      </c>
      <c r="G162" t="inlineStr">
        <is>
          <t>KRISTINEHAMN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45379</v>
      </c>
      <c r="E163" s="1" t="n">
        <v>46318</v>
      </c>
      <c r="F163" t="inlineStr">
        <is>
          <t>VÄRMLANDS LÄN</t>
        </is>
      </c>
      <c r="G163" t="inlineStr">
        <is>
          <t>KRISTINEHAMN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46318</v>
      </c>
      <c r="F164" t="inlineStr">
        <is>
          <t>VÄRMLANDS LÄN</t>
        </is>
      </c>
      <c r="G164" t="inlineStr">
        <is>
          <t>KRISTINEHAMN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44965</v>
      </c>
      <c r="E165" s="1" t="n">
        <v>46318</v>
      </c>
      <c r="F165" t="inlineStr">
        <is>
          <t>VÄRMLANDS LÄN</t>
        </is>
      </c>
      <c r="G165" t="inlineStr">
        <is>
          <t>KRISTINEHAMN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46318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45876</v>
      </c>
      <c r="E167" s="1" t="n">
        <v>46318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46318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46318</v>
      </c>
      <c r="F169" t="inlineStr">
        <is>
          <t>VÄRMLANDS LÄN</t>
        </is>
      </c>
      <c r="G169" t="inlineStr">
        <is>
          <t>KRISTINEHAMN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46318</v>
      </c>
      <c r="F170" t="inlineStr">
        <is>
          <t>VÄRMLANDS LÄN</t>
        </is>
      </c>
      <c r="G170" t="inlineStr">
        <is>
          <t>KRISTINEHAMN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22896-2023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45072</v>
      </c>
      <c r="E171" s="1" t="n">
        <v>46318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Bergvik skog väst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46318</v>
      </c>
      <c r="F172" t="inlineStr">
        <is>
          <t>VÄRMLANDS LÄN</t>
        </is>
      </c>
      <c r="G172" t="inlineStr">
        <is>
          <t>KRISTINEHAMN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44985</v>
      </c>
      <c r="E173" s="1" t="n">
        <v>46318</v>
      </c>
      <c r="F173" t="inlineStr">
        <is>
          <t>VÄRMLANDS LÄN</t>
        </is>
      </c>
      <c r="G173" t="inlineStr">
        <is>
          <t>KRISTINEHAMN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46318</v>
      </c>
      <c r="F174" t="inlineStr">
        <is>
          <t>VÄRMLANDS LÄN</t>
        </is>
      </c>
      <c r="G174" t="inlineStr">
        <is>
          <t>KRISTINEHAMN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46318</v>
      </c>
      <c r="F175" t="inlineStr">
        <is>
          <t>VÄRMLANDS LÄN</t>
        </is>
      </c>
      <c r="G175" t="inlineStr">
        <is>
          <t>KRISTINEHAMN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46318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46318</v>
      </c>
      <c r="F177" t="inlineStr">
        <is>
          <t>VÄRMLANDS LÄN</t>
        </is>
      </c>
      <c r="G177" t="inlineStr">
        <is>
          <t>KRISTINEHAMN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46318</v>
      </c>
      <c r="F178" t="inlineStr">
        <is>
          <t>VÄRMLANDS LÄN</t>
        </is>
      </c>
      <c r="G178" t="inlineStr">
        <is>
          <t>KRISTINEHAMN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46318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46318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Bergvik skog väst AB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46318</v>
      </c>
      <c r="F181" t="inlineStr">
        <is>
          <t>VÄRMLANDS LÄN</t>
        </is>
      </c>
      <c r="G181" t="inlineStr">
        <is>
          <t>KRISTINEHAMN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46318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Kommuner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46318</v>
      </c>
      <c r="F183" t="inlineStr">
        <is>
          <t>VÄRMLANDS LÄN</t>
        </is>
      </c>
      <c r="G183" t="inlineStr">
        <is>
          <t>KRISTINEHAMN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46318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45933</v>
      </c>
      <c r="E185" s="1" t="n">
        <v>46318</v>
      </c>
      <c r="F185" t="inlineStr">
        <is>
          <t>VÄRMLANDS LÄN</t>
        </is>
      </c>
      <c r="G185" t="inlineStr">
        <is>
          <t>KRISTINEHAMN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46318</v>
      </c>
      <c r="F186" t="inlineStr">
        <is>
          <t>VÄRMLANDS LÄN</t>
        </is>
      </c>
      <c r="G186" t="inlineStr">
        <is>
          <t>KRISTINEHAMN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46318</v>
      </c>
      <c r="F187" t="inlineStr">
        <is>
          <t>VÄRMLANDS LÄN</t>
        </is>
      </c>
      <c r="G187" t="inlineStr">
        <is>
          <t>KRISTINEHAMN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45756</v>
      </c>
      <c r="E188" s="1" t="n">
        <v>46318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45513</v>
      </c>
      <c r="E189" s="1" t="n">
        <v>46318</v>
      </c>
      <c r="F189" t="inlineStr">
        <is>
          <t>VÄRMLANDS LÄN</t>
        </is>
      </c>
      <c r="G189" t="inlineStr">
        <is>
          <t>KRISTINEHAMN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45447</v>
      </c>
      <c r="E190" s="1" t="n">
        <v>46318</v>
      </c>
      <c r="F190" t="inlineStr">
        <is>
          <t>VÄRMLANDS LÄN</t>
        </is>
      </c>
      <c r="G190" t="inlineStr">
        <is>
          <t>KRISTINEHAMN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46318</v>
      </c>
      <c r="F191" t="inlineStr">
        <is>
          <t>VÄRMLANDS LÄN</t>
        </is>
      </c>
      <c r="G191" t="inlineStr">
        <is>
          <t>KRISTINEHAMN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46318</v>
      </c>
      <c r="F192" t="inlineStr">
        <is>
          <t>VÄRMLANDS LÄN</t>
        </is>
      </c>
      <c r="G192" t="inlineStr">
        <is>
          <t>KRISTINEHAMN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44749</v>
      </c>
      <c r="E193" s="1" t="n">
        <v>46318</v>
      </c>
      <c r="F193" t="inlineStr">
        <is>
          <t>VÄRMLANDS LÄN</t>
        </is>
      </c>
      <c r="G193" t="inlineStr">
        <is>
          <t>KRISTINEHAMN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46318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46318</v>
      </c>
      <c r="F195" t="inlineStr">
        <is>
          <t>VÄRMLANDS LÄN</t>
        </is>
      </c>
      <c r="G195" t="inlineStr">
        <is>
          <t>KRISTINEHAMN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46318</v>
      </c>
      <c r="F196" t="inlineStr">
        <is>
          <t>VÄRMLANDS LÄN</t>
        </is>
      </c>
      <c r="G196" t="inlineStr">
        <is>
          <t>KRISTINEHAMN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46318</v>
      </c>
      <c r="F197" t="inlineStr">
        <is>
          <t>VÄRMLANDS LÄN</t>
        </is>
      </c>
      <c r="G197" t="inlineStr">
        <is>
          <t>KRISTINEHAMN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44987</v>
      </c>
      <c r="E198" s="1" t="n">
        <v>46318</v>
      </c>
      <c r="F198" t="inlineStr">
        <is>
          <t>VÄRMLANDS LÄN</t>
        </is>
      </c>
      <c r="G198" t="inlineStr">
        <is>
          <t>KRISTINEHAMN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46318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46318</v>
      </c>
      <c r="F200" t="inlineStr">
        <is>
          <t>VÄRMLANDS LÄN</t>
        </is>
      </c>
      <c r="G200" t="inlineStr">
        <is>
          <t>KRISTINEHAMN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46318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46318</v>
      </c>
      <c r="F202" t="inlineStr">
        <is>
          <t>VÄRMLANDS LÄN</t>
        </is>
      </c>
      <c r="G202" t="inlineStr">
        <is>
          <t>KRISTINEHAMN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44924</v>
      </c>
      <c r="E203" s="1" t="n">
        <v>46318</v>
      </c>
      <c r="F203" t="inlineStr">
        <is>
          <t>VÄRMLANDS LÄN</t>
        </is>
      </c>
      <c r="G203" t="inlineStr">
        <is>
          <t>KRISTINEHAMN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48405-2023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45201</v>
      </c>
      <c r="E204" s="1" t="n">
        <v>46318</v>
      </c>
      <c r="F204" t="inlineStr">
        <is>
          <t>VÄRMLANDS LÄN</t>
        </is>
      </c>
      <c r="G204" t="inlineStr">
        <is>
          <t>KRISTINEHAMN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46318</v>
      </c>
      <c r="F205" t="inlineStr">
        <is>
          <t>VÄRMLANDS LÄN</t>
        </is>
      </c>
      <c r="G205" t="inlineStr">
        <is>
          <t>KRISTINEHAMN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46318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46318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46318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46318</v>
      </c>
      <c r="F209" t="inlineStr">
        <is>
          <t>VÄRMLANDS LÄN</t>
        </is>
      </c>
      <c r="G209" t="inlineStr">
        <is>
          <t>KRISTINEHAMN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46318</v>
      </c>
      <c r="F210" t="inlineStr">
        <is>
          <t>VÄRMLANDS LÄN</t>
        </is>
      </c>
      <c r="G210" t="inlineStr">
        <is>
          <t>KRISTINEHAMN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46318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46318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45662</v>
      </c>
      <c r="E213" s="1" t="n">
        <v>46318</v>
      </c>
      <c r="F213" t="inlineStr">
        <is>
          <t>VÄRMLANDS LÄN</t>
        </is>
      </c>
      <c r="G213" t="inlineStr">
        <is>
          <t>KRISTINEHAMN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46318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46318</v>
      </c>
      <c r="F215" t="inlineStr">
        <is>
          <t>VÄRMLANDS LÄN</t>
        </is>
      </c>
      <c r="G215" t="inlineStr">
        <is>
          <t>KRISTINEHAMN</t>
        </is>
      </c>
      <c r="I215" t="n">
        <v>19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46318</v>
      </c>
      <c r="F216" t="inlineStr">
        <is>
          <t>VÄRMLANDS LÄN</t>
        </is>
      </c>
      <c r="G216" t="inlineStr">
        <is>
          <t>KRISTINEHAMN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46318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Sveaskog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46318</v>
      </c>
      <c r="F218" t="inlineStr">
        <is>
          <t>VÄRMLANDS LÄN</t>
        </is>
      </c>
      <c r="G218" t="inlineStr">
        <is>
          <t>KRISTINEHAMN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46318</v>
      </c>
      <c r="F219" t="inlineStr">
        <is>
          <t>VÄRMLANDS LÄN</t>
        </is>
      </c>
      <c r="G219" t="inlineStr">
        <is>
          <t>KRISTINEHAMN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45656</v>
      </c>
      <c r="E220" s="1" t="n">
        <v>46318</v>
      </c>
      <c r="F220" t="inlineStr">
        <is>
          <t>VÄRMLANDS LÄN</t>
        </is>
      </c>
      <c r="G220" t="inlineStr">
        <is>
          <t>KRISTINEHAMN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46318</v>
      </c>
      <c r="F221" t="inlineStr">
        <is>
          <t>VÄRMLANDS LÄN</t>
        </is>
      </c>
      <c r="G221" t="inlineStr">
        <is>
          <t>KRISTINEHAMN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45974</v>
      </c>
      <c r="E222" s="1" t="n">
        <v>46318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46318</v>
      </c>
      <c r="F223" t="inlineStr">
        <is>
          <t>VÄRMLANDS LÄN</t>
        </is>
      </c>
      <c r="G223" t="inlineStr">
        <is>
          <t>KRISTINEHAMN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46318</v>
      </c>
      <c r="F224" t="inlineStr">
        <is>
          <t>VÄRMLANDS LÄN</t>
        </is>
      </c>
      <c r="G224" t="inlineStr">
        <is>
          <t>KRISTINEHAMN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44651</v>
      </c>
      <c r="E225" s="1" t="n">
        <v>46318</v>
      </c>
      <c r="F225" t="inlineStr">
        <is>
          <t>VÄRMLANDS LÄN</t>
        </is>
      </c>
      <c r="G225" t="inlineStr">
        <is>
          <t>KRISTINEHAMN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46318</v>
      </c>
      <c r="F226" t="inlineStr">
        <is>
          <t>VÄRMLANDS LÄN</t>
        </is>
      </c>
      <c r="G226" t="inlineStr">
        <is>
          <t>KRISTINEHAMN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46318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46318</v>
      </c>
      <c r="F228" t="inlineStr">
        <is>
          <t>VÄRMLANDS LÄN</t>
        </is>
      </c>
      <c r="G228" t="inlineStr">
        <is>
          <t>KRISTINEHAMN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46318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22060-2026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46149</v>
      </c>
      <c r="E230" s="1" t="n">
        <v>46318</v>
      </c>
      <c r="F230" t="inlineStr">
        <is>
          <t>VÄRMLANDS LÄN</t>
        </is>
      </c>
      <c r="G230" t="inlineStr">
        <is>
          <t>KRISTINEHAMN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46318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46318</v>
      </c>
      <c r="F232" t="inlineStr">
        <is>
          <t>VÄRMLANDS LÄN</t>
        </is>
      </c>
      <c r="G232" t="inlineStr">
        <is>
          <t>KRISTINEHAMN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46318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46318</v>
      </c>
      <c r="F234" t="inlineStr">
        <is>
          <t>VÄRMLANDS LÄN</t>
        </is>
      </c>
      <c r="G234" t="inlineStr">
        <is>
          <t>KRISTINEHAMN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45119</v>
      </c>
      <c r="E235" s="1" t="n">
        <v>46318</v>
      </c>
      <c r="F235" t="inlineStr">
        <is>
          <t>VÄRMLANDS LÄN</t>
        </is>
      </c>
      <c r="G235" t="inlineStr">
        <is>
          <t>KRISTINEHAMN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70126-2021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44533</v>
      </c>
      <c r="E236" s="1" t="n">
        <v>46318</v>
      </c>
      <c r="F236" t="inlineStr">
        <is>
          <t>VÄRMLANDS LÄN</t>
        </is>
      </c>
      <c r="G236" t="inlineStr">
        <is>
          <t>KRISTINEHAMN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46318</v>
      </c>
      <c r="F237" t="inlineStr">
        <is>
          <t>VÄRMLANDS LÄN</t>
        </is>
      </c>
      <c r="G237" t="inlineStr">
        <is>
          <t>KRISTINEHAMN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46318</v>
      </c>
      <c r="F238" t="inlineStr">
        <is>
          <t>VÄRMLANDS LÄN</t>
        </is>
      </c>
      <c r="G238" t="inlineStr">
        <is>
          <t>KRISTINEHAMN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46318</v>
      </c>
      <c r="F239" t="inlineStr">
        <is>
          <t>VÄRMLANDS LÄN</t>
        </is>
      </c>
      <c r="G239" t="inlineStr">
        <is>
          <t>KRISTINEHAMN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46318</v>
      </c>
      <c r="F240" t="inlineStr">
        <is>
          <t>VÄRMLANDS LÄN</t>
        </is>
      </c>
      <c r="G240" t="inlineStr">
        <is>
          <t>KRISTINEHAMN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45569</v>
      </c>
      <c r="E241" s="1" t="n">
        <v>46318</v>
      </c>
      <c r="F241" t="inlineStr">
        <is>
          <t>VÄRMLANDS LÄN</t>
        </is>
      </c>
      <c r="G241" t="inlineStr">
        <is>
          <t>KRISTINEHAMN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45022</v>
      </c>
      <c r="E242" s="1" t="n">
        <v>46318</v>
      </c>
      <c r="F242" t="inlineStr">
        <is>
          <t>VÄRMLANDS LÄN</t>
        </is>
      </c>
      <c r="G242" t="inlineStr">
        <is>
          <t>KRISTINEHAMN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45595</v>
      </c>
      <c r="E243" s="1" t="n">
        <v>46318</v>
      </c>
      <c r="F243" t="inlineStr">
        <is>
          <t>VÄRMLANDS LÄN</t>
        </is>
      </c>
      <c r="G243" t="inlineStr">
        <is>
          <t>KRISTINEHAMN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46318</v>
      </c>
      <c r="F244" t="inlineStr">
        <is>
          <t>VÄRMLANDS LÄN</t>
        </is>
      </c>
      <c r="G244" t="inlineStr">
        <is>
          <t>KRISTINEHAMN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45081</v>
      </c>
      <c r="E245" s="1" t="n">
        <v>46318</v>
      </c>
      <c r="F245" t="inlineStr">
        <is>
          <t>VÄRMLANDS LÄN</t>
        </is>
      </c>
      <c r="G245" t="inlineStr">
        <is>
          <t>KRISTINEHAMN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46318</v>
      </c>
      <c r="F246" t="inlineStr">
        <is>
          <t>VÄRMLANDS LÄN</t>
        </is>
      </c>
      <c r="G246" t="inlineStr">
        <is>
          <t>KRISTINEHAMN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46318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Naturvårdsverket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46318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46318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46318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46318</v>
      </c>
      <c r="F251" t="inlineStr">
        <is>
          <t>VÄRMLANDS LÄN</t>
        </is>
      </c>
      <c r="G251" t="inlineStr">
        <is>
          <t>KRISTINEHAMN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46318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Naturvårdsverket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46318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Bergvik skog väst AB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46318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46318</v>
      </c>
      <c r="F255" t="inlineStr">
        <is>
          <t>VÄRMLANDS LÄN</t>
        </is>
      </c>
      <c r="G255" t="inlineStr">
        <is>
          <t>KRISTINEHAMN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46318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46318</v>
      </c>
      <c r="F257" t="inlineStr">
        <is>
          <t>VÄRMLANDS LÄN</t>
        </is>
      </c>
      <c r="G257" t="inlineStr">
        <is>
          <t>KRISTINEHAMN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46318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Naturvårdsverket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46318</v>
      </c>
      <c r="F259" t="inlineStr">
        <is>
          <t>VÄRMLANDS LÄN</t>
        </is>
      </c>
      <c r="G259" t="inlineStr">
        <is>
          <t>KRISTINEHAMN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46318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46318</v>
      </c>
      <c r="F261" t="inlineStr">
        <is>
          <t>VÄRMLANDS LÄN</t>
        </is>
      </c>
      <c r="G261" t="inlineStr">
        <is>
          <t>KRISTINEHAMN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46318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46318</v>
      </c>
      <c r="F263" t="inlineStr">
        <is>
          <t>VÄRMLANDS LÄN</t>
        </is>
      </c>
      <c r="G263" t="inlineStr">
        <is>
          <t>KRISTINEHAMN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46318</v>
      </c>
      <c r="F264" t="inlineStr">
        <is>
          <t>VÄRMLANDS LÄN</t>
        </is>
      </c>
      <c r="G264" t="inlineStr">
        <is>
          <t>KRISTINEHAMN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24570-2026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46170</v>
      </c>
      <c r="E265" s="1" t="n">
        <v>46318</v>
      </c>
      <c r="F265" t="inlineStr">
        <is>
          <t>VÄRMLANDS LÄN</t>
        </is>
      </c>
      <c r="G265" t="inlineStr">
        <is>
          <t>KRISTINEHAMN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45344</v>
      </c>
      <c r="E266" s="1" t="n">
        <v>46318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Naturvårdsverket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45282</v>
      </c>
      <c r="E267" s="1" t="n">
        <v>46318</v>
      </c>
      <c r="F267" t="inlineStr">
        <is>
          <t>VÄRMLANDS LÄN</t>
        </is>
      </c>
      <c r="G267" t="inlineStr">
        <is>
          <t>KRISTINEHAMN</t>
        </is>
      </c>
      <c r="I267" t="n">
        <v>9.6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46318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46318</v>
      </c>
      <c r="F269" t="inlineStr">
        <is>
          <t>VÄRMLANDS LÄN</t>
        </is>
      </c>
      <c r="G269" t="inlineStr">
        <is>
          <t>KRISTINEHAMN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46318</v>
      </c>
      <c r="F270" t="inlineStr">
        <is>
          <t>VÄRMLANDS LÄN</t>
        </is>
      </c>
      <c r="G270" t="inlineStr">
        <is>
          <t>KRISTINEHAMN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46318</v>
      </c>
      <c r="F271" t="inlineStr">
        <is>
          <t>VÄRMLANDS LÄN</t>
        </is>
      </c>
      <c r="G271" t="inlineStr">
        <is>
          <t>KRISTINEHAMN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46318</v>
      </c>
      <c r="F272" t="inlineStr">
        <is>
          <t>VÄRMLANDS LÄN</t>
        </is>
      </c>
      <c r="G272" t="inlineStr">
        <is>
          <t>KRISTINEHAMN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33464-2023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45118</v>
      </c>
      <c r="E273" s="1" t="n">
        <v>46318</v>
      </c>
      <c r="F273" t="inlineStr">
        <is>
          <t>VÄRMLANDS LÄN</t>
        </is>
      </c>
      <c r="G273" t="inlineStr">
        <is>
          <t>KRISTINEHAMN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46318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Kyrkan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46318</v>
      </c>
      <c r="F275" t="inlineStr">
        <is>
          <t>VÄRMLANDS LÄN</t>
        </is>
      </c>
      <c r="G275" t="inlineStr">
        <is>
          <t>KRISTINEHAMN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46318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44888</v>
      </c>
      <c r="E277" s="1" t="n">
        <v>46318</v>
      </c>
      <c r="F277" t="inlineStr">
        <is>
          <t>VÄRMLANDS LÄN</t>
        </is>
      </c>
      <c r="G277" t="inlineStr">
        <is>
          <t>KRISTINEHAMN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46318</v>
      </c>
      <c r="F278" t="inlineStr">
        <is>
          <t>VÄRMLANDS LÄN</t>
        </is>
      </c>
      <c r="G278" t="inlineStr">
        <is>
          <t>KRISTINEHAMN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46318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46318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46318</v>
      </c>
      <c r="F281" t="inlineStr">
        <is>
          <t>VÄRMLANDS LÄN</t>
        </is>
      </c>
      <c r="G281" t="inlineStr">
        <is>
          <t>KRISTINEHAMN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25258-2026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46175</v>
      </c>
      <c r="E282" s="1" t="n">
        <v>46318</v>
      </c>
      <c r="F282" t="inlineStr">
        <is>
          <t>VÄRMLANDS LÄN</t>
        </is>
      </c>
      <c r="G282" t="inlineStr">
        <is>
          <t>KRISTINEHAMN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45379</v>
      </c>
      <c r="E283" s="1" t="n">
        <v>46318</v>
      </c>
      <c r="F283" t="inlineStr">
        <is>
          <t>VÄRMLANDS LÄN</t>
        </is>
      </c>
      <c r="G283" t="inlineStr">
        <is>
          <t>KRISTINEHAMN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46318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46318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Naturvårdsverket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28834-2024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45478</v>
      </c>
      <c r="E286" s="1" t="n">
        <v>46318</v>
      </c>
      <c r="F286" t="inlineStr">
        <is>
          <t>VÄRMLANDS LÄN</t>
        </is>
      </c>
      <c r="G286" t="inlineStr">
        <is>
          <t>KRISTINEHAMN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46318</v>
      </c>
      <c r="F287" t="inlineStr">
        <is>
          <t>VÄRMLANDS LÄN</t>
        </is>
      </c>
      <c r="G287" t="inlineStr">
        <is>
          <t>KRISTINEHAMN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44770</v>
      </c>
      <c r="E288" s="1" t="n">
        <v>46318</v>
      </c>
      <c r="F288" t="inlineStr">
        <is>
          <t>VÄRMLANDS LÄN</t>
        </is>
      </c>
      <c r="G288" t="inlineStr">
        <is>
          <t>KRISTINEHAMN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46318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Naturvårdsverket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46318</v>
      </c>
      <c r="F290" t="inlineStr">
        <is>
          <t>VÄRMLANDS LÄN</t>
        </is>
      </c>
      <c r="G290" t="inlineStr">
        <is>
          <t>KRISTINEHAMN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6259-2026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46051</v>
      </c>
      <c r="E291" s="1" t="n">
        <v>46318</v>
      </c>
      <c r="F291" t="inlineStr">
        <is>
          <t>VÄRMLANDS LÄN</t>
        </is>
      </c>
      <c r="G291" t="inlineStr">
        <is>
          <t>KRISTINEHAMN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45044</v>
      </c>
      <c r="E292" s="1" t="n">
        <v>46318</v>
      </c>
      <c r="F292" t="inlineStr">
        <is>
          <t>VÄRMLANDS LÄN</t>
        </is>
      </c>
      <c r="G292" t="inlineStr">
        <is>
          <t>KRISTINEHAMN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45268</v>
      </c>
      <c r="E293" s="1" t="n">
        <v>46318</v>
      </c>
      <c r="F293" t="inlineStr">
        <is>
          <t>VÄRMLANDS LÄN</t>
        </is>
      </c>
      <c r="G293" t="inlineStr">
        <is>
          <t>KRISTINEHAMN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21602-2025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45783</v>
      </c>
      <c r="E294" s="1" t="n">
        <v>46318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46318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46318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45303</v>
      </c>
      <c r="E297" s="1" t="n">
        <v>46318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62498-2022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46318</v>
      </c>
      <c r="F298" t="inlineStr">
        <is>
          <t>VÄRMLANDS LÄN</t>
        </is>
      </c>
      <c r="G298" t="inlineStr">
        <is>
          <t>KRISTINEHAMN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46318</v>
      </c>
      <c r="F299" t="inlineStr">
        <is>
          <t>VÄRMLANDS LÄN</t>
        </is>
      </c>
      <c r="G299" t="inlineStr">
        <is>
          <t>KRISTINEHAMN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46037</v>
      </c>
      <c r="E300" s="1" t="n">
        <v>46318</v>
      </c>
      <c r="F300" t="inlineStr">
        <is>
          <t>VÄRMLANDS LÄN</t>
        </is>
      </c>
      <c r="G300" t="inlineStr">
        <is>
          <t>KRISTINEHAMN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36774-2022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44805</v>
      </c>
      <c r="E301" s="1" t="n">
        <v>46318</v>
      </c>
      <c r="F301" t="inlineStr">
        <is>
          <t>VÄRMLANDS LÄN</t>
        </is>
      </c>
      <c r="G301" t="inlineStr">
        <is>
          <t>KRISTINEHAMN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27210-2022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44741</v>
      </c>
      <c r="E302" s="1" t="n">
        <v>46318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Bergvik skog väst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46318</v>
      </c>
      <c r="F303" t="inlineStr">
        <is>
          <t>VÄRMLANDS LÄN</t>
        </is>
      </c>
      <c r="G303" t="inlineStr">
        <is>
          <t>KRISTINEHAMN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46318</v>
      </c>
      <c r="F304" t="inlineStr">
        <is>
          <t>VÄRMLANDS LÄN</t>
        </is>
      </c>
      <c r="G304" t="inlineStr">
        <is>
          <t>KRISTINEHAMN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46318</v>
      </c>
      <c r="F305" t="inlineStr">
        <is>
          <t>VÄRMLANDS LÄN</t>
        </is>
      </c>
      <c r="G305" t="inlineStr">
        <is>
          <t>KRISTINEHAMN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23510-2025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45792</v>
      </c>
      <c r="E306" s="1" t="n">
        <v>46318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46318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46318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46318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62517-2022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46318</v>
      </c>
      <c r="F310" t="inlineStr">
        <is>
          <t>VÄRMLANDS LÄN</t>
        </is>
      </c>
      <c r="G310" t="inlineStr">
        <is>
          <t>KRISTINEHAMN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46318</v>
      </c>
      <c r="F311" t="inlineStr">
        <is>
          <t>VÄRMLANDS LÄN</t>
        </is>
      </c>
      <c r="G311" t="inlineStr">
        <is>
          <t>KRISTINEHAMN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46318</v>
      </c>
      <c r="F312" t="inlineStr">
        <is>
          <t>VÄRMLANDS LÄN</t>
        </is>
      </c>
      <c r="G312" t="inlineStr">
        <is>
          <t>KRISTINEHAMN</t>
        </is>
      </c>
      <c r="I312" t="n">
        <v>11.2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46318</v>
      </c>
      <c r="F313" t="inlineStr">
        <is>
          <t>VÄRMLANDS LÄN</t>
        </is>
      </c>
      <c r="G313" t="inlineStr">
        <is>
          <t>KRISTINEHAMN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46318</v>
      </c>
      <c r="F314" t="inlineStr">
        <is>
          <t>VÄRMLANDS LÄN</t>
        </is>
      </c>
      <c r="G314" t="inlineStr">
        <is>
          <t>KRISTINEHAMN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46083</v>
      </c>
      <c r="E315" s="1" t="n">
        <v>46318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65055-2023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46318</v>
      </c>
      <c r="F316" t="inlineStr">
        <is>
          <t>VÄRMLANDS LÄN</t>
        </is>
      </c>
      <c r="G316" t="inlineStr">
        <is>
          <t>KRISTINEHAMN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46318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45575</v>
      </c>
      <c r="E318" s="1" t="n">
        <v>46318</v>
      </c>
      <c r="F318" t="inlineStr">
        <is>
          <t>VÄRMLANDS LÄN</t>
        </is>
      </c>
      <c r="G318" t="inlineStr">
        <is>
          <t>KRISTINEHAMN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46318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46318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46318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46318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46318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46318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46318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46318</v>
      </c>
      <c r="F326" t="inlineStr">
        <is>
          <t>VÄRMLANDS LÄN</t>
        </is>
      </c>
      <c r="G326" t="inlineStr">
        <is>
          <t>KRISTINEHAMN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46318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46318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15646-2026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46106</v>
      </c>
      <c r="E329" s="1" t="n">
        <v>46318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46318</v>
      </c>
      <c r="F330" t="inlineStr">
        <is>
          <t>VÄRMLANDS LÄN</t>
        </is>
      </c>
      <c r="G330" t="inlineStr">
        <is>
          <t>KRISTINEHAMN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46318</v>
      </c>
      <c r="F331" t="inlineStr">
        <is>
          <t>VÄRMLANDS LÄN</t>
        </is>
      </c>
      <c r="G331" t="inlineStr">
        <is>
          <t>KRISTINEHAMN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46318</v>
      </c>
      <c r="F332" t="inlineStr">
        <is>
          <t>VÄRMLANDS LÄN</t>
        </is>
      </c>
      <c r="G332" t="inlineStr">
        <is>
          <t>KRISTINEHAMN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44742</v>
      </c>
      <c r="E333" s="1" t="n">
        <v>46318</v>
      </c>
      <c r="F333" t="inlineStr">
        <is>
          <t>VÄRMLANDS LÄN</t>
        </is>
      </c>
      <c r="G333" t="inlineStr">
        <is>
          <t>KRISTINEHAMN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27531-2022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46318</v>
      </c>
      <c r="F334" t="inlineStr">
        <is>
          <t>VÄRMLANDS LÄN</t>
        </is>
      </c>
      <c r="G334" t="inlineStr">
        <is>
          <t>KRISTINEHAMN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46274</v>
      </c>
      <c r="E335" s="1" t="n">
        <v>46318</v>
      </c>
      <c r="F335" t="inlineStr">
        <is>
          <t>VÄRMLANDS LÄN</t>
        </is>
      </c>
      <c r="G335" t="inlineStr">
        <is>
          <t>KRISTINEHAMN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46318</v>
      </c>
      <c r="F336" t="inlineStr">
        <is>
          <t>VÄRMLANDS LÄN</t>
        </is>
      </c>
      <c r="G336" t="inlineStr">
        <is>
          <t>KRISTINEHAMN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46318</v>
      </c>
      <c r="F337" t="inlineStr">
        <is>
          <t>VÄRMLANDS LÄN</t>
        </is>
      </c>
      <c r="G337" t="inlineStr">
        <is>
          <t>KRISTINEHAMN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45370</v>
      </c>
      <c r="E338" s="1" t="n">
        <v>46318</v>
      </c>
      <c r="F338" t="inlineStr">
        <is>
          <t>VÄRMLANDS LÄN</t>
        </is>
      </c>
      <c r="G338" t="inlineStr">
        <is>
          <t>KRISTINEHAMN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32821-2023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45112</v>
      </c>
      <c r="E339" s="1" t="n">
        <v>46318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Kommuner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46318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46318</v>
      </c>
      <c r="F341" t="inlineStr">
        <is>
          <t>VÄRMLANDS LÄN</t>
        </is>
      </c>
      <c r="G341" t="inlineStr">
        <is>
          <t>KRISTINEHAMN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32821-2023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45112</v>
      </c>
      <c r="E342" s="1" t="n">
        <v>46318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Kommuner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46318</v>
      </c>
      <c r="F343" t="inlineStr">
        <is>
          <t>VÄRMLANDS LÄN</t>
        </is>
      </c>
      <c r="G343" t="inlineStr">
        <is>
          <t>KRISTINEHAMN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46230</v>
      </c>
      <c r="E344" s="1" t="n">
        <v>46318</v>
      </c>
      <c r="F344" t="inlineStr">
        <is>
          <t>VÄRMLANDS LÄN</t>
        </is>
      </c>
      <c r="G344" t="inlineStr">
        <is>
          <t>KRISTINEHAMN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45041</v>
      </c>
      <c r="E345" s="1" t="n">
        <v>46318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19447-2024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45429</v>
      </c>
      <c r="E346" s="1" t="n">
        <v>46318</v>
      </c>
      <c r="F346" t="inlineStr">
        <is>
          <t>VÄRMLANDS LÄN</t>
        </is>
      </c>
      <c r="G346" t="inlineStr">
        <is>
          <t>KRISTINEHAMN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46318</v>
      </c>
      <c r="F347" t="inlineStr">
        <is>
          <t>VÄRMLANDS LÄN</t>
        </is>
      </c>
      <c r="G347" t="inlineStr">
        <is>
          <t>KRISTINEHAMN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46318</v>
      </c>
      <c r="F348" t="inlineStr">
        <is>
          <t>VÄRMLANDS LÄN</t>
        </is>
      </c>
      <c r="G348" t="inlineStr">
        <is>
          <t>KRISTINEHAMN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46281</v>
      </c>
      <c r="E349" s="1" t="n">
        <v>46318</v>
      </c>
      <c r="F349" t="inlineStr">
        <is>
          <t>VÄRMLANDS LÄN</t>
        </is>
      </c>
      <c r="G349" t="inlineStr">
        <is>
          <t>KRISTINEHAMN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46318</v>
      </c>
      <c r="F350" t="inlineStr">
        <is>
          <t>VÄRMLANDS LÄN</t>
        </is>
      </c>
      <c r="G350" t="inlineStr">
        <is>
          <t>KRISTINEHAMN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46281</v>
      </c>
      <c r="E351" s="1" t="n">
        <v>46318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45666</v>
      </c>
      <c r="E352" s="1" t="n">
        <v>46318</v>
      </c>
      <c r="F352" t="inlineStr">
        <is>
          <t>VÄRMLANDS LÄN</t>
        </is>
      </c>
      <c r="G352" t="inlineStr">
        <is>
          <t>KRISTINEHAMN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46318</v>
      </c>
      <c r="F353" t="inlineStr">
        <is>
          <t>VÄRMLANDS LÄN</t>
        </is>
      </c>
      <c r="G353" t="inlineStr">
        <is>
          <t>KRISTINEHAMN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45167</v>
      </c>
      <c r="E354" s="1" t="n">
        <v>46318</v>
      </c>
      <c r="F354" t="inlineStr">
        <is>
          <t>VÄRMLANDS LÄN</t>
        </is>
      </c>
      <c r="G354" t="inlineStr">
        <is>
          <t>KRISTINEHAMN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44588</v>
      </c>
      <c r="E355" s="1" t="n">
        <v>46318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46318</v>
      </c>
      <c r="F356" t="inlineStr">
        <is>
          <t>VÄRMLANDS LÄN</t>
        </is>
      </c>
      <c r="G356" t="inlineStr">
        <is>
          <t>KRISTINEHAMN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46318</v>
      </c>
      <c r="F357" t="inlineStr">
        <is>
          <t>VÄRMLANDS LÄN</t>
        </is>
      </c>
      <c r="G357" t="inlineStr">
        <is>
          <t>KRISTINEHAMN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46318</v>
      </c>
      <c r="F358" t="inlineStr">
        <is>
          <t>VÄRMLANDS LÄN</t>
        </is>
      </c>
      <c r="G358" t="inlineStr">
        <is>
          <t>KRISTINEHAMN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46282</v>
      </c>
      <c r="E359" s="1" t="n">
        <v>46318</v>
      </c>
      <c r="F359" t="inlineStr">
        <is>
          <t>VÄRMLANDS LÄN</t>
        </is>
      </c>
      <c r="G359" t="inlineStr">
        <is>
          <t>KRISTINEHAMN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46333-2023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46318</v>
      </c>
      <c r="F360" t="inlineStr">
        <is>
          <t>VÄRMLANDS LÄN</t>
        </is>
      </c>
      <c r="G360" t="inlineStr">
        <is>
          <t>KRISTINEHAMN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46318</v>
      </c>
      <c r="F361" t="inlineStr">
        <is>
          <t>VÄRMLANDS LÄN</t>
        </is>
      </c>
      <c r="G361" t="inlineStr">
        <is>
          <t>KRISTINEHAMN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45313</v>
      </c>
      <c r="E362" s="1" t="n">
        <v>46318</v>
      </c>
      <c r="F362" t="inlineStr">
        <is>
          <t>VÄRMLANDS LÄN</t>
        </is>
      </c>
      <c r="G362" t="inlineStr">
        <is>
          <t>KRISTINEHAMN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45647</v>
      </c>
      <c r="E363" s="1" t="n">
        <v>46318</v>
      </c>
      <c r="F363" t="inlineStr">
        <is>
          <t>VÄRMLANDS LÄN</t>
        </is>
      </c>
      <c r="G363" t="inlineStr">
        <is>
          <t>KRISTINEHAMN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46318</v>
      </c>
      <c r="F364" t="inlineStr">
        <is>
          <t>VÄRMLANDS LÄN</t>
        </is>
      </c>
      <c r="G364" t="inlineStr">
        <is>
          <t>KRISTINEHAMN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38840-2026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46286</v>
      </c>
      <c r="E365" s="1" t="n">
        <v>46318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46318</v>
      </c>
      <c r="F366" t="inlineStr">
        <is>
          <t>VÄRMLANDS LÄN</t>
        </is>
      </c>
      <c r="G366" t="inlineStr">
        <is>
          <t>KRISTINEHAMN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13459-2024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45387</v>
      </c>
      <c r="E367" s="1" t="n">
        <v>46318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Naturvårdsverket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46318</v>
      </c>
      <c r="F368" t="inlineStr">
        <is>
          <t>VÄRMLANDS LÄN</t>
        </is>
      </c>
      <c r="G368" t="inlineStr">
        <is>
          <t>KRISTINEHAMN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46318</v>
      </c>
      <c r="F369" t="inlineStr">
        <is>
          <t>VÄRMLANDS LÄN</t>
        </is>
      </c>
      <c r="G369" t="inlineStr">
        <is>
          <t>KRISTINEHAMN</t>
        </is>
      </c>
      <c r="I369" t="n">
        <v>19.4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46318</v>
      </c>
      <c r="F370" t="inlineStr">
        <is>
          <t>VÄRMLANDS LÄN</t>
        </is>
      </c>
      <c r="G370" t="inlineStr">
        <is>
          <t>KRISTINEHAMN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14772-2022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44656</v>
      </c>
      <c r="E371" s="1" t="n">
        <v>46318</v>
      </c>
      <c r="F371" t="inlineStr">
        <is>
          <t>VÄRMLANDS LÄN</t>
        </is>
      </c>
      <c r="G371" t="inlineStr">
        <is>
          <t>KRISTINEHAMN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46318</v>
      </c>
      <c r="F372" t="inlineStr">
        <is>
          <t>VÄRMLANDS LÄN</t>
        </is>
      </c>
      <c r="G372" t="inlineStr">
        <is>
          <t>KRISTINEHAMN</t>
        </is>
      </c>
      <c r="I372" t="n">
        <v>9.300000000000001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46293</v>
      </c>
      <c r="E373" s="1" t="n">
        <v>46318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46318</v>
      </c>
      <c r="F374" t="inlineStr">
        <is>
          <t>VÄRMLANDS LÄN</t>
        </is>
      </c>
      <c r="G374" t="inlineStr">
        <is>
          <t>KRISTINEHAMN</t>
        </is>
      </c>
      <c r="I374" t="n">
        <v>15.9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45079</v>
      </c>
      <c r="E375" s="1" t="n">
        <v>46318</v>
      </c>
      <c r="F375" t="inlineStr">
        <is>
          <t>VÄRMLANDS LÄN</t>
        </is>
      </c>
      <c r="G375" t="inlineStr">
        <is>
          <t>KRISTINEHAMN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46318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46318</v>
      </c>
      <c r="F377" t="inlineStr">
        <is>
          <t>VÄRMLANDS LÄN</t>
        </is>
      </c>
      <c r="G377" t="inlineStr">
        <is>
          <t>KRISTINEHAMN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44648</v>
      </c>
      <c r="E378" s="1" t="n">
        <v>46318</v>
      </c>
      <c r="F378" t="inlineStr">
        <is>
          <t>VÄRMLANDS LÄN</t>
        </is>
      </c>
      <c r="G378" t="inlineStr">
        <is>
          <t>KRISTINEHAMN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46287</v>
      </c>
      <c r="E379" s="1" t="n">
        <v>46318</v>
      </c>
      <c r="F379" t="inlineStr">
        <is>
          <t>VÄRMLANDS LÄN</t>
        </is>
      </c>
      <c r="G379" t="inlineStr">
        <is>
          <t>KRISTINEHAMN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45681</v>
      </c>
      <c r="E380" s="1" t="n">
        <v>46318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46318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Naturvårdsverket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45379</v>
      </c>
      <c r="E382" s="1" t="n">
        <v>46318</v>
      </c>
      <c r="F382" t="inlineStr">
        <is>
          <t>VÄRMLANDS LÄN</t>
        </is>
      </c>
      <c r="G382" t="inlineStr">
        <is>
          <t>KRISTINEHAMN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46318</v>
      </c>
      <c r="F383" t="inlineStr">
        <is>
          <t>VÄRMLANDS LÄN</t>
        </is>
      </c>
      <c r="G383" t="inlineStr">
        <is>
          <t>KRISTINEHAMN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46318</v>
      </c>
      <c r="F384" t="inlineStr">
        <is>
          <t>VÄRMLANDS LÄN</t>
        </is>
      </c>
      <c r="G384" t="inlineStr">
        <is>
          <t>KRISTINEHAMN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9606-2024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45361</v>
      </c>
      <c r="E385" s="1" t="n">
        <v>46318</v>
      </c>
      <c r="F385" t="inlineStr">
        <is>
          <t>VÄRMLANDS LÄN</t>
        </is>
      </c>
      <c r="G385" t="inlineStr">
        <is>
          <t>KRISTINEHAMN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46318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45392</v>
      </c>
      <c r="E387" s="1" t="n">
        <v>46318</v>
      </c>
      <c r="F387" t="inlineStr">
        <is>
          <t>VÄRMLANDS LÄN</t>
        </is>
      </c>
      <c r="G387" t="inlineStr">
        <is>
          <t>KRISTINEHAMN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45679</v>
      </c>
      <c r="E388" s="1" t="n">
        <v>46318</v>
      </c>
      <c r="F388" t="inlineStr">
        <is>
          <t>VÄRMLANDS LÄN</t>
        </is>
      </c>
      <c r="G388" t="inlineStr">
        <is>
          <t>KRISTINEHAMN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23270-2024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45450</v>
      </c>
      <c r="E389" s="1" t="n">
        <v>46318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Kommuner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68526-2021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44526</v>
      </c>
      <c r="E390" s="1" t="n">
        <v>46318</v>
      </c>
      <c r="F390" t="inlineStr">
        <is>
          <t>VÄRMLANDS LÄN</t>
        </is>
      </c>
      <c r="G390" t="inlineStr">
        <is>
          <t>KRISTINEHAMN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68530-2021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44526</v>
      </c>
      <c r="E391" s="1" t="n">
        <v>46318</v>
      </c>
      <c r="F391" t="inlineStr">
        <is>
          <t>VÄRMLANDS LÄN</t>
        </is>
      </c>
      <c r="G391" t="inlineStr">
        <is>
          <t>KRISTINEHAMN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22201-2022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44712</v>
      </c>
      <c r="E392" s="1" t="n">
        <v>46318</v>
      </c>
      <c r="F392" t="inlineStr">
        <is>
          <t>VÄRMLANDS LÄN</t>
        </is>
      </c>
      <c r="G392" t="inlineStr">
        <is>
          <t>KRISTINEHAMN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45639</v>
      </c>
      <c r="E393" s="1" t="n">
        <v>46318</v>
      </c>
      <c r="F393" t="inlineStr">
        <is>
          <t>VÄRMLANDS LÄN</t>
        </is>
      </c>
      <c r="G393" t="inlineStr">
        <is>
          <t>KRISTINEHAMN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45068</v>
      </c>
      <c r="E394" s="1" t="n">
        <v>46318</v>
      </c>
      <c r="F394" t="inlineStr">
        <is>
          <t>VÄRMLANDS LÄN</t>
        </is>
      </c>
      <c r="G394" t="inlineStr">
        <is>
          <t>KRISTINEHAMN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58284-2024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45631</v>
      </c>
      <c r="E395" s="1" t="n">
        <v>46318</v>
      </c>
      <c r="F395" t="inlineStr">
        <is>
          <t>VÄRMLANDS LÄN</t>
        </is>
      </c>
      <c r="G395" t="inlineStr">
        <is>
          <t>KRISTINEHAMN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29526-2022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44753</v>
      </c>
      <c r="E396" s="1" t="n">
        <v>46318</v>
      </c>
      <c r="F396" t="inlineStr">
        <is>
          <t>VÄRMLANDS LÄN</t>
        </is>
      </c>
      <c r="G396" t="inlineStr">
        <is>
          <t>KRISTINEHAMN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45477</v>
      </c>
      <c r="E397" s="1" t="n">
        <v>46318</v>
      </c>
      <c r="F397" t="inlineStr">
        <is>
          <t>VÄRMLANDS LÄN</t>
        </is>
      </c>
      <c r="G397" t="inlineStr">
        <is>
          <t>KRISTINEHAMN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44923</v>
      </c>
      <c r="E398" s="1" t="n">
        <v>46318</v>
      </c>
      <c r="F398" t="inlineStr">
        <is>
          <t>VÄRMLANDS LÄN</t>
        </is>
      </c>
      <c r="G398" t="inlineStr">
        <is>
          <t>KRISTINEHAMN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46302</v>
      </c>
      <c r="E399" s="1" t="n">
        <v>46318</v>
      </c>
      <c r="F399" t="inlineStr">
        <is>
          <t>VÄRMLANDS LÄN</t>
        </is>
      </c>
      <c r="G399" t="inlineStr">
        <is>
          <t>KRISTINEHAMN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44972</v>
      </c>
      <c r="E400" s="1" t="n">
        <v>46318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45268</v>
      </c>
      <c r="E401" s="1" t="n">
        <v>46318</v>
      </c>
      <c r="F401" t="inlineStr">
        <is>
          <t>VÄRMLANDS LÄN</t>
        </is>
      </c>
      <c r="G401" t="inlineStr">
        <is>
          <t>KRISTINEHAMN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46318</v>
      </c>
      <c r="F402" t="inlineStr">
        <is>
          <t>VÄRMLANDS LÄN</t>
        </is>
      </c>
      <c r="G402" t="inlineStr">
        <is>
          <t>KRISTINEHAMN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45625</v>
      </c>
      <c r="E403" s="1" t="n">
        <v>46318</v>
      </c>
      <c r="F403" t="inlineStr">
        <is>
          <t>VÄRMLANDS LÄN</t>
        </is>
      </c>
      <c r="G403" t="inlineStr">
        <is>
          <t>KRISTINEHAMN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46318</v>
      </c>
      <c r="F404" t="inlineStr">
        <is>
          <t>VÄRMLANDS LÄN</t>
        </is>
      </c>
      <c r="G404" t="inlineStr">
        <is>
          <t>KRISTINEHAMN</t>
        </is>
      </c>
      <c r="I404" t="n">
        <v>8.4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45453</v>
      </c>
      <c r="E405" s="1" t="n">
        <v>46318</v>
      </c>
      <c r="F405" t="inlineStr">
        <is>
          <t>VÄRMLANDS LÄN</t>
        </is>
      </c>
      <c r="G405" t="inlineStr">
        <is>
          <t>KRISTINEHAMN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45666</v>
      </c>
      <c r="E406" s="1" t="n">
        <v>46318</v>
      </c>
      <c r="F406" t="inlineStr">
        <is>
          <t>VÄRMLANDS LÄN</t>
        </is>
      </c>
      <c r="G406" t="inlineStr">
        <is>
          <t>KRISTINEHAMN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46318</v>
      </c>
      <c r="F407" t="inlineStr">
        <is>
          <t>VÄRMLANDS LÄN</t>
        </is>
      </c>
      <c r="G407" t="inlineStr">
        <is>
          <t>KRISTINEHAMN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45268</v>
      </c>
      <c r="E408" s="1" t="n">
        <v>46318</v>
      </c>
      <c r="F408" t="inlineStr">
        <is>
          <t>VÄRMLANDS LÄN</t>
        </is>
      </c>
      <c r="G408" t="inlineStr">
        <is>
          <t>KRISTINEHAMN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45461</v>
      </c>
      <c r="E409" s="1" t="n">
        <v>46318</v>
      </c>
      <c r="F409" t="inlineStr">
        <is>
          <t>VÄRMLANDS LÄN</t>
        </is>
      </c>
      <c r="G409" t="inlineStr">
        <is>
          <t>KRISTINEHAMN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45313</v>
      </c>
      <c r="E410" s="1" t="n">
        <v>46318</v>
      </c>
      <c r="F410" t="inlineStr">
        <is>
          <t>VÄRMLANDS LÄN</t>
        </is>
      </c>
      <c r="G410" t="inlineStr">
        <is>
          <t>KRISTINEHAMN</t>
        </is>
      </c>
      <c r="I410" t="n">
        <v>11.2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44595</v>
      </c>
      <c r="E411" s="1" t="n">
        <v>46318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Kommuner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5507-2022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44595</v>
      </c>
      <c r="E412" s="1" t="n">
        <v>46318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Kommuner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46318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47915-2022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46318</v>
      </c>
      <c r="F414" t="inlineStr">
        <is>
          <t>VÄRMLANDS LÄN</t>
        </is>
      </c>
      <c r="G414" t="inlineStr">
        <is>
          <t>KRISTINEHAMN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46318</v>
      </c>
      <c r="F415" t="inlineStr">
        <is>
          <t>VÄRMLANDS LÄN</t>
        </is>
      </c>
      <c r="G415" t="inlineStr">
        <is>
          <t>KRISTINEHAMN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28827-2024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45478</v>
      </c>
      <c r="E416" s="1" t="n">
        <v>46318</v>
      </c>
      <c r="F416" t="inlineStr">
        <is>
          <t>VÄRMLANDS LÄN</t>
        </is>
      </c>
      <c r="G416" t="inlineStr">
        <is>
          <t>KRISTINEHAMN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46318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45315</v>
      </c>
      <c r="E418" s="1" t="n">
        <v>46318</v>
      </c>
      <c r="F418" t="inlineStr">
        <is>
          <t>VÄRMLANDS LÄN</t>
        </is>
      </c>
      <c r="G418" t="inlineStr">
        <is>
          <t>KRISTINEHAMN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55719-2024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46318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44746</v>
      </c>
      <c r="E420" s="1" t="n">
        <v>46318</v>
      </c>
      <c r="F420" t="inlineStr">
        <is>
          <t>VÄRMLANDS LÄN</t>
        </is>
      </c>
      <c r="G420" t="inlineStr">
        <is>
          <t>KRISTINEHAMN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45600</v>
      </c>
      <c r="E421" s="1" t="n">
        <v>46318</v>
      </c>
      <c r="F421" t="inlineStr">
        <is>
          <t>VÄRMLANDS LÄN</t>
        </is>
      </c>
      <c r="G421" t="inlineStr">
        <is>
          <t>KRISTINEHAMN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44941</v>
      </c>
      <c r="E422" s="1" t="n">
        <v>46318</v>
      </c>
      <c r="F422" t="inlineStr">
        <is>
          <t>VÄRMLANDS LÄN</t>
        </is>
      </c>
      <c r="G422" t="inlineStr">
        <is>
          <t>KRISTINEHAMN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46318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4147-2023</t>
        </is>
      </c>
      <c r="B424" t="inlineStr">
        <is>
          <t>samrådsanmälan</t>
        </is>
      </c>
      <c r="C424" t="inlineStr">
        <is>
          <t>Skogsgödsling</t>
        </is>
      </c>
      <c r="D424" s="1" t="n">
        <v>45247</v>
      </c>
      <c r="E424" s="1" t="n">
        <v>46318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13.5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4149-2023</t>
        </is>
      </c>
      <c r="B425" t="inlineStr">
        <is>
          <t>samrådsanmälan</t>
        </is>
      </c>
      <c r="C425" t="inlineStr">
        <is>
          <t>Skogsgödsling</t>
        </is>
      </c>
      <c r="D425" s="1" t="n">
        <v>45247</v>
      </c>
      <c r="E425" s="1" t="n">
        <v>46318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1815-2022</t>
        </is>
      </c>
      <c r="B426" t="inlineStr">
        <is>
          <t>samrådsanmälan</t>
        </is>
      </c>
      <c r="C426" t="inlineStr">
        <is>
          <t>Åtgärd i nyckelbiotop</t>
        </is>
      </c>
      <c r="D426" s="1" t="n">
        <v>44657</v>
      </c>
      <c r="E426" s="1" t="n">
        <v>46318</v>
      </c>
      <c r="F426" t="inlineStr">
        <is>
          <t>VÄRMLANDS LÄN</t>
        </is>
      </c>
      <c r="G426" t="inlineStr">
        <is>
          <t>KRISTINEHAMN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2254-2023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45103</v>
      </c>
      <c r="E427" s="1" t="n">
        <v>46318</v>
      </c>
      <c r="F427" t="inlineStr">
        <is>
          <t>VÄRMLANDS LÄN</t>
        </is>
      </c>
      <c r="G427" t="inlineStr">
        <is>
          <t>KRISTINEHAMN</t>
        </is>
      </c>
      <c r="I427" t="n">
        <v>51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2879-2022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44711</v>
      </c>
      <c r="E428" s="1" t="n">
        <v>46318</v>
      </c>
      <c r="F428" t="inlineStr">
        <is>
          <t>VÄRMLANDS LÄN</t>
        </is>
      </c>
      <c r="G428" t="inlineStr">
        <is>
          <t>KRISTINEHAMN</t>
        </is>
      </c>
      <c r="I428" t="n">
        <v>25.9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1899-2024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45442</v>
      </c>
      <c r="E429" s="1" t="n">
        <v>46318</v>
      </c>
      <c r="F429" t="inlineStr">
        <is>
          <t>VÄRMLANDS LÄN</t>
        </is>
      </c>
      <c r="G429" t="inlineStr">
        <is>
          <t>KRISTINEHAMN</t>
        </is>
      </c>
      <c r="I429" t="n">
        <v>21.4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2301-2024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45463</v>
      </c>
      <c r="E430" s="1" t="n">
        <v>46318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Bergvik skog väst AB</t>
        </is>
      </c>
      <c r="I430" t="n">
        <v>28.1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2553-2024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45475</v>
      </c>
      <c r="E431" s="1" t="n">
        <v>46318</v>
      </c>
      <c r="F431" t="inlineStr">
        <is>
          <t>VÄRMLANDS LÄN</t>
        </is>
      </c>
      <c r="G431" t="inlineStr">
        <is>
          <t>KRISTINEHAMN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3378-2024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45533</v>
      </c>
      <c r="E432" s="1" t="n">
        <v>46318</v>
      </c>
      <c r="F432" t="inlineStr">
        <is>
          <t>VÄRMLANDS LÄN</t>
        </is>
      </c>
      <c r="G432" t="inlineStr">
        <is>
          <t>KRISTINEHAMN</t>
        </is>
      </c>
      <c r="I432" t="n">
        <v>53.7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2393-2022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44690</v>
      </c>
      <c r="E433" s="1" t="n">
        <v>46318</v>
      </c>
      <c r="F433" t="inlineStr">
        <is>
          <t>VÄRMLANDS LÄN</t>
        </is>
      </c>
      <c r="G433" t="inlineStr">
        <is>
          <t>KRISTINEHAMN</t>
        </is>
      </c>
      <c r="I433" t="n">
        <v>51.7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46318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46318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46318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46318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46318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46318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46318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46318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46318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46318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46318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46318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46318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46318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2026-10-23T02:01:18Z</dcterms:created>
  <dcterms:modified xmlns:dcterms="http://purl.org/dc/terms/" xmlns:xsi="http://www.w3.org/2001/XMLSchema-instance" xsi:type="dcterms:W3CDTF">2026-10-23T02:01:19Z</dcterms:modified>
</cp:coreProperties>
</file>