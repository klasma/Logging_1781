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46315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46315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46315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46315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46315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S 2037-2023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45091</v>
      </c>
      <c r="E7" s="1" t="n">
        <v>46315</v>
      </c>
      <c r="F7" t="inlineStr">
        <is>
          <t>VÄRMLANDS LÄN</t>
        </is>
      </c>
      <c r="G7" t="inlineStr">
        <is>
          <t>KRISTINEHAMN</t>
        </is>
      </c>
      <c r="I7" t="n">
        <v>91.90000000000001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Talltita
Älg
Tjäder</t>
        </is>
      </c>
      <c r="W7">
        <f>HYPERLINK("https://klasma.github.io/Logging_1781/artfynd/S 2037-2023 artfynd.xlsx", "S 2037-2023")</f>
        <v/>
      </c>
      <c r="X7">
        <f>HYPERLINK("https://klasma.github.io/Logging_1781/kartor/S 2037-2023 karta.png", "S 2037-2023")</f>
        <v/>
      </c>
      <c r="Y7">
        <f>HYPERLINK("https://klasma.github.io/Logging_1781/kartor_geotiff/S 2037-2023 georefererad karta.tif", "S 2037-2023")</f>
        <v/>
      </c>
      <c r="AA7">
        <f>HYPERLINK("https://klasma.github.io/Logging_1781/klagomål/S 2037-2023 FSC-klagomål.docx", "S 2037-2023")</f>
        <v/>
      </c>
      <c r="AB7">
        <f>HYPERLINK("https://klasma.github.io/Logging_1781/klagomålsmail/S 2037-2023 FSC-klagomål mail.docx", "S 2037-2023")</f>
        <v/>
      </c>
      <c r="AC7">
        <f>HYPERLINK("https://klasma.github.io/Logging_1781/tillsyn/S 2037-2023 tillsynsbegäran.docx", "S 2037-2023")</f>
        <v/>
      </c>
      <c r="AD7">
        <f>HYPERLINK("https://klasma.github.io/Logging_1781/tillsynsmail/S 2037-2023 tillsynsbegäran mail.docx", "S 2037-2023")</f>
        <v/>
      </c>
      <c r="AE7">
        <f>HYPERLINK("https://klasma.github.io/Logging_1781/fåglar/S 2037-2023 prioriterade fågelarter.docx", "S 2037-2023")</f>
        <v/>
      </c>
    </row>
    <row r="8" ht="15" customHeight="1">
      <c r="A8" t="inlineStr">
        <is>
          <t>S 3886-2024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45561</v>
      </c>
      <c r="E8" s="1" t="n">
        <v>46315</v>
      </c>
      <c r="F8" t="inlineStr">
        <is>
          <t>VÄRMLANDS LÄN</t>
        </is>
      </c>
      <c r="G8" t="inlineStr">
        <is>
          <t>KRISTINEHAMN</t>
        </is>
      </c>
      <c r="I8" t="n">
        <v>93.5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Mattlummer
Vattenfladdermus</t>
        </is>
      </c>
      <c r="W8">
        <f>HYPERLINK("https://klasma.github.io/Logging_1781/artfynd/S 3886-2024 artfynd.xlsx", "S 3886-2024")</f>
        <v/>
      </c>
      <c r="X8">
        <f>HYPERLINK("https://klasma.github.io/Logging_1781/kartor/S 3886-2024 karta.png", "S 3886-2024")</f>
        <v/>
      </c>
      <c r="Y8">
        <f>HYPERLINK("https://klasma.github.io/Logging_1781/kartor_geotiff/S 3886-2024 georefererad karta.tif", "S 3886-2024")</f>
        <v/>
      </c>
      <c r="AA8">
        <f>HYPERLINK("https://klasma.github.io/Logging_1781/klagomål/S 3886-2024 FSC-klagomål.docx", "S 3886-2024")</f>
        <v/>
      </c>
      <c r="AB8">
        <f>HYPERLINK("https://klasma.github.io/Logging_1781/klagomålsmail/S 3886-2024 FSC-klagomål mail.docx", "S 3886-2024")</f>
        <v/>
      </c>
      <c r="AC8">
        <f>HYPERLINK("https://klasma.github.io/Logging_1781/tillsyn/S 3886-2024 tillsynsbegäran.docx", "S 3886-2024")</f>
        <v/>
      </c>
      <c r="AD8">
        <f>HYPERLINK("https://klasma.github.io/Logging_1781/tillsynsmail/S 3886-2024 tillsynsbegäran mail.docx", "S 3886-2024")</f>
        <v/>
      </c>
    </row>
    <row r="9" ht="15" customHeight="1">
      <c r="A9" t="inlineStr">
        <is>
          <t>S 3896-2024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45562</v>
      </c>
      <c r="E9" s="1" t="n">
        <v>46315</v>
      </c>
      <c r="F9" t="inlineStr">
        <is>
          <t>VÄRMLANDS LÄN</t>
        </is>
      </c>
      <c r="G9" t="inlineStr">
        <is>
          <t>KRISTINEHAMN</t>
        </is>
      </c>
      <c r="H9" t="inlineStr">
        <is>
          <t>Sveaskog</t>
        </is>
      </c>
      <c r="I9" t="n">
        <v>136.7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Nordfladdermus
Rödlånke
Vanlig padda</t>
        </is>
      </c>
      <c r="W9">
        <f>HYPERLINK("https://klasma.github.io/Logging_1781/artfynd/S 3896-2024 artfynd.xlsx", "S 3896-2024")</f>
        <v/>
      </c>
      <c r="X9">
        <f>HYPERLINK("https://klasma.github.io/Logging_1781/kartor/S 3896-2024 karta.png", "S 3896-2024")</f>
        <v/>
      </c>
      <c r="Y9">
        <f>HYPERLINK("https://klasma.github.io/Logging_1781/kartor_geotiff/S 3896-2024 georefererad karta.tif", "S 3896-2024")</f>
        <v/>
      </c>
      <c r="AA9">
        <f>HYPERLINK("https://klasma.github.io/Logging_1781/klagomål/S 3896-2024 FSC-klagomål.docx", "S 3896-2024")</f>
        <v/>
      </c>
      <c r="AB9">
        <f>HYPERLINK("https://klasma.github.io/Logging_1781/klagomålsmail/S 3896-2024 FSC-klagomål mail.docx", "S 3896-2024")</f>
        <v/>
      </c>
      <c r="AC9">
        <f>HYPERLINK("https://klasma.github.io/Logging_1781/tillsyn/S 3896-2024 tillsynsbegäran.docx", "S 3896-2024")</f>
        <v/>
      </c>
      <c r="AD9">
        <f>HYPERLINK("https://klasma.github.io/Logging_1781/tillsynsmail/S 3896-2024 tillsynsbegäran mail.docx", "S 3896-2024")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46315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2398-2022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44690</v>
      </c>
      <c r="E11" s="1" t="n">
        <v>46315</v>
      </c>
      <c r="F11" t="inlineStr">
        <is>
          <t>VÄRMLANDS LÄN</t>
        </is>
      </c>
      <c r="G11" t="inlineStr">
        <is>
          <t>KRISTINEHAMN</t>
        </is>
      </c>
      <c r="I11" t="n">
        <v>156.6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Dvärglin
Talltita</t>
        </is>
      </c>
      <c r="W11">
        <f>HYPERLINK("https://klasma.github.io/Logging_1781/artfynd/S 2398-2022 artfynd.xlsx", "S 2398-2022")</f>
        <v/>
      </c>
      <c r="X11">
        <f>HYPERLINK("https://klasma.github.io/Logging_1781/kartor/S 2398-2022 karta.png", "S 2398-2022")</f>
        <v/>
      </c>
      <c r="Y11">
        <f>HYPERLINK("https://klasma.github.io/Logging_1781/kartor_geotiff/S 2398-2022 georefererad karta.tif", "S 2398-2022")</f>
        <v/>
      </c>
      <c r="AA11">
        <f>HYPERLINK("https://klasma.github.io/Logging_1781/klagomål/S 2398-2022 FSC-klagomål.docx", "S 2398-2022")</f>
        <v/>
      </c>
      <c r="AB11">
        <f>HYPERLINK("https://klasma.github.io/Logging_1781/klagomålsmail/S 2398-2022 FSC-klagomål mail.docx", "S 2398-2022")</f>
        <v/>
      </c>
      <c r="AC11">
        <f>HYPERLINK("https://klasma.github.io/Logging_1781/tillsyn/S 2398-2022 tillsynsbegäran.docx", "S 2398-2022")</f>
        <v/>
      </c>
      <c r="AD11">
        <f>HYPERLINK("https://klasma.github.io/Logging_1781/tillsynsmail/S 2398-2022 tillsynsbegäran mail.docx", "S 2398-2022")</f>
        <v/>
      </c>
      <c r="AE11">
        <f>HYPERLINK("https://klasma.github.io/Logging_1781/fåglar/S 2398-2022 prioriterade fågelarter.docx", "S 2398-2022")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46315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46315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46315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46315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46315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46315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3302-2022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44584</v>
      </c>
      <c r="E18" s="1" t="n">
        <v>46315</v>
      </c>
      <c r="F18" t="inlineStr">
        <is>
          <t>VÄRMLANDS LÄN</t>
        </is>
      </c>
      <c r="G18" t="inlineStr">
        <is>
          <t>KRISTINEHAMN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Bombmurkla</t>
        </is>
      </c>
      <c r="W18">
        <f>HYPERLINK("https://klasma.github.io/Logging_1781/artfynd/A 3302-2022 artfynd.xlsx", "A 3302-2022")</f>
        <v/>
      </c>
      <c r="X18">
        <f>HYPERLINK("https://klasma.github.io/Logging_1781/kartor/A 3302-2022 karta.png", "A 3302-2022")</f>
        <v/>
      </c>
      <c r="Y18">
        <f>HYPERLINK("https://klasma.github.io/Logging_1781/kartor_geotiff/A 3302-2022 georefererad karta.tif", "A 3302-2022")</f>
        <v/>
      </c>
      <c r="AA18">
        <f>HYPERLINK("https://klasma.github.io/Logging_1781/klagomål/A 3302-2022 FSC-klagomål.docx", "A 3302-2022")</f>
        <v/>
      </c>
      <c r="AB18">
        <f>HYPERLINK("https://klasma.github.io/Logging_1781/klagomålsmail/A 3302-2022 FSC-klagomål mail.docx", "A 3302-2022")</f>
        <v/>
      </c>
      <c r="AC18">
        <f>HYPERLINK("https://klasma.github.io/Logging_1781/tillsyn/A 3302-2022 tillsynsbegäran.docx", "A 3302-2022")</f>
        <v/>
      </c>
      <c r="AD18">
        <f>HYPERLINK("https://klasma.github.io/Logging_1781/tillsynsmail/A 3302-2022 tillsynsbegäran mail.docx", "A 3302-2022")</f>
        <v/>
      </c>
    </row>
    <row r="19" ht="15" customHeight="1">
      <c r="A19" t="inlineStr">
        <is>
          <t>A 59096-2024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45637</v>
      </c>
      <c r="E19" s="1" t="n">
        <v>46315</v>
      </c>
      <c r="F19" t="inlineStr">
        <is>
          <t>VÄRMLANDS LÄN</t>
        </is>
      </c>
      <c r="G19" t="inlineStr">
        <is>
          <t>KRISTINEHAMN</t>
        </is>
      </c>
      <c r="I19" t="n">
        <v>4.4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3</v>
      </c>
      <c r="U19" t="n">
        <v>0</v>
      </c>
      <c r="V19" s="2" t="inlineStr">
        <is>
          <t>Bombmurkla</t>
        </is>
      </c>
      <c r="W19">
        <f>HYPERLINK("https://klasma.github.io/Logging_1781/artfynd/A 59096-2024 artfynd.xlsx", "A 59096-2024")</f>
        <v/>
      </c>
      <c r="X19">
        <f>HYPERLINK("https://klasma.github.io/Logging_1781/kartor/A 59096-2024 karta.png", "A 59096-2024")</f>
        <v/>
      </c>
      <c r="Y19">
        <f>HYPERLINK("https://klasma.github.io/Logging_1781/kartor_geotiff/A 59096-2024 georefererad karta.tif", "A 59096-2024")</f>
        <v/>
      </c>
      <c r="AA19">
        <f>HYPERLINK("https://klasma.github.io/Logging_1781/klagomål/A 59096-2024 FSC-klagomål.docx", "A 59096-2024")</f>
        <v/>
      </c>
      <c r="AB19">
        <f>HYPERLINK("https://klasma.github.io/Logging_1781/klagomålsmail/A 59096-2024 FSC-klagomål mail.docx", "A 59096-2024")</f>
        <v/>
      </c>
      <c r="AC19">
        <f>HYPERLINK("https://klasma.github.io/Logging_1781/tillsyn/A 59096-2024 tillsynsbegäran.docx", "A 59096-2024")</f>
        <v/>
      </c>
      <c r="AD19">
        <f>HYPERLINK("https://klasma.github.io/Logging_1781/tillsynsmail/A 59096-2024 tillsynsbegäran mail.docx", "A 59096-2024")</f>
        <v/>
      </c>
    </row>
    <row r="20" ht="15" customHeight="1">
      <c r="A20" t="inlineStr">
        <is>
          <t>A 45122-2022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44843</v>
      </c>
      <c r="E20" s="1" t="n">
        <v>46315</v>
      </c>
      <c r="F20" t="inlineStr">
        <is>
          <t>VÄRMLANDS LÄN</t>
        </is>
      </c>
      <c r="G20" t="inlineStr">
        <is>
          <t>KRISTINEHAMN</t>
        </is>
      </c>
      <c r="I20" t="n">
        <v>3.3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Dvärglin</t>
        </is>
      </c>
      <c r="W20">
        <f>HYPERLINK("https://klasma.github.io/Logging_1781/artfynd/A 45122-2022 artfynd.xlsx", "A 45122-2022")</f>
        <v/>
      </c>
      <c r="X20">
        <f>HYPERLINK("https://klasma.github.io/Logging_1781/kartor/A 45122-2022 karta.png", "A 45122-2022")</f>
        <v/>
      </c>
      <c r="Y20">
        <f>HYPERLINK("https://klasma.github.io/Logging_1781/kartor_geotiff/A 45122-2022 georefererad karta.tif", "A 45122-2022")</f>
        <v/>
      </c>
      <c r="AA20">
        <f>HYPERLINK("https://klasma.github.io/Logging_1781/klagomål/A 45122-2022 FSC-klagomål.docx", "A 45122-2022")</f>
        <v/>
      </c>
      <c r="AB20">
        <f>HYPERLINK("https://klasma.github.io/Logging_1781/klagomålsmail/A 45122-2022 FSC-klagomål mail.docx", "A 45122-2022")</f>
        <v/>
      </c>
      <c r="AC20">
        <f>HYPERLINK("https://klasma.github.io/Logging_1781/tillsyn/A 45122-2022 tillsynsbegäran.docx", "A 45122-2022")</f>
        <v/>
      </c>
      <c r="AD20">
        <f>HYPERLINK("https://klasma.github.io/Logging_1781/tillsynsmail/A 45122-2022 tillsynsbegäran mail.docx", "A 45122-2022")</f>
        <v/>
      </c>
    </row>
    <row r="21" ht="15" customHeight="1">
      <c r="A21" t="inlineStr">
        <is>
          <t>A 20746-2026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46141</v>
      </c>
      <c r="E21" s="1" t="n">
        <v>46315</v>
      </c>
      <c r="F21" t="inlineStr">
        <is>
          <t>VÄRMLANDS LÄN</t>
        </is>
      </c>
      <c r="G21" t="inlineStr">
        <is>
          <t>KRISTINEHAMN</t>
        </is>
      </c>
      <c r="H21" t="inlineStr">
        <is>
          <t>Naturvårdsverket</t>
        </is>
      </c>
      <c r="I21" t="n">
        <v>6.3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 sköldmossa</t>
        </is>
      </c>
      <c r="W21">
        <f>HYPERLINK("https://klasma.github.io/Logging_1781/artfynd/A 20746-2026 artfynd.xlsx", "A 20746-2026")</f>
        <v/>
      </c>
      <c r="X21">
        <f>HYPERLINK("https://klasma.github.io/Logging_1781/kartor/A 20746-2026 karta.png", "A 20746-2026")</f>
        <v/>
      </c>
      <c r="Y21">
        <f>HYPERLINK("https://klasma.github.io/Logging_1781/kartor_geotiff/A 20746-2026 georefererad karta.tif", "A 20746-2026")</f>
        <v/>
      </c>
      <c r="AA21">
        <f>HYPERLINK("https://klasma.github.io/Logging_1781/klagomål/A 20746-2026 FSC-klagomål.docx", "A 20746-2026")</f>
        <v/>
      </c>
      <c r="AB21">
        <f>HYPERLINK("https://klasma.github.io/Logging_1781/klagomålsmail/A 20746-2026 FSC-klagomål mail.docx", "A 20746-2026")</f>
        <v/>
      </c>
      <c r="AC21">
        <f>HYPERLINK("https://klasma.github.io/Logging_1781/tillsyn/A 20746-2026 tillsynsbegäran.docx", "A 20746-2026")</f>
        <v/>
      </c>
      <c r="AD21">
        <f>HYPERLINK("https://klasma.github.io/Logging_1781/tillsynsmail/A 20746-2026 tillsynsbegäran mail.docx", "A 20746-2026")</f>
        <v/>
      </c>
    </row>
    <row r="22" ht="15" customHeight="1">
      <c r="A22" t="inlineStr">
        <is>
          <t>A 54771-2022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44883</v>
      </c>
      <c r="E22" s="1" t="n">
        <v>46315</v>
      </c>
      <c r="F22" t="inlineStr">
        <is>
          <t>VÄRMLANDS LÄN</t>
        </is>
      </c>
      <c r="G22" t="inlineStr">
        <is>
          <t>KRISTINEHAMN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Röd glada</t>
        </is>
      </c>
      <c r="W22">
        <f>HYPERLINK("https://klasma.github.io/Logging_1781/artfynd/A 54771-2022 artfynd.xlsx", "A 54771-2022")</f>
        <v/>
      </c>
      <c r="X22">
        <f>HYPERLINK("https://klasma.github.io/Logging_1781/kartor/A 54771-2022 karta.png", "A 54771-2022")</f>
        <v/>
      </c>
      <c r="Y22">
        <f>HYPERLINK("https://klasma.github.io/Logging_1781/kartor_geotiff/A 54771-2022 georefererad karta.tif", "A 54771-2022")</f>
        <v/>
      </c>
      <c r="AA22">
        <f>HYPERLINK("https://klasma.github.io/Logging_1781/klagomål/A 54771-2022 FSC-klagomål.docx", "A 54771-2022")</f>
        <v/>
      </c>
      <c r="AB22">
        <f>HYPERLINK("https://klasma.github.io/Logging_1781/klagomålsmail/A 54771-2022 FSC-klagomål mail.docx", "A 54771-2022")</f>
        <v/>
      </c>
      <c r="AC22">
        <f>HYPERLINK("https://klasma.github.io/Logging_1781/tillsyn/A 54771-2022 tillsynsbegäran.docx", "A 54771-2022")</f>
        <v/>
      </c>
      <c r="AD22">
        <f>HYPERLINK("https://klasma.github.io/Logging_1781/tillsynsmail/A 54771-2022 tillsynsbegäran mail.docx", "A 54771-2022")</f>
        <v/>
      </c>
      <c r="AE22">
        <f>HYPERLINK("https://klasma.github.io/Logging_1781/fåglar/A 54771-2022 prioriterade fågelarter.docx", "A 54771-2022")</f>
        <v/>
      </c>
    </row>
    <row r="23" ht="15" customHeight="1">
      <c r="A23" t="inlineStr">
        <is>
          <t>A 53607-2025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46315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53607-2025 artfynd.xlsx", "A 53607-2025")</f>
        <v/>
      </c>
      <c r="X23">
        <f>HYPERLINK("https://klasma.github.io/Logging_1781/kartor/A 53607-2025 karta.png", "A 53607-2025")</f>
        <v/>
      </c>
      <c r="Y23">
        <f>HYPERLINK("https://klasma.github.io/Logging_1781/kartor_geotiff/A 53607-2025 georefererad karta.tif", "A 53607-2025")</f>
        <v/>
      </c>
      <c r="AA23">
        <f>HYPERLINK("https://klasma.github.io/Logging_1781/klagomål/A 53607-2025 FSC-klagomål.docx", "A 53607-2025")</f>
        <v/>
      </c>
      <c r="AB23">
        <f>HYPERLINK("https://klasma.github.io/Logging_1781/klagomålsmail/A 53607-2025 FSC-klagomål mail.docx", "A 53607-2025")</f>
        <v/>
      </c>
      <c r="AC23">
        <f>HYPERLINK("https://klasma.github.io/Logging_1781/tillsyn/A 53607-2025 tillsynsbegäran.docx", "A 53607-2025")</f>
        <v/>
      </c>
      <c r="AD23">
        <f>HYPERLINK("https://klasma.github.io/Logging_1781/tillsynsmail/A 53607-2025 tillsynsbegäran mail.docx", "A 53607-2025")</f>
        <v/>
      </c>
    </row>
    <row r="24" ht="15" customHeight="1">
      <c r="A24" t="inlineStr">
        <is>
          <t>A 53630-2025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46315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53630-2025 artfynd.xlsx", "A 53630-2025")</f>
        <v/>
      </c>
      <c r="X24">
        <f>HYPERLINK("https://klasma.github.io/Logging_1781/kartor/A 53630-2025 karta.png", "A 53630-2025")</f>
        <v/>
      </c>
      <c r="Y24">
        <f>HYPERLINK("https://klasma.github.io/Logging_1781/kartor_geotiff/A 53630-2025 georefererad karta.tif", "A 53630-2025")</f>
        <v/>
      </c>
      <c r="AA24">
        <f>HYPERLINK("https://klasma.github.io/Logging_1781/klagomål/A 53630-2025 FSC-klagomål.docx", "A 53630-2025")</f>
        <v/>
      </c>
      <c r="AB24">
        <f>HYPERLINK("https://klasma.github.io/Logging_1781/klagomålsmail/A 53630-2025 FSC-klagomål mail.docx", "A 53630-2025")</f>
        <v/>
      </c>
      <c r="AC24">
        <f>HYPERLINK("https://klasma.github.io/Logging_1781/tillsyn/A 53630-2025 tillsynsbegäran.docx", "A 53630-2025")</f>
        <v/>
      </c>
      <c r="AD24">
        <f>HYPERLINK("https://klasma.github.io/Logging_1781/tillsynsmail/A 53630-2025 tillsynsbegäran mail.docx", "A 53630-2025")</f>
        <v/>
      </c>
    </row>
    <row r="25" ht="15" customHeight="1">
      <c r="A25" t="inlineStr">
        <is>
          <t>A 13025-2023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45002</v>
      </c>
      <c r="E25" s="1" t="n">
        <v>46315</v>
      </c>
      <c r="F25" t="inlineStr">
        <is>
          <t>VÄRMLANDS LÄN</t>
        </is>
      </c>
      <c r="G25" t="inlineStr">
        <is>
          <t>KRISTINEHAMN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Kamjordstjärna</t>
        </is>
      </c>
      <c r="W25">
        <f>HYPERLINK("https://klasma.github.io/Logging_1781/artfynd/A 13025-2023 artfynd.xlsx", "A 13025-2023")</f>
        <v/>
      </c>
      <c r="X25">
        <f>HYPERLINK("https://klasma.github.io/Logging_1781/kartor/A 13025-2023 karta.png", "A 13025-2023")</f>
        <v/>
      </c>
      <c r="Y25">
        <f>HYPERLINK("https://klasma.github.io/Logging_1781/kartor_geotiff/A 13025-2023 georefererad karta.tif", "A 13025-2023")</f>
        <v/>
      </c>
      <c r="AA25">
        <f>HYPERLINK("https://klasma.github.io/Logging_1781/klagomål/A 13025-2023 FSC-klagomål.docx", "A 13025-2023")</f>
        <v/>
      </c>
      <c r="AB25">
        <f>HYPERLINK("https://klasma.github.io/Logging_1781/klagomålsmail/A 13025-2023 FSC-klagomål mail.docx", "A 13025-2023")</f>
        <v/>
      </c>
      <c r="AC25">
        <f>HYPERLINK("https://klasma.github.io/Logging_1781/tillsyn/A 13025-2023 tillsynsbegäran.docx", "A 13025-2023")</f>
        <v/>
      </c>
      <c r="AD25">
        <f>HYPERLINK("https://klasma.github.io/Logging_1781/tillsynsmail/A 13025-2023 tillsynsbegäran mail.docx", "A 13025-2023")</f>
        <v/>
      </c>
    </row>
    <row r="26" ht="15" customHeight="1">
      <c r="A26" t="inlineStr">
        <is>
          <t>A 58021-2025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46315</v>
      </c>
      <c r="F26" t="inlineStr">
        <is>
          <t>VÄRMLANDS LÄN</t>
        </is>
      </c>
      <c r="G26" t="inlineStr">
        <is>
          <t>KRISTINEHAMN</t>
        </is>
      </c>
      <c r="I26" t="n">
        <v>4.2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HYPERLINK("https://klasma.github.io/Logging_1781/artfynd/A 58021-2025 artfynd.xlsx", "A 58021-2025")</f>
        <v/>
      </c>
      <c r="X26">
        <f>HYPERLINK("https://klasma.github.io/Logging_1781/kartor/A 58021-2025 karta.png", "A 58021-2025")</f>
        <v/>
      </c>
      <c r="Y26">
        <f>HYPERLINK("https://klasma.github.io/Logging_1781/kartor_geotiff/A 58021-2025 georefererad karta.tif", "A 58021-2025")</f>
        <v/>
      </c>
      <c r="AA26">
        <f>HYPERLINK("https://klasma.github.io/Logging_1781/klagomål/A 58021-2025 FSC-klagomål.docx", "A 58021-2025")</f>
        <v/>
      </c>
      <c r="AB26">
        <f>HYPERLINK("https://klasma.github.io/Logging_1781/klagomålsmail/A 58021-2025 FSC-klagomål mail.docx", "A 58021-2025")</f>
        <v/>
      </c>
      <c r="AC26">
        <f>HYPERLINK("https://klasma.github.io/Logging_1781/tillsyn/A 58021-2025 tillsynsbegäran.docx", "A 58021-2025")</f>
        <v/>
      </c>
      <c r="AD26">
        <f>HYPERLINK("https://klasma.github.io/Logging_1781/tillsynsmail/A 58021-2025 tillsynsbegäran mail.docx", "A 58021-2025")</f>
        <v/>
      </c>
    </row>
    <row r="27" ht="15" customHeight="1">
      <c r="A27" t="inlineStr">
        <is>
          <t>A 12593-2024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45380</v>
      </c>
      <c r="E27" s="1" t="n">
        <v>46315</v>
      </c>
      <c r="F27" t="inlineStr">
        <is>
          <t>VÄRMLANDS LÄN</t>
        </is>
      </c>
      <c r="G27" t="inlineStr">
        <is>
          <t>KRISTINEHAMN</t>
        </is>
      </c>
      <c r="I27" t="n">
        <v>5.9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Bombmurkla</t>
        </is>
      </c>
      <c r="W27">
        <f>HYPERLINK("https://klasma.github.io/Logging_1781/artfynd/A 12593-2024 artfynd.xlsx", "A 12593-2024")</f>
        <v/>
      </c>
      <c r="X27">
        <f>HYPERLINK("https://klasma.github.io/Logging_1781/kartor/A 12593-2024 karta.png", "A 12593-2024")</f>
        <v/>
      </c>
      <c r="Y27">
        <f>HYPERLINK("https://klasma.github.io/Logging_1781/kartor_geotiff/A 12593-2024 georefererad karta.tif", "A 12593-2024")</f>
        <v/>
      </c>
      <c r="AA27">
        <f>HYPERLINK("https://klasma.github.io/Logging_1781/klagomål/A 12593-2024 FSC-klagomål.docx", "A 12593-2024")</f>
        <v/>
      </c>
      <c r="AB27">
        <f>HYPERLINK("https://klasma.github.io/Logging_1781/klagomålsmail/A 12593-2024 FSC-klagomål mail.docx", "A 12593-2024")</f>
        <v/>
      </c>
      <c r="AC27">
        <f>HYPERLINK("https://klasma.github.io/Logging_1781/tillsyn/A 12593-2024 tillsynsbegäran.docx", "A 12593-2024")</f>
        <v/>
      </c>
      <c r="AD27">
        <f>HYPERLINK("https://klasma.github.io/Logging_1781/tillsynsmail/A 12593-2024 tillsynsbegäran mail.docx", "A 12593-2024")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46315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HYPERLINK("https://klasma.github.io/Logging_1781/artfynd/A 61238-2025 artfynd.xlsx", "A 61238-2025")</f>
        <v/>
      </c>
      <c r="X28">
        <f>HYPERLINK("https://klasma.github.io/Logging_1781/kartor/A 61238-2025 karta.png", "A 61238-2025")</f>
        <v/>
      </c>
      <c r="Y28">
        <f>HYPERLINK("https://klasma.github.io/Logging_1781/kartor_geotiff/A 61238-2025 georefererad karta.tif", "A 61238-2025")</f>
        <v/>
      </c>
      <c r="AA28">
        <f>HYPERLINK("https://klasma.github.io/Logging_1781/klagomål/A 61238-2025 FSC-klagomål.docx", "A 61238-2025")</f>
        <v/>
      </c>
      <c r="AB28">
        <f>HYPERLINK("https://klasma.github.io/Logging_1781/klagomålsmail/A 61238-2025 FSC-klagomål mail.docx", "A 61238-2025")</f>
        <v/>
      </c>
      <c r="AC28">
        <f>HYPERLINK("https://klasma.github.io/Logging_1781/tillsyn/A 61238-2025 tillsynsbegäran.docx", "A 61238-2025")</f>
        <v/>
      </c>
      <c r="AD28">
        <f>HYPERLINK("https://klasma.github.io/Logging_1781/tillsynsmail/A 61238-2025 tillsynsbegäran mail.docx", "A 61238-2025")</f>
        <v/>
      </c>
      <c r="AE28">
        <f>HYPERLINK("https://klasma.github.io/Logging_1781/fåglar/A 61238-2025 prioriterade fågelarter.docx", "A 61238-2025")</f>
        <v/>
      </c>
    </row>
    <row r="29" ht="15" customHeight="1">
      <c r="A29" t="inlineStr">
        <is>
          <t>A 8714-2024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45356</v>
      </c>
      <c r="E29" s="1" t="n">
        <v>46315</v>
      </c>
      <c r="F29" t="inlineStr">
        <is>
          <t>VÄRMLANDS LÄN</t>
        </is>
      </c>
      <c r="G29" t="inlineStr">
        <is>
          <t>KRISTINEHAMN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Bombmurkla</t>
        </is>
      </c>
      <c r="W29">
        <f>HYPERLINK("https://klasma.github.io/Logging_1781/artfynd/A 8714-2024 artfynd.xlsx", "A 8714-2024")</f>
        <v/>
      </c>
      <c r="X29">
        <f>HYPERLINK("https://klasma.github.io/Logging_1781/kartor/A 8714-2024 karta.png", "A 8714-2024")</f>
        <v/>
      </c>
      <c r="Y29">
        <f>HYPERLINK("https://klasma.github.io/Logging_1781/kartor_geotiff/A 8714-2024 georefererad karta.tif", "A 8714-2024")</f>
        <v/>
      </c>
      <c r="AA29">
        <f>HYPERLINK("https://klasma.github.io/Logging_1781/klagomål/A 8714-2024 FSC-klagomål.docx", "A 8714-2024")</f>
        <v/>
      </c>
      <c r="AB29">
        <f>HYPERLINK("https://klasma.github.io/Logging_1781/klagomålsmail/A 8714-2024 FSC-klagomål mail.docx", "A 8714-2024")</f>
        <v/>
      </c>
      <c r="AC29">
        <f>HYPERLINK("https://klasma.github.io/Logging_1781/tillsyn/A 8714-2024 tillsynsbegäran.docx", "A 8714-2024")</f>
        <v/>
      </c>
      <c r="AD29">
        <f>HYPERLINK("https://klasma.github.io/Logging_1781/tillsynsmail/A 8714-2024 tillsynsbegäran mail.docx", "A 8714-2024")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46315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Björksplintborre</t>
        </is>
      </c>
      <c r="W30">
        <f>HYPERLINK("https://klasma.github.io/Logging_1781/artfynd/A 60714-2025 artfynd.xlsx", "A 60714-2025")</f>
        <v/>
      </c>
      <c r="X30">
        <f>HYPERLINK("https://klasma.github.io/Logging_1781/kartor/A 60714-2025 karta.png", "A 60714-2025")</f>
        <v/>
      </c>
      <c r="Y30">
        <f>HYPERLINK("https://klasma.github.io/Logging_1781/kartor_geotiff/A 60714-2025 georefererad karta.tif", "A 60714-2025")</f>
        <v/>
      </c>
      <c r="AA30">
        <f>HYPERLINK("https://klasma.github.io/Logging_1781/klagomål/A 60714-2025 FSC-klagomål.docx", "A 60714-2025")</f>
        <v/>
      </c>
      <c r="AB30">
        <f>HYPERLINK("https://klasma.github.io/Logging_1781/klagomålsmail/A 60714-2025 FSC-klagomål mail.docx", "A 60714-2025")</f>
        <v/>
      </c>
      <c r="AC30">
        <f>HYPERLINK("https://klasma.github.io/Logging_1781/tillsyn/A 60714-2025 tillsynsbegäran.docx", "A 60714-2025")</f>
        <v/>
      </c>
      <c r="AD30">
        <f>HYPERLINK("https://klasma.github.io/Logging_1781/tillsynsmail/A 60714-2025 tillsynsbegäran mail.docx", "A 60714-2025")</f>
        <v/>
      </c>
    </row>
    <row r="31" ht="15" customHeight="1">
      <c r="A31" t="inlineStr">
        <is>
          <t>A 14762-2026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46101</v>
      </c>
      <c r="E31" s="1" t="n">
        <v>46315</v>
      </c>
      <c r="F31" t="inlineStr">
        <is>
          <t>VÄRMLANDS LÄN</t>
        </is>
      </c>
      <c r="G31" t="inlineStr">
        <is>
          <t>KRISTINEHAMN</t>
        </is>
      </c>
      <c r="H31" t="inlineStr">
        <is>
          <t>Sveaskog</t>
        </is>
      </c>
      <c r="I31" t="n">
        <v>3.2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Fläcknycklar</t>
        </is>
      </c>
      <c r="W31">
        <f>HYPERLINK("https://klasma.github.io/Logging_1781/artfynd/A 14762-2026 artfynd.xlsx", "A 14762-2026")</f>
        <v/>
      </c>
      <c r="X31">
        <f>HYPERLINK("https://klasma.github.io/Logging_1781/kartor/A 14762-2026 karta.png", "A 14762-2026")</f>
        <v/>
      </c>
      <c r="Y31">
        <f>HYPERLINK("https://klasma.github.io/Logging_1781/kartor_geotiff/A 14762-2026 georefererad karta.tif", "A 14762-2026")</f>
        <v/>
      </c>
      <c r="AA31">
        <f>HYPERLINK("https://klasma.github.io/Logging_1781/klagomål/A 14762-2026 FSC-klagomål.docx", "A 14762-2026")</f>
        <v/>
      </c>
      <c r="AB31">
        <f>HYPERLINK("https://klasma.github.io/Logging_1781/klagomålsmail/A 14762-2026 FSC-klagomål mail.docx", "A 14762-2026")</f>
        <v/>
      </c>
      <c r="AC31">
        <f>HYPERLINK("https://klasma.github.io/Logging_1781/tillsyn/A 14762-2026 tillsynsbegäran.docx", "A 14762-2026")</f>
        <v/>
      </c>
      <c r="AD31">
        <f>HYPERLINK("https://klasma.github.io/Logging_1781/tillsynsmail/A 14762-2026 tillsynsbegäran mail.docx", "A 14762-2026")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46315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36792-2023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45154</v>
      </c>
      <c r="E33" s="1" t="n">
        <v>46315</v>
      </c>
      <c r="F33" t="inlineStr">
        <is>
          <t>VÄRMLANDS LÄN</t>
        </is>
      </c>
      <c r="G33" t="inlineStr">
        <is>
          <t>KRISTINEHAMN</t>
        </is>
      </c>
      <c r="I33" t="n">
        <v>4.2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HYPERLINK("https://klasma.github.io/Logging_1781/artfynd/A 36792-2023 artfynd.xlsx", "A 36792-2023")</f>
        <v/>
      </c>
      <c r="X33">
        <f>HYPERLINK("https://klasma.github.io/Logging_1781/kartor/A 36792-2023 karta.png", "A 36792-2023")</f>
        <v/>
      </c>
      <c r="Y33">
        <f>HYPERLINK("https://klasma.github.io/Logging_1781/kartor_geotiff/A 36792-2023 georefererad karta.tif", "A 36792-2023")</f>
        <v/>
      </c>
      <c r="AA33">
        <f>HYPERLINK("https://klasma.github.io/Logging_1781/klagomål/A 36792-2023 FSC-klagomål.docx", "A 36792-2023")</f>
        <v/>
      </c>
      <c r="AB33">
        <f>HYPERLINK("https://klasma.github.io/Logging_1781/klagomålsmail/A 36792-2023 FSC-klagomål mail.docx", "A 36792-2023")</f>
        <v/>
      </c>
      <c r="AC33">
        <f>HYPERLINK("https://klasma.github.io/Logging_1781/tillsyn/A 36792-2023 tillsynsbegäran.docx", "A 36792-2023")</f>
        <v/>
      </c>
      <c r="AD33">
        <f>HYPERLINK("https://klasma.github.io/Logging_1781/tillsynsmail/A 36792-2023 tillsynsbegäran mail.docx", "A 36792-2023")</f>
        <v/>
      </c>
    </row>
    <row r="34" ht="15" customHeight="1">
      <c r="A34" t="inlineStr">
        <is>
          <t>A 5494-2025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45693</v>
      </c>
      <c r="E34" s="1" t="n">
        <v>46315</v>
      </c>
      <c r="F34" t="inlineStr">
        <is>
          <t>VÄRMLANDS LÄN</t>
        </is>
      </c>
      <c r="G34" t="inlineStr">
        <is>
          <t>KRISTINEHAMN</t>
        </is>
      </c>
      <c r="I34" t="n">
        <v>8.699999999999999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HYPERLINK("https://klasma.github.io/Logging_1781/artfynd/A 5494-2025 artfynd.xlsx", "A 5494-2025")</f>
        <v/>
      </c>
      <c r="X34">
        <f>HYPERLINK("https://klasma.github.io/Logging_1781/kartor/A 5494-2025 karta.png", "A 5494-2025")</f>
        <v/>
      </c>
      <c r="Y34">
        <f>HYPERLINK("https://klasma.github.io/Logging_1781/kartor_geotiff/A 5494-2025 georefererad karta.tif", "A 5494-2025")</f>
        <v/>
      </c>
      <c r="AA34">
        <f>HYPERLINK("https://klasma.github.io/Logging_1781/klagomål/A 5494-2025 FSC-klagomål.docx", "A 5494-2025")</f>
        <v/>
      </c>
      <c r="AB34">
        <f>HYPERLINK("https://klasma.github.io/Logging_1781/klagomålsmail/A 5494-2025 FSC-klagomål mail.docx", "A 5494-2025")</f>
        <v/>
      </c>
      <c r="AC34">
        <f>HYPERLINK("https://klasma.github.io/Logging_1781/tillsyn/A 5494-2025 tillsynsbegäran.docx", "A 5494-2025")</f>
        <v/>
      </c>
      <c r="AD34">
        <f>HYPERLINK("https://klasma.github.io/Logging_1781/tillsynsmail/A 5494-2025 tillsynsbegäran mail.docx", "A 5494-2025")</f>
        <v/>
      </c>
    </row>
    <row r="35" ht="15" customHeight="1">
      <c r="A35" t="inlineStr">
        <is>
          <t>A 2406-2025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45674</v>
      </c>
      <c r="E35" s="1" t="n">
        <v>46315</v>
      </c>
      <c r="F35" t="inlineStr">
        <is>
          <t>VÄRMLANDS LÄN</t>
        </is>
      </c>
      <c r="G35" t="inlineStr">
        <is>
          <t>KRISTINEHAMN</t>
        </is>
      </c>
      <c r="I35" t="n">
        <v>9.699999999999999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HYPERLINK("https://klasma.github.io/Logging_1781/artfynd/A 2406-2025 artfynd.xlsx", "A 2406-2025")</f>
        <v/>
      </c>
      <c r="X35">
        <f>HYPERLINK("https://klasma.github.io/Logging_1781/kartor/A 2406-2025 karta.png", "A 2406-2025")</f>
        <v/>
      </c>
      <c r="Y35">
        <f>HYPERLINK("https://klasma.github.io/Logging_1781/kartor_geotiff/A 2406-2025 georefererad karta.tif", "A 2406-2025")</f>
        <v/>
      </c>
      <c r="AA35">
        <f>HYPERLINK("https://klasma.github.io/Logging_1781/klagomål/A 2406-2025 FSC-klagomål.docx", "A 2406-2025")</f>
        <v/>
      </c>
      <c r="AB35">
        <f>HYPERLINK("https://klasma.github.io/Logging_1781/klagomålsmail/A 2406-2025 FSC-klagomål mail.docx", "A 2406-2025")</f>
        <v/>
      </c>
      <c r="AC35">
        <f>HYPERLINK("https://klasma.github.io/Logging_1781/tillsyn/A 2406-2025 tillsynsbegäran.docx", "A 2406-2025")</f>
        <v/>
      </c>
      <c r="AD35">
        <f>HYPERLINK("https://klasma.github.io/Logging_1781/tillsynsmail/A 2406-2025 tillsynsbegäran mail.docx", "A 2406-2025")</f>
        <v/>
      </c>
    </row>
    <row r="36" ht="15" customHeight="1">
      <c r="A36" t="inlineStr">
        <is>
          <t>A 25888-2025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45804</v>
      </c>
      <c r="E36" s="1" t="n">
        <v>46315</v>
      </c>
      <c r="F36" t="inlineStr">
        <is>
          <t>VÄRMLANDS LÄN</t>
        </is>
      </c>
      <c r="G36" t="inlineStr">
        <is>
          <t>KRISTINEHAMN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Trana</t>
        </is>
      </c>
      <c r="W36">
        <f>HYPERLINK("https://klasma.github.io/Logging_1781/artfynd/A 25888-2025 artfynd.xlsx", "A 25888-2025")</f>
        <v/>
      </c>
      <c r="X36">
        <f>HYPERLINK("https://klasma.github.io/Logging_1781/kartor/A 25888-2025 karta.png", "A 25888-2025")</f>
        <v/>
      </c>
      <c r="Y36">
        <f>HYPERLINK("https://klasma.github.io/Logging_1781/kartor_geotiff/A 25888-2025 georefererad karta.tif", "A 25888-2025")</f>
        <v/>
      </c>
      <c r="AA36">
        <f>HYPERLINK("https://klasma.github.io/Logging_1781/klagomål/A 25888-2025 FSC-klagomål.docx", "A 25888-2025")</f>
        <v/>
      </c>
      <c r="AB36">
        <f>HYPERLINK("https://klasma.github.io/Logging_1781/klagomålsmail/A 25888-2025 FSC-klagomål mail.docx", "A 25888-2025")</f>
        <v/>
      </c>
      <c r="AC36">
        <f>HYPERLINK("https://klasma.github.io/Logging_1781/tillsyn/A 25888-2025 tillsynsbegäran.docx", "A 25888-2025")</f>
        <v/>
      </c>
      <c r="AD36">
        <f>HYPERLINK("https://klasma.github.io/Logging_1781/tillsynsmail/A 25888-2025 tillsynsbegäran mail.docx", "A 25888-2025")</f>
        <v/>
      </c>
      <c r="AE36">
        <f>HYPERLINK("https://klasma.github.io/Logging_1781/fåglar/A 25888-2025 prioriterade fågelarter.docx", "A 25888-2025")</f>
        <v/>
      </c>
    </row>
    <row r="37" ht="15" customHeight="1">
      <c r="A37" t="inlineStr">
        <is>
          <t>A 28394-2025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46315</v>
      </c>
      <c r="F37" t="inlineStr">
        <is>
          <t>VÄRMLANDS LÄN</t>
        </is>
      </c>
      <c r="G37" t="inlineStr">
        <is>
          <t>KRISTINEHAMN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vårtrattskivling</t>
        </is>
      </c>
      <c r="W37">
        <f>HYPERLINK("https://klasma.github.io/Logging_1781/artfynd/A 28394-2025 artfynd.xlsx", "A 28394-2025")</f>
        <v/>
      </c>
      <c r="X37">
        <f>HYPERLINK("https://klasma.github.io/Logging_1781/kartor/A 28394-2025 karta.png", "A 28394-2025")</f>
        <v/>
      </c>
      <c r="Y37">
        <f>HYPERLINK("https://klasma.github.io/Logging_1781/kartor_geotiff/A 28394-2025 georefererad karta.tif", "A 28394-2025")</f>
        <v/>
      </c>
      <c r="AA37">
        <f>HYPERLINK("https://klasma.github.io/Logging_1781/klagomål/A 28394-2025 FSC-klagomål.docx", "A 28394-2025")</f>
        <v/>
      </c>
      <c r="AB37">
        <f>HYPERLINK("https://klasma.github.io/Logging_1781/klagomålsmail/A 28394-2025 FSC-klagomål mail.docx", "A 28394-2025")</f>
        <v/>
      </c>
      <c r="AC37">
        <f>HYPERLINK("https://klasma.github.io/Logging_1781/tillsyn/A 28394-2025 tillsynsbegäran.docx", "A 28394-2025")</f>
        <v/>
      </c>
      <c r="AD37">
        <f>HYPERLINK("https://klasma.github.io/Logging_1781/tillsynsmail/A 28394-2025 tillsynsbegäran mail.docx", "A 28394-2025")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46315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46315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46315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4138-2023</t>
        </is>
      </c>
      <c r="B41" t="inlineStr">
        <is>
          <t>samrådsanmälan</t>
        </is>
      </c>
      <c r="C41" t="inlineStr">
        <is>
          <t>Skogsgödsling</t>
        </is>
      </c>
      <c r="D41" s="1" t="n">
        <v>45247</v>
      </c>
      <c r="E41" s="1" t="n">
        <v>46315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15.8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HYPERLINK("https://klasma.github.io/Logging_1781/artfynd/S 4138-2023 artfynd.xlsx", "S 4138-2023")</f>
        <v/>
      </c>
      <c r="X41">
        <f>HYPERLINK("https://klasma.github.io/Logging_1781/kartor/S 4138-2023 karta.png", "S 4138-2023")</f>
        <v/>
      </c>
      <c r="Y41">
        <f>HYPERLINK("https://klasma.github.io/Logging_1781/kartor_geotiff/S 4138-2023 georefererad karta.tif", "S 4138-2023")</f>
        <v/>
      </c>
      <c r="AA41">
        <f>HYPERLINK("https://klasma.github.io/Logging_1781/klagomål/S 4138-2023 FSC-klagomål.docx", "S 4138-2023")</f>
        <v/>
      </c>
      <c r="AB41">
        <f>HYPERLINK("https://klasma.github.io/Logging_1781/klagomålsmail/S 4138-2023 FSC-klagomål mail.docx", "S 4138-2023")</f>
        <v/>
      </c>
      <c r="AC41">
        <f>HYPERLINK("https://klasma.github.io/Logging_1781/tillsyn/S 4138-2023 tillsynsbegäran.docx", "S 4138-2023")</f>
        <v/>
      </c>
      <c r="AD41">
        <f>HYPERLINK("https://klasma.github.io/Logging_1781/tillsynsmail/S 4138-2023 tillsynsbegäran mail.docx", "S 4138-2023")</f>
        <v/>
      </c>
      <c r="AE41">
        <f>HYPERLINK("https://klasma.github.io/Logging_1781/fåglar/S 4138-2023 prioriterade fågelarter.docx", "S 4138-2023")</f>
        <v/>
      </c>
    </row>
    <row r="42" ht="15" customHeight="1">
      <c r="A42" t="inlineStr">
        <is>
          <t>S 665-2025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45716</v>
      </c>
      <c r="E42" s="1" t="n">
        <v>46315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50.8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Bollvitmossa</t>
        </is>
      </c>
      <c r="W42">
        <f>HYPERLINK("https://klasma.github.io/Logging_1781/artfynd/S 665-2025 artfynd.xlsx", "S 665-2025")</f>
        <v/>
      </c>
      <c r="X42">
        <f>HYPERLINK("https://klasma.github.io/Logging_1781/kartor/S 665-2025 karta.png", "S 665-2025")</f>
        <v/>
      </c>
      <c r="Y42">
        <f>HYPERLINK("https://klasma.github.io/Logging_1781/kartor_geotiff/S 665-2025 georefererad karta.tif", "S 665-2025")</f>
        <v/>
      </c>
      <c r="AA42">
        <f>HYPERLINK("https://klasma.github.io/Logging_1781/klagomål/S 665-2025 FSC-klagomål.docx", "S 665-2025")</f>
        <v/>
      </c>
      <c r="AB42">
        <f>HYPERLINK("https://klasma.github.io/Logging_1781/klagomålsmail/S 665-2025 FSC-klagomål mail.docx", "S 665-2025")</f>
        <v/>
      </c>
      <c r="AC42">
        <f>HYPERLINK("https://klasma.github.io/Logging_1781/tillsyn/S 665-2025 tillsynsbegäran.docx", "S 665-2025")</f>
        <v/>
      </c>
      <c r="AD42">
        <f>HYPERLINK("https://klasma.github.io/Logging_1781/tillsynsmail/S 665-2025 tillsynsbegäran mail.docx", "S 665-2025")</f>
        <v/>
      </c>
    </row>
    <row r="43" ht="15" customHeight="1">
      <c r="A43" t="inlineStr">
        <is>
          <t>S 1761-2025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45812</v>
      </c>
      <c r="E43" s="1" t="n">
        <v>46315</v>
      </c>
      <c r="F43" t="inlineStr">
        <is>
          <t>VÄRMLANDS LÄN</t>
        </is>
      </c>
      <c r="G43" t="inlineStr">
        <is>
          <t>KRISTINEHAMN</t>
        </is>
      </c>
      <c r="I43" t="n">
        <v>38.8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Dvärglin</t>
        </is>
      </c>
      <c r="W43">
        <f>HYPERLINK("https://klasma.github.io/Logging_1781/artfynd/S 1761-2025 artfynd.xlsx", "S 1761-2025")</f>
        <v/>
      </c>
      <c r="X43">
        <f>HYPERLINK("https://klasma.github.io/Logging_1781/kartor/S 1761-2025 karta.png", "S 1761-2025")</f>
        <v/>
      </c>
      <c r="Y43">
        <f>HYPERLINK("https://klasma.github.io/Logging_1781/kartor_geotiff/S 1761-2025 georefererad karta.tif", "S 1761-2025")</f>
        <v/>
      </c>
      <c r="AA43">
        <f>HYPERLINK("https://klasma.github.io/Logging_1781/klagomål/S 1761-2025 FSC-klagomål.docx", "S 1761-2025")</f>
        <v/>
      </c>
      <c r="AB43">
        <f>HYPERLINK("https://klasma.github.io/Logging_1781/klagomålsmail/S 1761-2025 FSC-klagomål mail.docx", "S 1761-2025")</f>
        <v/>
      </c>
      <c r="AC43">
        <f>HYPERLINK("https://klasma.github.io/Logging_1781/tillsyn/S 1761-2025 tillsynsbegäran.docx", "S 1761-2025")</f>
        <v/>
      </c>
      <c r="AD43">
        <f>HYPERLINK("https://klasma.github.io/Logging_1781/tillsynsmail/S 1761-2025 tillsynsbegäran mail.docx", "S 1761-2025")</f>
        <v/>
      </c>
    </row>
    <row r="44" ht="15" customHeight="1">
      <c r="A44" t="inlineStr">
        <is>
          <t>A 42411-2022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46315</v>
      </c>
      <c r="F44" t="inlineStr">
        <is>
          <t>VÄRMLANDS LÄN</t>
        </is>
      </c>
      <c r="G44" t="inlineStr">
        <is>
          <t>KRISTINEHAMN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44659</v>
      </c>
      <c r="E45" s="1" t="n">
        <v>46315</v>
      </c>
      <c r="F45" t="inlineStr">
        <is>
          <t>VÄRMLANDS LÄN</t>
        </is>
      </c>
      <c r="G45" t="inlineStr">
        <is>
          <t>KRISTINEHAMN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46315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46315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46315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46315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46315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46315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46315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46315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44576</v>
      </c>
      <c r="E54" s="1" t="n">
        <v>46315</v>
      </c>
      <c r="F54" t="inlineStr">
        <is>
          <t>VÄRMLANDS LÄN</t>
        </is>
      </c>
      <c r="G54" t="inlineStr">
        <is>
          <t>KRISTINEHAMN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46315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46315</v>
      </c>
      <c r="F56" t="inlineStr">
        <is>
          <t>VÄRMLANDS LÄN</t>
        </is>
      </c>
      <c r="G56" t="inlineStr">
        <is>
          <t>KRISTINEHAMN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46315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46315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46315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46315</v>
      </c>
      <c r="F60" t="inlineStr">
        <is>
          <t>VÄRMLANDS LÄN</t>
        </is>
      </c>
      <c r="G60" t="inlineStr">
        <is>
          <t>KRISTINEHAMN</t>
        </is>
      </c>
      <c r="I60" t="n">
        <v>12.1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15096-2022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44657</v>
      </c>
      <c r="E61" s="1" t="n">
        <v>46315</v>
      </c>
      <c r="F61" t="inlineStr">
        <is>
          <t>VÄRMLANDS LÄN</t>
        </is>
      </c>
      <c r="G61" t="inlineStr">
        <is>
          <t>KRISTINEHAMN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61036-2021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44497</v>
      </c>
      <c r="E62" s="1" t="n">
        <v>46315</v>
      </c>
      <c r="F62" t="inlineStr">
        <is>
          <t>VÄRMLANDS LÄN</t>
        </is>
      </c>
      <c r="G62" t="inlineStr">
        <is>
          <t>KRISTINEHAMN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66439-2021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46315</v>
      </c>
      <c r="F63" t="inlineStr">
        <is>
          <t>VÄRMLANDS LÄN</t>
        </is>
      </c>
      <c r="G63" t="inlineStr">
        <is>
          <t>KRISTINEHAMN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46315</v>
      </c>
      <c r="F64" t="inlineStr">
        <is>
          <t>VÄRMLANDS LÄN</t>
        </is>
      </c>
      <c r="G64" t="inlineStr">
        <is>
          <t>KRISTINEHAMN</t>
        </is>
      </c>
      <c r="I64" t="n">
        <v>13.9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44501</v>
      </c>
      <c r="E65" s="1" t="n">
        <v>46315</v>
      </c>
      <c r="F65" t="inlineStr">
        <is>
          <t>VÄRMLANDS LÄN</t>
        </is>
      </c>
      <c r="G65" t="inlineStr">
        <is>
          <t>KRISTINEHAMN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46315</v>
      </c>
      <c r="F66" t="inlineStr">
        <is>
          <t>VÄRMLANDS LÄN</t>
        </is>
      </c>
      <c r="G66" t="inlineStr">
        <is>
          <t>KRISTINEHAMN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44707</v>
      </c>
      <c r="E67" s="1" t="n">
        <v>46315</v>
      </c>
      <c r="F67" t="inlineStr">
        <is>
          <t>VÄRMLANDS LÄN</t>
        </is>
      </c>
      <c r="G67" t="inlineStr">
        <is>
          <t>KRISTINEHAMN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44662</v>
      </c>
      <c r="E68" s="1" t="n">
        <v>46315</v>
      </c>
      <c r="F68" t="inlineStr">
        <is>
          <t>VÄRMLANDS LÄN</t>
        </is>
      </c>
      <c r="G68" t="inlineStr">
        <is>
          <t>KRISTINEHAMN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44742</v>
      </c>
      <c r="E69" s="1" t="n">
        <v>46315</v>
      </c>
      <c r="F69" t="inlineStr">
        <is>
          <t>VÄRMLANDS LÄN</t>
        </is>
      </c>
      <c r="G69" t="inlineStr">
        <is>
          <t>KRISTINEHAMN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46315</v>
      </c>
      <c r="F70" t="inlineStr">
        <is>
          <t>VÄRMLANDS LÄN</t>
        </is>
      </c>
      <c r="G70" t="inlineStr">
        <is>
          <t>KRISTINEHAMN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46315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46315</v>
      </c>
      <c r="F72" t="inlineStr">
        <is>
          <t>VÄRMLANDS LÄN</t>
        </is>
      </c>
      <c r="G72" t="inlineStr">
        <is>
          <t>KRISTINEHAMN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46315</v>
      </c>
      <c r="F73" t="inlineStr">
        <is>
          <t>VÄRMLANDS LÄN</t>
        </is>
      </c>
      <c r="G73" t="inlineStr">
        <is>
          <t>KRISTINEHAMN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47921-2022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46315</v>
      </c>
      <c r="F74" t="inlineStr">
        <is>
          <t>VÄRMLANDS LÄN</t>
        </is>
      </c>
      <c r="G74" t="inlineStr">
        <is>
          <t>KRISTINEHAMN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46315</v>
      </c>
      <c r="F75" t="inlineStr">
        <is>
          <t>VÄRMLANDS LÄN</t>
        </is>
      </c>
      <c r="G75" t="inlineStr">
        <is>
          <t>KRISTINEHAMN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44591</v>
      </c>
      <c r="E76" s="1" t="n">
        <v>46315</v>
      </c>
      <c r="F76" t="inlineStr">
        <is>
          <t>VÄRMLANDS LÄN</t>
        </is>
      </c>
      <c r="G76" t="inlineStr">
        <is>
          <t>KRISTINEHAMN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66438-2021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46315</v>
      </c>
      <c r="F77" t="inlineStr">
        <is>
          <t>VÄRMLANDS LÄN</t>
        </is>
      </c>
      <c r="G77" t="inlineStr">
        <is>
          <t>KRISTINEHAMN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46315</v>
      </c>
      <c r="F78" t="inlineStr">
        <is>
          <t>VÄRMLANDS LÄN</t>
        </is>
      </c>
      <c r="G78" t="inlineStr">
        <is>
          <t>KRISTINEHAMN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46315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44741</v>
      </c>
      <c r="E80" s="1" t="n">
        <v>46315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44584</v>
      </c>
      <c r="E81" s="1" t="n">
        <v>46315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44825</v>
      </c>
      <c r="E82" s="1" t="n">
        <v>46315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44707</v>
      </c>
      <c r="E83" s="1" t="n">
        <v>46315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46315</v>
      </c>
      <c r="F84" t="inlineStr">
        <is>
          <t>VÄRMLANDS LÄN</t>
        </is>
      </c>
      <c r="G84" t="inlineStr">
        <is>
          <t>KRISTINEHAMN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45625</v>
      </c>
      <c r="E85" s="1" t="n">
        <v>46315</v>
      </c>
      <c r="F85" t="inlineStr">
        <is>
          <t>VÄRMLANDS LÄN</t>
        </is>
      </c>
      <c r="G85" t="inlineStr">
        <is>
          <t>KRISTINEHAMN</t>
        </is>
      </c>
      <c r="I85" t="n">
        <v>8.800000000000001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50103-2023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45208</v>
      </c>
      <c r="E86" s="1" t="n">
        <v>46315</v>
      </c>
      <c r="F86" t="inlineStr">
        <is>
          <t>VÄRMLANDS LÄN</t>
        </is>
      </c>
      <c r="G86" t="inlineStr">
        <is>
          <t>KRISTINEHAMN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45377</v>
      </c>
      <c r="E87" s="1" t="n">
        <v>46315</v>
      </c>
      <c r="F87" t="inlineStr">
        <is>
          <t>VÄRMLANDS LÄN</t>
        </is>
      </c>
      <c r="G87" t="inlineStr">
        <is>
          <t>KRISTINEHAMN</t>
        </is>
      </c>
      <c r="I87" t="n">
        <v>13.2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47368-2023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45202</v>
      </c>
      <c r="E88" s="1" t="n">
        <v>46315</v>
      </c>
      <c r="F88" t="inlineStr">
        <is>
          <t>VÄRMLANDS LÄN</t>
        </is>
      </c>
      <c r="G88" t="inlineStr">
        <is>
          <t>KRISTINEHAMN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27525-2022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44742</v>
      </c>
      <c r="E89" s="1" t="n">
        <v>46315</v>
      </c>
      <c r="F89" t="inlineStr">
        <is>
          <t>VÄRMLANDS LÄN</t>
        </is>
      </c>
      <c r="G89" t="inlineStr">
        <is>
          <t>KRISTINEHAMN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45202</v>
      </c>
      <c r="E90" s="1" t="n">
        <v>46315</v>
      </c>
      <c r="F90" t="inlineStr">
        <is>
          <t>VÄRMLANDS LÄN</t>
        </is>
      </c>
      <c r="G90" t="inlineStr">
        <is>
          <t>KRISTINEHAMN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31152-2022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44770</v>
      </c>
      <c r="E91" s="1" t="n">
        <v>46315</v>
      </c>
      <c r="F91" t="inlineStr">
        <is>
          <t>VÄRMLANDS LÄN</t>
        </is>
      </c>
      <c r="G91" t="inlineStr">
        <is>
          <t>KRISTINEHAMN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46315</v>
      </c>
      <c r="F92" t="inlineStr">
        <is>
          <t>VÄRMLANDS LÄN</t>
        </is>
      </c>
      <c r="G92" t="inlineStr">
        <is>
          <t>KRISTINEHAMN</t>
        </is>
      </c>
      <c r="H92" t="inlineStr">
        <is>
          <t>Naturvårdsverket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45095</v>
      </c>
      <c r="E93" s="1" t="n">
        <v>46315</v>
      </c>
      <c r="F93" t="inlineStr">
        <is>
          <t>VÄRMLANDS LÄN</t>
        </is>
      </c>
      <c r="G93" t="inlineStr">
        <is>
          <t>KRISTINEHAMN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19447-2024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46315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65050-2023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46315</v>
      </c>
      <c r="F95" t="inlineStr">
        <is>
          <t>VÄRMLANDS LÄN</t>
        </is>
      </c>
      <c r="G95" t="inlineStr">
        <is>
          <t>KRISTINEHAMN</t>
        </is>
      </c>
      <c r="I95" t="n">
        <v>9.6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22637-2024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45447</v>
      </c>
      <c r="E96" s="1" t="n">
        <v>46315</v>
      </c>
      <c r="F96" t="inlineStr">
        <is>
          <t>VÄRMLANDS LÄN</t>
        </is>
      </c>
      <c r="G96" t="inlineStr">
        <is>
          <t>KRISTINEHAMN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54690-2022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44883</v>
      </c>
      <c r="E97" s="1" t="n">
        <v>46315</v>
      </c>
      <c r="F97" t="inlineStr">
        <is>
          <t>VÄRMLANDS LÄN</t>
        </is>
      </c>
      <c r="G97" t="inlineStr">
        <is>
          <t>KRISTINEHAMN</t>
        </is>
      </c>
      <c r="I97" t="n">
        <v>11.1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45268</v>
      </c>
      <c r="E98" s="1" t="n">
        <v>46315</v>
      </c>
      <c r="F98" t="inlineStr">
        <is>
          <t>VÄRMLANDS LÄN</t>
        </is>
      </c>
      <c r="G98" t="inlineStr">
        <is>
          <t>KRISTINEHAMN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45243</v>
      </c>
      <c r="E99" s="1" t="n">
        <v>46315</v>
      </c>
      <c r="F99" t="inlineStr">
        <is>
          <t>VÄRMLANDS LÄN</t>
        </is>
      </c>
      <c r="G99" t="inlineStr">
        <is>
          <t>KRISTINEHAMN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46315</v>
      </c>
      <c r="F100" t="inlineStr">
        <is>
          <t>VÄRMLANDS LÄN</t>
        </is>
      </c>
      <c r="G100" t="inlineStr">
        <is>
          <t>KRISTINEHAMN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44941</v>
      </c>
      <c r="E101" s="1" t="n">
        <v>46315</v>
      </c>
      <c r="F101" t="inlineStr">
        <is>
          <t>VÄRMLANDS LÄN</t>
        </is>
      </c>
      <c r="G101" t="inlineStr">
        <is>
          <t>KRISTINEHAMN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32624-2024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46315</v>
      </c>
      <c r="F102" t="inlineStr">
        <is>
          <t>VÄRMLANDS LÄN</t>
        </is>
      </c>
      <c r="G102" t="inlineStr">
        <is>
          <t>KRISTINEHAMN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47915-2022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46315</v>
      </c>
      <c r="F103" t="inlineStr">
        <is>
          <t>VÄRMLANDS LÄN</t>
        </is>
      </c>
      <c r="G103" t="inlineStr">
        <is>
          <t>KRISTINEHAMN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14340-2024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46315</v>
      </c>
      <c r="F104" t="inlineStr">
        <is>
          <t>VÄRMLANDS LÄN</t>
        </is>
      </c>
      <c r="G104" t="inlineStr">
        <is>
          <t>KRISTINEHAMN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56697-2022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44888</v>
      </c>
      <c r="E105" s="1" t="n">
        <v>46315</v>
      </c>
      <c r="F105" t="inlineStr">
        <is>
          <t>VÄRMLANDS LÄN</t>
        </is>
      </c>
      <c r="G105" t="inlineStr">
        <is>
          <t>KRISTINEHAMN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62498-2022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44917</v>
      </c>
      <c r="E106" s="1" t="n">
        <v>46315</v>
      </c>
      <c r="F106" t="inlineStr">
        <is>
          <t>VÄRMLANDS LÄN</t>
        </is>
      </c>
      <c r="G106" t="inlineStr">
        <is>
          <t>KRISTINEHAMN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44918</v>
      </c>
      <c r="E107" s="1" t="n">
        <v>46315</v>
      </c>
      <c r="F107" t="inlineStr">
        <is>
          <t>VÄRMLANDS LÄN</t>
        </is>
      </c>
      <c r="G107" t="inlineStr">
        <is>
          <t>KRISTINEHAMN</t>
        </is>
      </c>
      <c r="H107" t="inlineStr">
        <is>
          <t>Kommuner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14772-2022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44656</v>
      </c>
      <c r="E108" s="1" t="n">
        <v>46315</v>
      </c>
      <c r="F108" t="inlineStr">
        <is>
          <t>VÄRMLANDS LÄN</t>
        </is>
      </c>
      <c r="G108" t="inlineStr">
        <is>
          <t>KRISTINEHAMN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45593</v>
      </c>
      <c r="E109" s="1" t="n">
        <v>46315</v>
      </c>
      <c r="F109" t="inlineStr">
        <is>
          <t>VÄRMLANDS LÄN</t>
        </is>
      </c>
      <c r="G109" t="inlineStr">
        <is>
          <t>KRISTINEHAMN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32569-2023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45121</v>
      </c>
      <c r="E110" s="1" t="n">
        <v>46315</v>
      </c>
      <c r="F110" t="inlineStr">
        <is>
          <t>VÄRMLANDS LÄN</t>
        </is>
      </c>
      <c r="G110" t="inlineStr">
        <is>
          <t>KRISTINEHAMN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45644</v>
      </c>
      <c r="E111" s="1" t="n">
        <v>46315</v>
      </c>
      <c r="F111" t="inlineStr">
        <is>
          <t>VÄRMLANDS LÄN</t>
        </is>
      </c>
      <c r="G111" t="inlineStr">
        <is>
          <t>KRISTINEHAMN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10548-2024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45366</v>
      </c>
      <c r="E112" s="1" t="n">
        <v>46315</v>
      </c>
      <c r="F112" t="inlineStr">
        <is>
          <t>VÄRMLANDS LÄN</t>
        </is>
      </c>
      <c r="G112" t="inlineStr">
        <is>
          <t>KRISTINEHAMN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59144-2021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44490</v>
      </c>
      <c r="E113" s="1" t="n">
        <v>46315</v>
      </c>
      <c r="F113" t="inlineStr">
        <is>
          <t>VÄRMLANDS LÄN</t>
        </is>
      </c>
      <c r="G113" t="inlineStr">
        <is>
          <t>KRISTINEHAMN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46315</v>
      </c>
      <c r="F114" t="inlineStr">
        <is>
          <t>VÄRMLANDS LÄN</t>
        </is>
      </c>
      <c r="G114" t="inlineStr">
        <is>
          <t>KRISTINEHAMN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9394-2024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45359</v>
      </c>
      <c r="E115" s="1" t="n">
        <v>46315</v>
      </c>
      <c r="F115" t="inlineStr">
        <is>
          <t>VÄRMLANDS LÄN</t>
        </is>
      </c>
      <c r="G115" t="inlineStr">
        <is>
          <t>KRISTINEHAMN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17110-2022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44677</v>
      </c>
      <c r="E116" s="1" t="n">
        <v>46315</v>
      </c>
      <c r="F116" t="inlineStr">
        <is>
          <t>VÄRMLANDS LÄN</t>
        </is>
      </c>
      <c r="G116" t="inlineStr">
        <is>
          <t>KRISTINEHAMN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46315</v>
      </c>
      <c r="F117" t="inlineStr">
        <is>
          <t>VÄRMLANDS LÄN</t>
        </is>
      </c>
      <c r="G117" t="inlineStr">
        <is>
          <t>KRISTINEHAMN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45370</v>
      </c>
      <c r="E118" s="1" t="n">
        <v>46315</v>
      </c>
      <c r="F118" t="inlineStr">
        <is>
          <t>VÄRMLANDS LÄN</t>
        </is>
      </c>
      <c r="G118" t="inlineStr">
        <is>
          <t>KRISTINEHAMN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12467-2024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45379</v>
      </c>
      <c r="E119" s="1" t="n">
        <v>46315</v>
      </c>
      <c r="F119" t="inlineStr">
        <is>
          <t>VÄRMLANDS LÄN</t>
        </is>
      </c>
      <c r="G119" t="inlineStr">
        <is>
          <t>KRISTINEHAMN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46315</v>
      </c>
      <c r="F120" t="inlineStr">
        <is>
          <t>VÄRMLANDS LÄN</t>
        </is>
      </c>
      <c r="G120" t="inlineStr">
        <is>
          <t>KRISTINEHAMN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44637</v>
      </c>
      <c r="E121" s="1" t="n">
        <v>46315</v>
      </c>
      <c r="F121" t="inlineStr">
        <is>
          <t>VÄRMLANDS LÄN</t>
        </is>
      </c>
      <c r="G121" t="inlineStr">
        <is>
          <t>KRISTINEHAMN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45625</v>
      </c>
      <c r="E122" s="1" t="n">
        <v>46315</v>
      </c>
      <c r="F122" t="inlineStr">
        <is>
          <t>VÄRMLANDS LÄN</t>
        </is>
      </c>
      <c r="G122" t="inlineStr">
        <is>
          <t>KRISTINEHAMN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23332-2024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45453</v>
      </c>
      <c r="E123" s="1" t="n">
        <v>46315</v>
      </c>
      <c r="F123" t="inlineStr">
        <is>
          <t>VÄRMLANDS LÄN</t>
        </is>
      </c>
      <c r="G123" t="inlineStr">
        <is>
          <t>KRISTINEHAMN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45041</v>
      </c>
      <c r="E124" s="1" t="n">
        <v>46315</v>
      </c>
      <c r="F124" t="inlineStr">
        <is>
          <t>VÄRMLANDS LÄN</t>
        </is>
      </c>
      <c r="G124" t="inlineStr">
        <is>
          <t>KRISTINEHAMN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45361</v>
      </c>
      <c r="E125" s="1" t="n">
        <v>46315</v>
      </c>
      <c r="F125" t="inlineStr">
        <is>
          <t>VÄRMLANDS LÄN</t>
        </is>
      </c>
      <c r="G125" t="inlineStr">
        <is>
          <t>KRISTINEHAMN</t>
        </is>
      </c>
      <c r="I125" t="n">
        <v>8.9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29526-2022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46315</v>
      </c>
      <c r="F126" t="inlineStr">
        <is>
          <t>VÄRMLANDS LÄN</t>
        </is>
      </c>
      <c r="G126" t="inlineStr">
        <is>
          <t>KRISTINEHAMN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62623-2023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45267</v>
      </c>
      <c r="E127" s="1" t="n">
        <v>46315</v>
      </c>
      <c r="F127" t="inlineStr">
        <is>
          <t>VÄRMLANDS LÄN</t>
        </is>
      </c>
      <c r="G127" t="inlineStr">
        <is>
          <t>KRISTINEHAMN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50174-2024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45600</v>
      </c>
      <c r="E128" s="1" t="n">
        <v>46315</v>
      </c>
      <c r="F128" t="inlineStr">
        <is>
          <t>VÄRMLANDS LÄN</t>
        </is>
      </c>
      <c r="G128" t="inlineStr">
        <is>
          <t>KRISTINEHAMN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45118</v>
      </c>
      <c r="E129" s="1" t="n">
        <v>46315</v>
      </c>
      <c r="F129" t="inlineStr">
        <is>
          <t>VÄRMLANDS LÄN</t>
        </is>
      </c>
      <c r="G129" t="inlineStr">
        <is>
          <t>KRISTINEHAMN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55890-2023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45239</v>
      </c>
      <c r="E130" s="1" t="n">
        <v>46315</v>
      </c>
      <c r="F130" t="inlineStr">
        <is>
          <t>VÄRMLANDS LÄN</t>
        </is>
      </c>
      <c r="G130" t="inlineStr">
        <is>
          <t>KRISTINEHAMN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23705-2022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46315</v>
      </c>
      <c r="F131" t="inlineStr">
        <is>
          <t>VÄRMLANDS LÄN</t>
        </is>
      </c>
      <c r="G131" t="inlineStr">
        <is>
          <t>KRISTINEHAMN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23707-2022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46315</v>
      </c>
      <c r="F132" t="inlineStr">
        <is>
          <t>VÄRMLANDS LÄN</t>
        </is>
      </c>
      <c r="G132" t="inlineStr">
        <is>
          <t>KRISTINEHAMN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46315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Kommuner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22201-2022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44712</v>
      </c>
      <c r="E134" s="1" t="n">
        <v>46315</v>
      </c>
      <c r="F134" t="inlineStr">
        <is>
          <t>VÄRMLANDS LÄN</t>
        </is>
      </c>
      <c r="G134" t="inlineStr">
        <is>
          <t>KRISTINEHAMN</t>
        </is>
      </c>
      <c r="I134" t="n">
        <v>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61034-2021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44497</v>
      </c>
      <c r="E135" s="1" t="n">
        <v>46315</v>
      </c>
      <c r="F135" t="inlineStr">
        <is>
          <t>VÄRMLANDS LÄN</t>
        </is>
      </c>
      <c r="G135" t="inlineStr">
        <is>
          <t>KRISTINEHAMN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46315</v>
      </c>
      <c r="F136" t="inlineStr">
        <is>
          <t>VÄRMLANDS LÄN</t>
        </is>
      </c>
      <c r="G136" t="inlineStr">
        <is>
          <t>KRISTINEHAMN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46315</v>
      </c>
      <c r="F137" t="inlineStr">
        <is>
          <t>VÄRMLANDS LÄN</t>
        </is>
      </c>
      <c r="G137" t="inlineStr">
        <is>
          <t>KRISTINEHAMN</t>
        </is>
      </c>
      <c r="H137" t="inlineStr">
        <is>
          <t>Bergvik skog väst AB</t>
        </is>
      </c>
      <c r="I137" t="n">
        <v>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20168-2026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46139</v>
      </c>
      <c r="E138" s="1" t="n">
        <v>46315</v>
      </c>
      <c r="F138" t="inlineStr">
        <is>
          <t>VÄRMLANDS LÄN</t>
        </is>
      </c>
      <c r="G138" t="inlineStr">
        <is>
          <t>KRISTINEHAMN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45662</v>
      </c>
      <c r="E139" s="1" t="n">
        <v>46315</v>
      </c>
      <c r="F139" t="inlineStr">
        <is>
          <t>VÄRMLANDS LÄN</t>
        </is>
      </c>
      <c r="G139" t="inlineStr">
        <is>
          <t>KRISTINEHAMN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44924</v>
      </c>
      <c r="E140" s="1" t="n">
        <v>46315</v>
      </c>
      <c r="F140" t="inlineStr">
        <is>
          <t>VÄRMLANDS LÄN</t>
        </is>
      </c>
      <c r="G140" t="inlineStr">
        <is>
          <t>KRISTINEHAMN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32161-2023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46315</v>
      </c>
      <c r="F141" t="inlineStr">
        <is>
          <t>VÄRMLANDS LÄN</t>
        </is>
      </c>
      <c r="G141" t="inlineStr">
        <is>
          <t>KRISTINEHAMN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45933</v>
      </c>
      <c r="E142" s="1" t="n">
        <v>46315</v>
      </c>
      <c r="F142" t="inlineStr">
        <is>
          <t>VÄRMLANDS LÄN</t>
        </is>
      </c>
      <c r="G142" t="inlineStr">
        <is>
          <t>KRISTINEHAMN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45141</v>
      </c>
      <c r="E143" s="1" t="n">
        <v>46315</v>
      </c>
      <c r="F143" t="inlineStr">
        <is>
          <t>VÄRMLANDS LÄN</t>
        </is>
      </c>
      <c r="G143" t="inlineStr">
        <is>
          <t>KRISTINEHAMN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45749</v>
      </c>
      <c r="E144" s="1" t="n">
        <v>46315</v>
      </c>
      <c r="F144" t="inlineStr">
        <is>
          <t>VÄRMLANDS LÄN</t>
        </is>
      </c>
      <c r="G144" t="inlineStr">
        <is>
          <t>KRISTINEHAMN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28485-2024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45477</v>
      </c>
      <c r="E145" s="1" t="n">
        <v>46315</v>
      </c>
      <c r="F145" t="inlineStr">
        <is>
          <t>VÄRMLANDS LÄN</t>
        </is>
      </c>
      <c r="G145" t="inlineStr">
        <is>
          <t>KRISTINEHAMN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45202</v>
      </c>
      <c r="E146" s="1" t="n">
        <v>46315</v>
      </c>
      <c r="F146" t="inlineStr">
        <is>
          <t>VÄRMLANDS LÄN</t>
        </is>
      </c>
      <c r="G146" t="inlineStr">
        <is>
          <t>KRISTINEHAMN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45701</v>
      </c>
      <c r="E147" s="1" t="n">
        <v>46315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Naturvårdsverket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26028-2025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45804</v>
      </c>
      <c r="E148" s="1" t="n">
        <v>46315</v>
      </c>
      <c r="F148" t="inlineStr">
        <is>
          <t>VÄRMLANDS LÄN</t>
        </is>
      </c>
      <c r="G148" t="inlineStr">
        <is>
          <t>KRISTINEHAMN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45666</v>
      </c>
      <c r="E149" s="1" t="n">
        <v>46315</v>
      </c>
      <c r="F149" t="inlineStr">
        <is>
          <t>VÄRMLANDS LÄN</t>
        </is>
      </c>
      <c r="G149" t="inlineStr">
        <is>
          <t>KRISTINEHAMN</t>
        </is>
      </c>
      <c r="I149" t="n">
        <v>9.300000000000001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46315</v>
      </c>
      <c r="F150" t="inlineStr">
        <is>
          <t>VÄRMLANDS LÄN</t>
        </is>
      </c>
      <c r="G150" t="inlineStr">
        <is>
          <t>KRISTINEHAMN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20570-2026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46140</v>
      </c>
      <c r="E151" s="1" t="n">
        <v>46315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Sveaskog</t>
        </is>
      </c>
      <c r="I151" t="n">
        <v>14.2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46315</v>
      </c>
      <c r="F152" t="inlineStr">
        <is>
          <t>VÄRMLANDS LÄN</t>
        </is>
      </c>
      <c r="G152" t="inlineStr">
        <is>
          <t>KRISTINEHAMN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21688-2024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45442</v>
      </c>
      <c r="E153" s="1" t="n">
        <v>46315</v>
      </c>
      <c r="F153" t="inlineStr">
        <is>
          <t>VÄRMLANDS LÄN</t>
        </is>
      </c>
      <c r="G153" t="inlineStr">
        <is>
          <t>KRISTINEHAMN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45902</v>
      </c>
      <c r="E154" s="1" t="n">
        <v>46315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Sveaskog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17245-2025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45756</v>
      </c>
      <c r="E155" s="1" t="n">
        <v>46315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Sveaskog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45904</v>
      </c>
      <c r="E156" s="1" t="n">
        <v>46315</v>
      </c>
      <c r="F156" t="inlineStr">
        <is>
          <t>VÄRMLANDS LÄN</t>
        </is>
      </c>
      <c r="G156" t="inlineStr">
        <is>
          <t>KRISTINEHAMN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44987</v>
      </c>
      <c r="E157" s="1" t="n">
        <v>46315</v>
      </c>
      <c r="F157" t="inlineStr">
        <is>
          <t>VÄRMLANDS LÄN</t>
        </is>
      </c>
      <c r="G157" t="inlineStr">
        <is>
          <t>KRISTINEHAMN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46315</v>
      </c>
      <c r="F158" t="inlineStr">
        <is>
          <t>VÄRMLANDS LÄN</t>
        </is>
      </c>
      <c r="G158" t="inlineStr">
        <is>
          <t>KRISTINEHAMN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45647</v>
      </c>
      <c r="E159" s="1" t="n">
        <v>46315</v>
      </c>
      <c r="F159" t="inlineStr">
        <is>
          <t>VÄRMLANDS LÄN</t>
        </is>
      </c>
      <c r="G159" t="inlineStr">
        <is>
          <t>KRISTINEHAMN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60805-2025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45999</v>
      </c>
      <c r="E160" s="1" t="n">
        <v>46315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Naturvårdsverket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34230-2023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45127</v>
      </c>
      <c r="E161" s="1" t="n">
        <v>46315</v>
      </c>
      <c r="F161" t="inlineStr">
        <is>
          <t>VÄRMLANDS LÄN</t>
        </is>
      </c>
      <c r="G161" t="inlineStr">
        <is>
          <t>KRISTINEHAMN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13021-2023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45002</v>
      </c>
      <c r="E162" s="1" t="n">
        <v>46315</v>
      </c>
      <c r="F162" t="inlineStr">
        <is>
          <t>VÄRMLANDS LÄN</t>
        </is>
      </c>
      <c r="G162" t="inlineStr">
        <is>
          <t>KRISTINEHAMN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41857-2023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45176</v>
      </c>
      <c r="E163" s="1" t="n">
        <v>46315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Naturvårdsverket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45686</v>
      </c>
      <c r="E164" s="1" t="n">
        <v>46315</v>
      </c>
      <c r="F164" t="inlineStr">
        <is>
          <t>VÄRMLANDS LÄN</t>
        </is>
      </c>
      <c r="G164" t="inlineStr">
        <is>
          <t>KRISTINEHAMN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44894</v>
      </c>
      <c r="E165" s="1" t="n">
        <v>46315</v>
      </c>
      <c r="F165" t="inlineStr">
        <is>
          <t>VÄRMLANDS LÄN</t>
        </is>
      </c>
      <c r="G165" t="inlineStr">
        <is>
          <t>KRISTINEHAMN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20672-2026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46141</v>
      </c>
      <c r="E166" s="1" t="n">
        <v>46315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Naturvårdsverket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20654-2026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46141</v>
      </c>
      <c r="E167" s="1" t="n">
        <v>46315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Naturvårdsverket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70126-2021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44533</v>
      </c>
      <c r="E168" s="1" t="n">
        <v>46315</v>
      </c>
      <c r="F168" t="inlineStr">
        <is>
          <t>VÄRMLANDS LÄN</t>
        </is>
      </c>
      <c r="G168" t="inlineStr">
        <is>
          <t>KRISTINEHAMN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46315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Naturvårdsverket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44917</v>
      </c>
      <c r="E170" s="1" t="n">
        <v>46315</v>
      </c>
      <c r="F170" t="inlineStr">
        <is>
          <t>VÄRMLANDS LÄN</t>
        </is>
      </c>
      <c r="G170" t="inlineStr">
        <is>
          <t>KRISTINEHAMN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45260</v>
      </c>
      <c r="E171" s="1" t="n">
        <v>46315</v>
      </c>
      <c r="F171" t="inlineStr">
        <is>
          <t>VÄRMLANDS LÄN</t>
        </is>
      </c>
      <c r="G171" t="inlineStr">
        <is>
          <t>KRISTINEHAMN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45933</v>
      </c>
      <c r="E172" s="1" t="n">
        <v>46315</v>
      </c>
      <c r="F172" t="inlineStr">
        <is>
          <t>VÄRMLANDS LÄN</t>
        </is>
      </c>
      <c r="G172" t="inlineStr">
        <is>
          <t>KRISTINEHAMN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46315</v>
      </c>
      <c r="F173" t="inlineStr">
        <is>
          <t>VÄRMLANDS LÄN</t>
        </is>
      </c>
      <c r="G173" t="inlineStr">
        <is>
          <t>KRISTINEHAMN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30218-2025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45827</v>
      </c>
      <c r="E174" s="1" t="n">
        <v>46315</v>
      </c>
      <c r="F174" t="inlineStr">
        <is>
          <t>VÄRMLANDS LÄN</t>
        </is>
      </c>
      <c r="G174" t="inlineStr">
        <is>
          <t>KRISTINEHAMN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46315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46526-2022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44847</v>
      </c>
      <c r="E176" s="1" t="n">
        <v>46315</v>
      </c>
      <c r="F176" t="inlineStr">
        <is>
          <t>VÄRMLANDS LÄN</t>
        </is>
      </c>
      <c r="G176" t="inlineStr">
        <is>
          <t>KRISTINEHAMN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45226</v>
      </c>
      <c r="E177" s="1" t="n">
        <v>46315</v>
      </c>
      <c r="F177" t="inlineStr">
        <is>
          <t>VÄRMLANDS LÄN</t>
        </is>
      </c>
      <c r="G177" t="inlineStr">
        <is>
          <t>KRISTINEHAMN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45226</v>
      </c>
      <c r="E178" s="1" t="n">
        <v>46315</v>
      </c>
      <c r="F178" t="inlineStr">
        <is>
          <t>VÄRMLANDS LÄN</t>
        </is>
      </c>
      <c r="G178" t="inlineStr">
        <is>
          <t>KRISTINEHAMN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45076</v>
      </c>
      <c r="E179" s="1" t="n">
        <v>46315</v>
      </c>
      <c r="F179" t="inlineStr">
        <is>
          <t>VÄRMLANDS LÄN</t>
        </is>
      </c>
      <c r="G179" t="inlineStr">
        <is>
          <t>KRISTINEHAMN</t>
        </is>
      </c>
      <c r="I179" t="n">
        <v>15.9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68505-2021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44525</v>
      </c>
      <c r="E180" s="1" t="n">
        <v>46315</v>
      </c>
      <c r="F180" t="inlineStr">
        <is>
          <t>VÄRMLANDS LÄN</t>
        </is>
      </c>
      <c r="G180" t="inlineStr">
        <is>
          <t>KRISTINEHAMN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45366</v>
      </c>
      <c r="E181" s="1" t="n">
        <v>46315</v>
      </c>
      <c r="F181" t="inlineStr">
        <is>
          <t>VÄRMLANDS LÄN</t>
        </is>
      </c>
      <c r="G181" t="inlineStr">
        <is>
          <t>KRISTINEHAMN</t>
        </is>
      </c>
      <c r="I181" t="n">
        <v>19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50420-2025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45944</v>
      </c>
      <c r="E182" s="1" t="n">
        <v>46315</v>
      </c>
      <c r="F182" t="inlineStr">
        <is>
          <t>VÄRMLANDS LÄN</t>
        </is>
      </c>
      <c r="G182" t="inlineStr">
        <is>
          <t>KRISTINEHAMN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44923</v>
      </c>
      <c r="E183" s="1" t="n">
        <v>46315</v>
      </c>
      <c r="F183" t="inlineStr">
        <is>
          <t>VÄRMLANDS LÄN</t>
        </is>
      </c>
      <c r="G183" t="inlineStr">
        <is>
          <t>KRISTINEHAMN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62864-2023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45272</v>
      </c>
      <c r="E184" s="1" t="n">
        <v>46315</v>
      </c>
      <c r="F184" t="inlineStr">
        <is>
          <t>VÄRMLANDS LÄN</t>
        </is>
      </c>
      <c r="G184" t="inlineStr">
        <is>
          <t>KRISTINEHAMN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46315</v>
      </c>
      <c r="F185" t="inlineStr">
        <is>
          <t>VÄRMLANDS LÄN</t>
        </is>
      </c>
      <c r="G185" t="inlineStr">
        <is>
          <t>KRISTINEHAMN</t>
        </is>
      </c>
      <c r="I185" t="n">
        <v>8.4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25494-2023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45081</v>
      </c>
      <c r="E186" s="1" t="n">
        <v>46315</v>
      </c>
      <c r="F186" t="inlineStr">
        <is>
          <t>VÄRMLANDS LÄN</t>
        </is>
      </c>
      <c r="G186" t="inlineStr">
        <is>
          <t>KRISTINEHAMN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52088-2025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45952</v>
      </c>
      <c r="E187" s="1" t="n">
        <v>46315</v>
      </c>
      <c r="F187" t="inlineStr">
        <is>
          <t>VÄRMLANDS LÄN</t>
        </is>
      </c>
      <c r="G187" t="inlineStr">
        <is>
          <t>KRISTINEHAMN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21844-2026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46315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46315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45313</v>
      </c>
      <c r="E190" s="1" t="n">
        <v>46315</v>
      </c>
      <c r="F190" t="inlineStr">
        <is>
          <t>VÄRMLANDS LÄN</t>
        </is>
      </c>
      <c r="G190" t="inlineStr">
        <is>
          <t>KRISTINEHAMN</t>
        </is>
      </c>
      <c r="I190" t="n">
        <v>11.2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45679</v>
      </c>
      <c r="E191" s="1" t="n">
        <v>46315</v>
      </c>
      <c r="F191" t="inlineStr">
        <is>
          <t>VÄRMLANDS LÄN</t>
        </is>
      </c>
      <c r="G191" t="inlineStr">
        <is>
          <t>KRISTINEHAMN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22060-2026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46149</v>
      </c>
      <c r="E192" s="1" t="n">
        <v>46315</v>
      </c>
      <c r="F192" t="inlineStr">
        <is>
          <t>VÄRMLANDS LÄN</t>
        </is>
      </c>
      <c r="G192" t="inlineStr">
        <is>
          <t>KRISTINEHAMN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44994</v>
      </c>
      <c r="E193" s="1" t="n">
        <v>46315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46150</v>
      </c>
      <c r="E194" s="1" t="n">
        <v>46315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32404-2023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46315</v>
      </c>
      <c r="F195" t="inlineStr">
        <is>
          <t>VÄRMLANDS LÄN</t>
        </is>
      </c>
      <c r="G195" t="inlineStr">
        <is>
          <t>KRISTINEHAMN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45959</v>
      </c>
      <c r="E196" s="1" t="n">
        <v>46315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Naturvårdsverket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22255-2026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46315</v>
      </c>
      <c r="F197" t="inlineStr">
        <is>
          <t>VÄRMLANDS LÄN</t>
        </is>
      </c>
      <c r="G197" t="inlineStr">
        <is>
          <t>KRISTINEHAMN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53819-2025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45961</v>
      </c>
      <c r="E198" s="1" t="n">
        <v>46315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Naturvårdsverket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45961</v>
      </c>
      <c r="E199" s="1" t="n">
        <v>46315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Naturvårdsverket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15860-2023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45022</v>
      </c>
      <c r="E200" s="1" t="n">
        <v>46315</v>
      </c>
      <c r="F200" t="inlineStr">
        <is>
          <t>VÄRMLANDS LÄN</t>
        </is>
      </c>
      <c r="G200" t="inlineStr">
        <is>
          <t>KRISTINEHAMN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45341</v>
      </c>
      <c r="E201" s="1" t="n">
        <v>46315</v>
      </c>
      <c r="F201" t="inlineStr">
        <is>
          <t>VÄRMLANDS LÄN</t>
        </is>
      </c>
      <c r="G201" t="inlineStr">
        <is>
          <t>KRISTINEHAMN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45341</v>
      </c>
      <c r="E202" s="1" t="n">
        <v>46315</v>
      </c>
      <c r="F202" t="inlineStr">
        <is>
          <t>VÄRMLANDS LÄN</t>
        </is>
      </c>
      <c r="G202" t="inlineStr">
        <is>
          <t>KRISTINEHAMN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46315</v>
      </c>
      <c r="F203" t="inlineStr">
        <is>
          <t>VÄRMLANDS LÄN</t>
        </is>
      </c>
      <c r="G203" t="inlineStr">
        <is>
          <t>KRISTINEHAMN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45081</v>
      </c>
      <c r="E204" s="1" t="n">
        <v>46315</v>
      </c>
      <c r="F204" t="inlineStr">
        <is>
          <t>VÄRMLANDS LÄN</t>
        </is>
      </c>
      <c r="G204" t="inlineStr">
        <is>
          <t>KRISTINEHAMN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46315</v>
      </c>
      <c r="F205" t="inlineStr">
        <is>
          <t>VÄRMLANDS LÄN</t>
        </is>
      </c>
      <c r="G205" t="inlineStr">
        <is>
          <t>KRISTINEHAMN</t>
        </is>
      </c>
      <c r="I205" t="n">
        <v>19.4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45238</v>
      </c>
      <c r="E206" s="1" t="n">
        <v>46315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Kommuner</t>
        </is>
      </c>
      <c r="I206" t="n">
        <v>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45379</v>
      </c>
      <c r="E207" s="1" t="n">
        <v>46315</v>
      </c>
      <c r="F207" t="inlineStr">
        <is>
          <t>VÄRMLANDS LÄN</t>
        </is>
      </c>
      <c r="G207" t="inlineStr">
        <is>
          <t>KRISTINEHAMN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12423-2024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45379</v>
      </c>
      <c r="E208" s="1" t="n">
        <v>46315</v>
      </c>
      <c r="F208" t="inlineStr">
        <is>
          <t>VÄRMLANDS LÄN</t>
        </is>
      </c>
      <c r="G208" t="inlineStr">
        <is>
          <t>KRISTINEHAMN</t>
        </is>
      </c>
      <c r="I208" t="n">
        <v>12.6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44985</v>
      </c>
      <c r="E209" s="1" t="n">
        <v>46315</v>
      </c>
      <c r="F209" t="inlineStr">
        <is>
          <t>VÄRMLANDS LÄN</t>
        </is>
      </c>
      <c r="G209" t="inlineStr">
        <is>
          <t>KRISTINEHAMN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13459-2024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45387</v>
      </c>
      <c r="E210" s="1" t="n">
        <v>46315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Naturvårdsverket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56315-2025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45974</v>
      </c>
      <c r="E211" s="1" t="n">
        <v>46315</v>
      </c>
      <c r="F211" t="inlineStr">
        <is>
          <t>VÄRMLANDS LÄN</t>
        </is>
      </c>
      <c r="G211" t="inlineStr">
        <is>
          <t>KRISTINEHAMN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46161</v>
      </c>
      <c r="E212" s="1" t="n">
        <v>46315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45324</v>
      </c>
      <c r="E213" s="1" t="n">
        <v>46315</v>
      </c>
      <c r="F213" t="inlineStr">
        <is>
          <t>VÄRMLANDS LÄN</t>
        </is>
      </c>
      <c r="G213" t="inlineStr">
        <is>
          <t>KRISTINEHAMN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23294-2026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46162</v>
      </c>
      <c r="E214" s="1" t="n">
        <v>46315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Sveaskog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46315</v>
      </c>
      <c r="F215" t="inlineStr">
        <is>
          <t>VÄRMLANDS LÄN</t>
        </is>
      </c>
      <c r="G215" t="inlineStr">
        <is>
          <t>KRISTINEHAMN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47091-2022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44851</v>
      </c>
      <c r="E216" s="1" t="n">
        <v>46315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Kommuner</t>
        </is>
      </c>
      <c r="I216" t="n">
        <v>8.6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14014-2024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45392</v>
      </c>
      <c r="E217" s="1" t="n">
        <v>46315</v>
      </c>
      <c r="F217" t="inlineStr">
        <is>
          <t>VÄRMLANDS LÄN</t>
        </is>
      </c>
      <c r="G217" t="inlineStr">
        <is>
          <t>KRISTINEHAMN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45000</v>
      </c>
      <c r="E218" s="1" t="n">
        <v>46315</v>
      </c>
      <c r="F218" t="inlineStr">
        <is>
          <t>VÄRMLANDS LÄN</t>
        </is>
      </c>
      <c r="G218" t="inlineStr">
        <is>
          <t>KRISTINEHAMN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32409-2023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45110</v>
      </c>
      <c r="E219" s="1" t="n">
        <v>46315</v>
      </c>
      <c r="F219" t="inlineStr">
        <is>
          <t>VÄRMLANDS LÄN</t>
        </is>
      </c>
      <c r="G219" t="inlineStr">
        <is>
          <t>KRISTINEHAMN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24883-2024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45461</v>
      </c>
      <c r="E220" s="1" t="n">
        <v>46315</v>
      </c>
      <c r="F220" t="inlineStr">
        <is>
          <t>VÄRMLANDS LÄN</t>
        </is>
      </c>
      <c r="G220" t="inlineStr">
        <is>
          <t>KRISTINEHAMN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24118-2024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45456</v>
      </c>
      <c r="E221" s="1" t="n">
        <v>46315</v>
      </c>
      <c r="F221" t="inlineStr">
        <is>
          <t>VÄRMLANDS LÄN</t>
        </is>
      </c>
      <c r="G221" t="inlineStr">
        <is>
          <t>KRISTINEHAMN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45995</v>
      </c>
      <c r="E222" s="1" t="n">
        <v>46315</v>
      </c>
      <c r="F222" t="inlineStr">
        <is>
          <t>VÄRMLANDS LÄN</t>
        </is>
      </c>
      <c r="G222" t="inlineStr">
        <is>
          <t>KRISTINEHAMN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45995</v>
      </c>
      <c r="E223" s="1" t="n">
        <v>46315</v>
      </c>
      <c r="F223" t="inlineStr">
        <is>
          <t>VÄRMLANDS LÄN</t>
        </is>
      </c>
      <c r="G223" t="inlineStr">
        <is>
          <t>KRISTINEHAMN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46315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Bergvik skog väst AB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60791-2025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46315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46000</v>
      </c>
      <c r="E226" s="1" t="n">
        <v>46315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Naturvårdsverket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46315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Bergvik skog väst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60902-2025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46315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Bergvik skog väst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46315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Bergvik skog väst AB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46001</v>
      </c>
      <c r="E230" s="1" t="n">
        <v>46315</v>
      </c>
      <c r="F230" t="inlineStr">
        <is>
          <t>VÄRMLANDS LÄN</t>
        </is>
      </c>
      <c r="G230" t="inlineStr">
        <is>
          <t>KRISTINEHAMN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24146-2023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45079</v>
      </c>
      <c r="E231" s="1" t="n">
        <v>46315</v>
      </c>
      <c r="F231" t="inlineStr">
        <is>
          <t>VÄRMLANDS LÄN</t>
        </is>
      </c>
      <c r="G231" t="inlineStr">
        <is>
          <t>KRISTINEHAMN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45188</v>
      </c>
      <c r="E232" s="1" t="n">
        <v>46315</v>
      </c>
      <c r="F232" t="inlineStr">
        <is>
          <t>VÄRMLANDS LÄN</t>
        </is>
      </c>
      <c r="G232" t="inlineStr">
        <is>
          <t>KRISTINEHAMN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46003</v>
      </c>
      <c r="E233" s="1" t="n">
        <v>46315</v>
      </c>
      <c r="F233" t="inlineStr">
        <is>
          <t>VÄRMLANDS LÄN</t>
        </is>
      </c>
      <c r="G233" t="inlineStr">
        <is>
          <t>KRISTINEHAMN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21702-2024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45442</v>
      </c>
      <c r="E234" s="1" t="n">
        <v>46315</v>
      </c>
      <c r="F234" t="inlineStr">
        <is>
          <t>VÄRMLANDS LÄN</t>
        </is>
      </c>
      <c r="G234" t="inlineStr">
        <is>
          <t>KRISTINEHAMN</t>
        </is>
      </c>
      <c r="I234" t="n">
        <v>14.9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49245-2024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45595</v>
      </c>
      <c r="E235" s="1" t="n">
        <v>46315</v>
      </c>
      <c r="F235" t="inlineStr">
        <is>
          <t>VÄRMLANDS LÄN</t>
        </is>
      </c>
      <c r="G235" t="inlineStr">
        <is>
          <t>KRISTINEHAMN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46003</v>
      </c>
      <c r="E236" s="1" t="n">
        <v>46315</v>
      </c>
      <c r="F236" t="inlineStr">
        <is>
          <t>VÄRMLANDS LÄN</t>
        </is>
      </c>
      <c r="G236" t="inlineStr">
        <is>
          <t>KRISTINEHAMN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46315</v>
      </c>
      <c r="F237" t="inlineStr">
        <is>
          <t>VÄRMLANDS LÄN</t>
        </is>
      </c>
      <c r="G237" t="inlineStr">
        <is>
          <t>KRISTINEHAMN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55719-2024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45622</v>
      </c>
      <c r="E238" s="1" t="n">
        <v>46315</v>
      </c>
      <c r="F238" t="inlineStr">
        <is>
          <t>VÄRMLANDS LÄN</t>
        </is>
      </c>
      <c r="G238" t="inlineStr">
        <is>
          <t>KRISTINEHAMN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63016-2025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46315</v>
      </c>
      <c r="F239" t="inlineStr">
        <is>
          <t>VÄRMLANDS LÄN</t>
        </is>
      </c>
      <c r="G239" t="inlineStr">
        <is>
          <t>KRISTINEHAMN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44588</v>
      </c>
      <c r="E240" s="1" t="n">
        <v>46315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44588</v>
      </c>
      <c r="E241" s="1" t="n">
        <v>46315</v>
      </c>
      <c r="F241" t="inlineStr">
        <is>
          <t>VÄRMLANDS LÄN</t>
        </is>
      </c>
      <c r="G241" t="inlineStr">
        <is>
          <t>KRISTINEHAMN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46315</v>
      </c>
      <c r="F242" t="inlineStr">
        <is>
          <t>VÄRMLANDS LÄN</t>
        </is>
      </c>
      <c r="G242" t="inlineStr">
        <is>
          <t>KRISTINEHAMN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24570-2026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46170</v>
      </c>
      <c r="E243" s="1" t="n">
        <v>46315</v>
      </c>
      <c r="F243" t="inlineStr">
        <is>
          <t>VÄRMLANDS LÄN</t>
        </is>
      </c>
      <c r="G243" t="inlineStr">
        <is>
          <t>KRISTINEHAMN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50159-2024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45600</v>
      </c>
      <c r="E244" s="1" t="n">
        <v>46315</v>
      </c>
      <c r="F244" t="inlineStr">
        <is>
          <t>VÄRMLANDS LÄN</t>
        </is>
      </c>
      <c r="G244" t="inlineStr">
        <is>
          <t>KRISTINEHAMN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46315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Sveaskog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25570-2023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45082</v>
      </c>
      <c r="E246" s="1" t="n">
        <v>46315</v>
      </c>
      <c r="F246" t="inlineStr">
        <is>
          <t>VÄRMLANDS LÄN</t>
        </is>
      </c>
      <c r="G246" t="inlineStr">
        <is>
          <t>KRISTINEHAMN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62767-2023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45268</v>
      </c>
      <c r="E247" s="1" t="n">
        <v>46315</v>
      </c>
      <c r="F247" t="inlineStr">
        <is>
          <t>VÄRMLANDS LÄN</t>
        </is>
      </c>
      <c r="G247" t="inlineStr">
        <is>
          <t>KRISTINEHAMN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28834-2024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45478</v>
      </c>
      <c r="E248" s="1" t="n">
        <v>46315</v>
      </c>
      <c r="F248" t="inlineStr">
        <is>
          <t>VÄRMLANDS LÄN</t>
        </is>
      </c>
      <c r="G248" t="inlineStr">
        <is>
          <t>KRISTINEHAMN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25258-2026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46175</v>
      </c>
      <c r="E249" s="1" t="n">
        <v>46315</v>
      </c>
      <c r="F249" t="inlineStr">
        <is>
          <t>VÄRMLANDS LÄN</t>
        </is>
      </c>
      <c r="G249" t="inlineStr">
        <is>
          <t>KRISTINEHAMN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46034</v>
      </c>
      <c r="E250" s="1" t="n">
        <v>46315</v>
      </c>
      <c r="F250" t="inlineStr">
        <is>
          <t>VÄRMLANDS LÄN</t>
        </is>
      </c>
      <c r="G250" t="inlineStr">
        <is>
          <t>KRISTINEHAMN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23270-2024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45450</v>
      </c>
      <c r="E251" s="1" t="n">
        <v>46315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Kommuner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46034</v>
      </c>
      <c r="E252" s="1" t="n">
        <v>46315</v>
      </c>
      <c r="F252" t="inlineStr">
        <is>
          <t>VÄRMLANDS LÄN</t>
        </is>
      </c>
      <c r="G252" t="inlineStr">
        <is>
          <t>KRISTINEHAMN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46315</v>
      </c>
      <c r="F253" t="inlineStr">
        <is>
          <t>VÄRMLANDS LÄN</t>
        </is>
      </c>
      <c r="G253" t="inlineStr">
        <is>
          <t>KRISTINEHAMN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13505-2022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44648</v>
      </c>
      <c r="E254" s="1" t="n">
        <v>46315</v>
      </c>
      <c r="F254" t="inlineStr">
        <is>
          <t>VÄRMLANDS LÄN</t>
        </is>
      </c>
      <c r="G254" t="inlineStr">
        <is>
          <t>KRISTINEHAMN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47648-2023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45198</v>
      </c>
      <c r="E255" s="1" t="n">
        <v>46315</v>
      </c>
      <c r="F255" t="inlineStr">
        <is>
          <t>VÄRMLANDS LÄN</t>
        </is>
      </c>
      <c r="G255" t="inlineStr">
        <is>
          <t>KRISTINEHAMN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46038</v>
      </c>
      <c r="E256" s="1" t="n">
        <v>46315</v>
      </c>
      <c r="F256" t="inlineStr">
        <is>
          <t>VÄRMLANDS LÄN</t>
        </is>
      </c>
      <c r="G256" t="inlineStr">
        <is>
          <t>KRISTINEHAMN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46038</v>
      </c>
      <c r="E257" s="1" t="n">
        <v>46315</v>
      </c>
      <c r="F257" t="inlineStr">
        <is>
          <t>VÄRMLANDS LÄN</t>
        </is>
      </c>
      <c r="G257" t="inlineStr">
        <is>
          <t>KRISTINEHAMN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46038</v>
      </c>
      <c r="E258" s="1" t="n">
        <v>46315</v>
      </c>
      <c r="F258" t="inlineStr">
        <is>
          <t>VÄRMLANDS LÄN</t>
        </is>
      </c>
      <c r="G258" t="inlineStr">
        <is>
          <t>KRISTINEHAMN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46315</v>
      </c>
      <c r="F259" t="inlineStr">
        <is>
          <t>VÄRMLANDS LÄN</t>
        </is>
      </c>
      <c r="G259" t="inlineStr">
        <is>
          <t>KRISTINEHAMN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45044</v>
      </c>
      <c r="E260" s="1" t="n">
        <v>46315</v>
      </c>
      <c r="F260" t="inlineStr">
        <is>
          <t>VÄRMLANDS LÄN</t>
        </is>
      </c>
      <c r="G260" t="inlineStr">
        <is>
          <t>KRISTINEHAMN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46049</v>
      </c>
      <c r="E261" s="1" t="n">
        <v>46315</v>
      </c>
      <c r="F261" t="inlineStr">
        <is>
          <t>VÄRMLANDS LÄN</t>
        </is>
      </c>
      <c r="G261" t="inlineStr">
        <is>
          <t>KRISTINEHAMN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45313</v>
      </c>
      <c r="E262" s="1" t="n">
        <v>46315</v>
      </c>
      <c r="F262" t="inlineStr">
        <is>
          <t>VÄRMLANDS LÄN</t>
        </is>
      </c>
      <c r="G262" t="inlineStr">
        <is>
          <t>KRISTINEHAMN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6259-2026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46051</v>
      </c>
      <c r="E263" s="1" t="n">
        <v>46315</v>
      </c>
      <c r="F263" t="inlineStr">
        <is>
          <t>VÄRMLANDS LÄN</t>
        </is>
      </c>
      <c r="G263" t="inlineStr">
        <is>
          <t>KRISTINEHAMN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45456</v>
      </c>
      <c r="E264" s="1" t="n">
        <v>46315</v>
      </c>
      <c r="F264" t="inlineStr">
        <is>
          <t>VÄRMLANDS LÄN</t>
        </is>
      </c>
      <c r="G264" t="inlineStr">
        <is>
          <t>KRISTINEHAMN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44812</v>
      </c>
      <c r="E265" s="1" t="n">
        <v>46315</v>
      </c>
      <c r="F265" t="inlineStr">
        <is>
          <t>VÄRMLANDS LÄN</t>
        </is>
      </c>
      <c r="G265" t="inlineStr">
        <is>
          <t>KRISTINEHAMN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26042-2022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44734</v>
      </c>
      <c r="E266" s="1" t="n">
        <v>46315</v>
      </c>
      <c r="F266" t="inlineStr">
        <is>
          <t>VÄRMLANDS LÄN</t>
        </is>
      </c>
      <c r="G266" t="inlineStr">
        <is>
          <t>KRISTINEHAMN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44722</v>
      </c>
      <c r="E267" s="1" t="n">
        <v>46315</v>
      </c>
      <c r="F267" t="inlineStr">
        <is>
          <t>VÄRMLANDS LÄN</t>
        </is>
      </c>
      <c r="G267" t="inlineStr">
        <is>
          <t>KRISTINEHAMN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23706-2022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44722</v>
      </c>
      <c r="E268" s="1" t="n">
        <v>46315</v>
      </c>
      <c r="F268" t="inlineStr">
        <is>
          <t>VÄRMLANDS LÄN</t>
        </is>
      </c>
      <c r="G268" t="inlineStr">
        <is>
          <t>KRISTINEHAMN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2522-2026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46037</v>
      </c>
      <c r="E269" s="1" t="n">
        <v>46315</v>
      </c>
      <c r="F269" t="inlineStr">
        <is>
          <t>VÄRMLANDS LÄN</t>
        </is>
      </c>
      <c r="G269" t="inlineStr">
        <is>
          <t>KRISTINEHAMN</t>
        </is>
      </c>
      <c r="I269" t="n">
        <v>11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45666</v>
      </c>
      <c r="E270" s="1" t="n">
        <v>46315</v>
      </c>
      <c r="F270" t="inlineStr">
        <is>
          <t>VÄRMLANDS LÄN</t>
        </is>
      </c>
      <c r="G270" t="inlineStr">
        <is>
          <t>KRISTINEHAMN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45181</v>
      </c>
      <c r="E271" s="1" t="n">
        <v>46315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Sveaskog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45202</v>
      </c>
      <c r="E272" s="1" t="n">
        <v>46315</v>
      </c>
      <c r="F272" t="inlineStr">
        <is>
          <t>VÄRMLANDS LÄN</t>
        </is>
      </c>
      <c r="G272" t="inlineStr">
        <is>
          <t>KRISTINEHAMN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45769</v>
      </c>
      <c r="E273" s="1" t="n">
        <v>46315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Kyrkan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45243</v>
      </c>
      <c r="E274" s="1" t="n">
        <v>46315</v>
      </c>
      <c r="F274" t="inlineStr">
        <is>
          <t>VÄRMLANDS LÄN</t>
        </is>
      </c>
      <c r="G274" t="inlineStr">
        <is>
          <t>KRISTINEHAMN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28759-2022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44749</v>
      </c>
      <c r="E275" s="1" t="n">
        <v>46315</v>
      </c>
      <c r="F275" t="inlineStr">
        <is>
          <t>VÄRMLANDS LÄN</t>
        </is>
      </c>
      <c r="G275" t="inlineStr">
        <is>
          <t>KRISTINEHAMN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6936-2025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46315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Naturvårdsverket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58319-2024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45631</v>
      </c>
      <c r="E277" s="1" t="n">
        <v>46315</v>
      </c>
      <c r="F277" t="inlineStr">
        <is>
          <t>VÄRMLANDS LÄN</t>
        </is>
      </c>
      <c r="G277" t="inlineStr">
        <is>
          <t>KRISTINEHAMN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46083</v>
      </c>
      <c r="E278" s="1" t="n">
        <v>46315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Bergvik skog väst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46333-2023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45191</v>
      </c>
      <c r="E279" s="1" t="n">
        <v>46315</v>
      </c>
      <c r="F279" t="inlineStr">
        <is>
          <t>VÄRMLANDS LÄN</t>
        </is>
      </c>
      <c r="G279" t="inlineStr">
        <is>
          <t>KRISTINEHAMN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48405-2023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45201</v>
      </c>
      <c r="E280" s="1" t="n">
        <v>46315</v>
      </c>
      <c r="F280" t="inlineStr">
        <is>
          <t>VÄRMLANDS LÄN</t>
        </is>
      </c>
      <c r="G280" t="inlineStr">
        <is>
          <t>KRISTINEHAMN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12932-2026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46092</v>
      </c>
      <c r="E281" s="1" t="n">
        <v>46315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1265-2024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45302</v>
      </c>
      <c r="E282" s="1" t="n">
        <v>46315</v>
      </c>
      <c r="F282" t="inlineStr">
        <is>
          <t>VÄRMLANDS LÄN</t>
        </is>
      </c>
      <c r="G282" t="inlineStr">
        <is>
          <t>KRISTINEHAMN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46315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46315</v>
      </c>
      <c r="F284" t="inlineStr">
        <is>
          <t>VÄRMLANDS LÄN</t>
        </is>
      </c>
      <c r="G284" t="inlineStr">
        <is>
          <t>KRISTINEHAMN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46315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37742-2023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46315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13464-2026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46094</v>
      </c>
      <c r="E287" s="1" t="n">
        <v>46315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Sveaskog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13461-2026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46094</v>
      </c>
      <c r="E288" s="1" t="n">
        <v>46315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46315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Sveaskog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45315</v>
      </c>
      <c r="E290" s="1" t="n">
        <v>46315</v>
      </c>
      <c r="F290" t="inlineStr">
        <is>
          <t>VÄRMLANDS LÄN</t>
        </is>
      </c>
      <c r="G290" t="inlineStr">
        <is>
          <t>KRISTINEHAMN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27563-2026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46190</v>
      </c>
      <c r="E291" s="1" t="n">
        <v>46315</v>
      </c>
      <c r="F291" t="inlineStr">
        <is>
          <t>VÄRMLANDS LÄN</t>
        </is>
      </c>
      <c r="G291" t="inlineStr">
        <is>
          <t>KRISTINEHAMN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19638-2025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45770</v>
      </c>
      <c r="E292" s="1" t="n">
        <v>46315</v>
      </c>
      <c r="F292" t="inlineStr">
        <is>
          <t>VÄRMLANDS LÄN</t>
        </is>
      </c>
      <c r="G292" t="inlineStr">
        <is>
          <t>KRISTINEHAMN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45344</v>
      </c>
      <c r="E293" s="1" t="n">
        <v>46315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Naturvårdsverket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42408-2022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44831</v>
      </c>
      <c r="E294" s="1" t="n">
        <v>46315</v>
      </c>
      <c r="F294" t="inlineStr">
        <is>
          <t>VÄRMLANDS LÄN</t>
        </is>
      </c>
      <c r="G294" t="inlineStr">
        <is>
          <t>KRISTINEHAMN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14757-2026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46101</v>
      </c>
      <c r="E295" s="1" t="n">
        <v>46315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14759-2026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46101</v>
      </c>
      <c r="E296" s="1" t="n">
        <v>46315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45097</v>
      </c>
      <c r="E297" s="1" t="n">
        <v>46315</v>
      </c>
      <c r="F297" t="inlineStr">
        <is>
          <t>VÄRMLANDS LÄN</t>
        </is>
      </c>
      <c r="G297" t="inlineStr">
        <is>
          <t>KRISTINEHAMN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15646-2026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46106</v>
      </c>
      <c r="E298" s="1" t="n">
        <v>46315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Sveaskog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47467-2023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45202</v>
      </c>
      <c r="E299" s="1" t="n">
        <v>46315</v>
      </c>
      <c r="F299" t="inlineStr">
        <is>
          <t>VÄRMLANDS LÄN</t>
        </is>
      </c>
      <c r="G299" t="inlineStr">
        <is>
          <t>KRISTINEHAMN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45303</v>
      </c>
      <c r="E300" s="1" t="n">
        <v>46315</v>
      </c>
      <c r="F300" t="inlineStr">
        <is>
          <t>VÄRMLANDS LÄN</t>
        </is>
      </c>
      <c r="G300" t="inlineStr">
        <is>
          <t>KRISTINEHAMN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45379</v>
      </c>
      <c r="E301" s="1" t="n">
        <v>46315</v>
      </c>
      <c r="F301" t="inlineStr">
        <is>
          <t>VÄRMLANDS LÄN</t>
        </is>
      </c>
      <c r="G301" t="inlineStr">
        <is>
          <t>KRISTINEHAMN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15827-2026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46107</v>
      </c>
      <c r="E302" s="1" t="n">
        <v>46315</v>
      </c>
      <c r="F302" t="inlineStr">
        <is>
          <t>VÄRMLANDS LÄN</t>
        </is>
      </c>
      <c r="G302" t="inlineStr">
        <is>
          <t>KRISTINEHAMN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56930-2023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45244</v>
      </c>
      <c r="E303" s="1" t="n">
        <v>46315</v>
      </c>
      <c r="F303" t="inlineStr">
        <is>
          <t>VÄRMLANDS LÄN</t>
        </is>
      </c>
      <c r="G303" t="inlineStr">
        <is>
          <t>KRISTINEHAMN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45681</v>
      </c>
      <c r="E304" s="1" t="n">
        <v>46315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Kommuner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32821-2023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45112</v>
      </c>
      <c r="E305" s="1" t="n">
        <v>46315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Kommuner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45678</v>
      </c>
      <c r="E306" s="1" t="n">
        <v>46315</v>
      </c>
      <c r="F306" t="inlineStr">
        <is>
          <t>VÄRMLANDS LÄN</t>
        </is>
      </c>
      <c r="G306" t="inlineStr">
        <is>
          <t>KRISTINEHAMN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18909-2026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46129</v>
      </c>
      <c r="E307" s="1" t="n">
        <v>46315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32821-2023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45112</v>
      </c>
      <c r="E308" s="1" t="n">
        <v>46315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Kommuner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46132</v>
      </c>
      <c r="E309" s="1" t="n">
        <v>46315</v>
      </c>
      <c r="F309" t="inlineStr">
        <is>
          <t>VÄRMLANDS LÄN</t>
        </is>
      </c>
      <c r="G309" t="inlineStr">
        <is>
          <t>KRISTINEHAMN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45386</v>
      </c>
      <c r="E310" s="1" t="n">
        <v>46315</v>
      </c>
      <c r="F310" t="inlineStr">
        <is>
          <t>VÄRMLANDS LÄN</t>
        </is>
      </c>
      <c r="G310" t="inlineStr">
        <is>
          <t>KRISTINEHAMN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45302</v>
      </c>
      <c r="E311" s="1" t="n">
        <v>46315</v>
      </c>
      <c r="F311" t="inlineStr">
        <is>
          <t>VÄRMLANDS LÄN</t>
        </is>
      </c>
      <c r="G311" t="inlineStr">
        <is>
          <t>KRISTINEHAMN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45681</v>
      </c>
      <c r="E312" s="1" t="n">
        <v>46315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Kommuner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28472-2024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45477</v>
      </c>
      <c r="E313" s="1" t="n">
        <v>46315</v>
      </c>
      <c r="F313" t="inlineStr">
        <is>
          <t>VÄRMLANDS LÄN</t>
        </is>
      </c>
      <c r="G313" t="inlineStr">
        <is>
          <t>KRISTINEHAMN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46205</v>
      </c>
      <c r="E314" s="1" t="n">
        <v>46315</v>
      </c>
      <c r="F314" t="inlineStr">
        <is>
          <t>VÄRMLANDS LÄN</t>
        </is>
      </c>
      <c r="G314" t="inlineStr">
        <is>
          <t>KRISTINEHAMN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29874-2026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46205</v>
      </c>
      <c r="E315" s="1" t="n">
        <v>46315</v>
      </c>
      <c r="F315" t="inlineStr">
        <is>
          <t>VÄRMLANDS LÄN</t>
        </is>
      </c>
      <c r="G315" t="inlineStr">
        <is>
          <t>KRISTINEHAMN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45887</v>
      </c>
      <c r="E316" s="1" t="n">
        <v>46315</v>
      </c>
      <c r="F316" t="inlineStr">
        <is>
          <t>VÄRMLANDS LÄN</t>
        </is>
      </c>
      <c r="G316" t="inlineStr">
        <is>
          <t>KRISTINEHAMN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42177-2025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45904</v>
      </c>
      <c r="E317" s="1" t="n">
        <v>46315</v>
      </c>
      <c r="F317" t="inlineStr">
        <is>
          <t>VÄRMLANDS LÄN</t>
        </is>
      </c>
      <c r="G317" t="inlineStr">
        <is>
          <t>KRISTINEHAMN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62770-2023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45268</v>
      </c>
      <c r="E318" s="1" t="n">
        <v>46315</v>
      </c>
      <c r="F318" t="inlineStr">
        <is>
          <t>VÄRMLANDS LÄN</t>
        </is>
      </c>
      <c r="G318" t="inlineStr">
        <is>
          <t>KRISTINEHAMN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14183-2022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44651</v>
      </c>
      <c r="E319" s="1" t="n">
        <v>46315</v>
      </c>
      <c r="F319" t="inlineStr">
        <is>
          <t>VÄRMLANDS LÄN</t>
        </is>
      </c>
      <c r="G319" t="inlineStr">
        <is>
          <t>KRISTINEHAMN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46315</v>
      </c>
      <c r="F320" t="inlineStr">
        <is>
          <t>VÄRMLANDS LÄN</t>
        </is>
      </c>
      <c r="G320" t="inlineStr">
        <is>
          <t>KRISTINEHAMN</t>
        </is>
      </c>
      <c r="I320" t="n">
        <v>7.1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45563-2022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44841</v>
      </c>
      <c r="E321" s="1" t="n">
        <v>46315</v>
      </c>
      <c r="F321" t="inlineStr">
        <is>
          <t>VÄRMLANDS LÄN</t>
        </is>
      </c>
      <c r="G321" t="inlineStr">
        <is>
          <t>KRISTINEHAMN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27210-2022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44741</v>
      </c>
      <c r="E322" s="1" t="n">
        <v>46315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Bergvik skog väst AB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46315</v>
      </c>
      <c r="F323" t="inlineStr">
        <is>
          <t>VÄRMLANDS LÄN</t>
        </is>
      </c>
      <c r="G323" t="inlineStr">
        <is>
          <t>KRISTINEHAMN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45302</v>
      </c>
      <c r="E324" s="1" t="n">
        <v>46315</v>
      </c>
      <c r="F324" t="inlineStr">
        <is>
          <t>VÄRMLANDS LÄN</t>
        </is>
      </c>
      <c r="G324" t="inlineStr">
        <is>
          <t>KRISTINEHAMN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47770-2023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45203</v>
      </c>
      <c r="E325" s="1" t="n">
        <v>46315</v>
      </c>
      <c r="F325" t="inlineStr">
        <is>
          <t>VÄRMLANDS LÄN</t>
        </is>
      </c>
      <c r="G325" t="inlineStr">
        <is>
          <t>KRISTINEHAMN</t>
        </is>
      </c>
      <c r="I325" t="n">
        <v>9.300000000000001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24710-2024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45460</v>
      </c>
      <c r="E326" s="1" t="n">
        <v>46315</v>
      </c>
      <c r="F326" t="inlineStr">
        <is>
          <t>VÄRMLANDS LÄN</t>
        </is>
      </c>
      <c r="G326" t="inlineStr">
        <is>
          <t>KRISTINEHAMN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51616-2023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45222</v>
      </c>
      <c r="E327" s="1" t="n">
        <v>46315</v>
      </c>
      <c r="F327" t="inlineStr">
        <is>
          <t>VÄRMLANDS LÄN</t>
        </is>
      </c>
      <c r="G327" t="inlineStr">
        <is>
          <t>KRISTINEHAMN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58616-2021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44489</v>
      </c>
      <c r="E328" s="1" t="n">
        <v>46315</v>
      </c>
      <c r="F328" t="inlineStr">
        <is>
          <t>VÄRMLANDS LÄN</t>
        </is>
      </c>
      <c r="G328" t="inlineStr">
        <is>
          <t>KRISTINEHAMN</t>
        </is>
      </c>
      <c r="I328" t="n">
        <v>6.8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45478</v>
      </c>
      <c r="E329" s="1" t="n">
        <v>46315</v>
      </c>
      <c r="F329" t="inlineStr">
        <is>
          <t>VÄRMLANDS LÄN</t>
        </is>
      </c>
      <c r="G329" t="inlineStr">
        <is>
          <t>KRISTINEHAMN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28836-2024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45478</v>
      </c>
      <c r="E330" s="1" t="n">
        <v>46315</v>
      </c>
      <c r="F330" t="inlineStr">
        <is>
          <t>VÄRMLANDS LÄN</t>
        </is>
      </c>
      <c r="G330" t="inlineStr">
        <is>
          <t>KRISTINEHAMN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27939-2023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45098</v>
      </c>
      <c r="E331" s="1" t="n">
        <v>46315</v>
      </c>
      <c r="F331" t="inlineStr">
        <is>
          <t>VÄRMLANDS LÄN</t>
        </is>
      </c>
      <c r="G331" t="inlineStr">
        <is>
          <t>KRISTINEHAMN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46315</v>
      </c>
      <c r="F332" t="inlineStr">
        <is>
          <t>VÄRMLANDS LÄN</t>
        </is>
      </c>
      <c r="G332" t="inlineStr">
        <is>
          <t>KRISTINEHAMN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45701</v>
      </c>
      <c r="E333" s="1" t="n">
        <v>46315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Naturvårdsverket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68526-2021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44526</v>
      </c>
      <c r="E334" s="1" t="n">
        <v>46315</v>
      </c>
      <c r="F334" t="inlineStr">
        <is>
          <t>VÄRMLANDS LÄN</t>
        </is>
      </c>
      <c r="G334" t="inlineStr">
        <is>
          <t>KRISTINEHAMN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68530-2021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44526</v>
      </c>
      <c r="E335" s="1" t="n">
        <v>46315</v>
      </c>
      <c r="F335" t="inlineStr">
        <is>
          <t>VÄRMLANDS LÄN</t>
        </is>
      </c>
      <c r="G335" t="inlineStr">
        <is>
          <t>KRISTINEHAMN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29017-2023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45104</v>
      </c>
      <c r="E336" s="1" t="n">
        <v>46315</v>
      </c>
      <c r="F336" t="inlineStr">
        <is>
          <t>VÄRMLANDS LÄN</t>
        </is>
      </c>
      <c r="G336" t="inlineStr">
        <is>
          <t>KRISTINEHAMN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5505-2022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44595</v>
      </c>
      <c r="E337" s="1" t="n">
        <v>46315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Kommuner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5507-2022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44595</v>
      </c>
      <c r="E338" s="1" t="n">
        <v>46315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Kommuner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46274</v>
      </c>
      <c r="E339" s="1" t="n">
        <v>46315</v>
      </c>
      <c r="F339" t="inlineStr">
        <is>
          <t>VÄRMLANDS LÄN</t>
        </is>
      </c>
      <c r="G339" t="inlineStr">
        <is>
          <t>KRISTINEHAMN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37180-2026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46274</v>
      </c>
      <c r="E340" s="1" t="n">
        <v>46315</v>
      </c>
      <c r="F340" t="inlineStr">
        <is>
          <t>VÄRMLANDS LÄN</t>
        </is>
      </c>
      <c r="G340" t="inlineStr">
        <is>
          <t>KRISTINEHAMN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31829-2026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46230</v>
      </c>
      <c r="E341" s="1" t="n">
        <v>46315</v>
      </c>
      <c r="F341" t="inlineStr">
        <is>
          <t>VÄRMLANDS LÄN</t>
        </is>
      </c>
      <c r="G341" t="inlineStr">
        <is>
          <t>KRISTINEHAMN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45243</v>
      </c>
      <c r="E342" s="1" t="n">
        <v>46315</v>
      </c>
      <c r="F342" t="inlineStr">
        <is>
          <t>VÄRMLANDS LÄN</t>
        </is>
      </c>
      <c r="G342" t="inlineStr">
        <is>
          <t>KRISTINEHAMN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45243</v>
      </c>
      <c r="E343" s="1" t="n">
        <v>46315</v>
      </c>
      <c r="F343" t="inlineStr">
        <is>
          <t>VÄRMLANDS LÄN</t>
        </is>
      </c>
      <c r="G343" t="inlineStr">
        <is>
          <t>KRISTINEHAMN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56667-2023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45243</v>
      </c>
      <c r="E344" s="1" t="n">
        <v>46315</v>
      </c>
      <c r="F344" t="inlineStr">
        <is>
          <t>VÄRMLANDS LÄN</t>
        </is>
      </c>
      <c r="G344" t="inlineStr">
        <is>
          <t>KRISTINEHAMN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3932-2024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45322</v>
      </c>
      <c r="E345" s="1" t="n">
        <v>46315</v>
      </c>
      <c r="F345" t="inlineStr">
        <is>
          <t>VÄRMLANDS LÄN</t>
        </is>
      </c>
      <c r="G345" t="inlineStr">
        <is>
          <t>KRISTINEHAMN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61988-2023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46315</v>
      </c>
      <c r="F346" t="inlineStr">
        <is>
          <t>VÄRMLANDS LÄN</t>
        </is>
      </c>
      <c r="G346" t="inlineStr">
        <is>
          <t>KRISTINEHAMN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8758-2023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44978</v>
      </c>
      <c r="E347" s="1" t="n">
        <v>46315</v>
      </c>
      <c r="F347" t="inlineStr">
        <is>
          <t>VÄRMLANDS LÄN</t>
        </is>
      </c>
      <c r="G347" t="inlineStr">
        <is>
          <t>KRISTINEHAMN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28152-2022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44746</v>
      </c>
      <c r="E348" s="1" t="n">
        <v>46315</v>
      </c>
      <c r="F348" t="inlineStr">
        <is>
          <t>VÄRMLANDS LÄN</t>
        </is>
      </c>
      <c r="G348" t="inlineStr">
        <is>
          <t>KRISTINEHAMN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59862-2024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45639</v>
      </c>
      <c r="E349" s="1" t="n">
        <v>46315</v>
      </c>
      <c r="F349" t="inlineStr">
        <is>
          <t>VÄRMLANDS LÄN</t>
        </is>
      </c>
      <c r="G349" t="inlineStr">
        <is>
          <t>KRISTINEHAMN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23246-2024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45450</v>
      </c>
      <c r="E350" s="1" t="n">
        <v>46315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Kommuner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22896-2023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45072</v>
      </c>
      <c r="E351" s="1" t="n">
        <v>46315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Bergvik skog väst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38486-2026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46282</v>
      </c>
      <c r="E352" s="1" t="n">
        <v>46315</v>
      </c>
      <c r="F352" t="inlineStr">
        <is>
          <t>VÄRMLANDS LÄN</t>
        </is>
      </c>
      <c r="G352" t="inlineStr">
        <is>
          <t>KRISTINEHAMN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39779-2023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45167</v>
      </c>
      <c r="E353" s="1" t="n">
        <v>46315</v>
      </c>
      <c r="F353" t="inlineStr">
        <is>
          <t>VÄRMLANDS LÄN</t>
        </is>
      </c>
      <c r="G353" t="inlineStr">
        <is>
          <t>KRISTINEHAMN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8557-2023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44972</v>
      </c>
      <c r="E354" s="1" t="n">
        <v>46315</v>
      </c>
      <c r="F354" t="inlineStr">
        <is>
          <t>VÄRMLANDS LÄN</t>
        </is>
      </c>
      <c r="G354" t="inlineStr">
        <is>
          <t>KRISTINEHAMN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38080-2026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46281</v>
      </c>
      <c r="E355" s="1" t="n">
        <v>46315</v>
      </c>
      <c r="F355" t="inlineStr">
        <is>
          <t>VÄRMLANDS LÄN</t>
        </is>
      </c>
      <c r="G355" t="inlineStr">
        <is>
          <t>KRISTINEHAMN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38128-2026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46281</v>
      </c>
      <c r="E356" s="1" t="n">
        <v>46315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Sveaskog</t>
        </is>
      </c>
      <c r="I356" t="n">
        <v>14.1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46282</v>
      </c>
      <c r="E357" s="1" t="n">
        <v>46315</v>
      </c>
      <c r="F357" t="inlineStr">
        <is>
          <t>VÄRMLANDS LÄN</t>
        </is>
      </c>
      <c r="G357" t="inlineStr">
        <is>
          <t>KRISTINEHAMN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38487-2026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46282</v>
      </c>
      <c r="E358" s="1" t="n">
        <v>46315</v>
      </c>
      <c r="F358" t="inlineStr">
        <is>
          <t>VÄRMLANDS LÄN</t>
        </is>
      </c>
      <c r="G358" t="inlineStr">
        <is>
          <t>KRISTINEHAMN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21861-2023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45068</v>
      </c>
      <c r="E359" s="1" t="n">
        <v>46315</v>
      </c>
      <c r="F359" t="inlineStr">
        <is>
          <t>VÄRMLANDS LÄN</t>
        </is>
      </c>
      <c r="G359" t="inlineStr">
        <is>
          <t>KRISTINEHAMN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47466-2023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45202</v>
      </c>
      <c r="E360" s="1" t="n">
        <v>46315</v>
      </c>
      <c r="F360" t="inlineStr">
        <is>
          <t>VÄRMLANDS LÄN</t>
        </is>
      </c>
      <c r="G360" t="inlineStr">
        <is>
          <t>KRISTINEHAMN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15406-2024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45401</v>
      </c>
      <c r="E361" s="1" t="n">
        <v>46315</v>
      </c>
      <c r="F361" t="inlineStr">
        <is>
          <t>VÄRMLANDS LÄN</t>
        </is>
      </c>
      <c r="G361" t="inlineStr">
        <is>
          <t>KRISTINEHAMN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34891-2023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45141</v>
      </c>
      <c r="E362" s="1" t="n">
        <v>46315</v>
      </c>
      <c r="F362" t="inlineStr">
        <is>
          <t>VÄRMLANDS LÄN</t>
        </is>
      </c>
      <c r="G362" t="inlineStr">
        <is>
          <t>KRISTINEHAMN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38840-2026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46286</v>
      </c>
      <c r="E363" s="1" t="n">
        <v>46315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56661-2023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45243</v>
      </c>
      <c r="E364" s="1" t="n">
        <v>46315</v>
      </c>
      <c r="F364" t="inlineStr">
        <is>
          <t>VÄRMLANDS LÄN</t>
        </is>
      </c>
      <c r="G364" t="inlineStr">
        <is>
          <t>KRISTINEHAMN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56664-2023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45243</v>
      </c>
      <c r="E365" s="1" t="n">
        <v>46315</v>
      </c>
      <c r="F365" t="inlineStr">
        <is>
          <t>VÄRMLANDS LÄN</t>
        </is>
      </c>
      <c r="G365" t="inlineStr">
        <is>
          <t>KRISTINEHAMN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2963-2024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45315</v>
      </c>
      <c r="E366" s="1" t="n">
        <v>46315</v>
      </c>
      <c r="F366" t="inlineStr">
        <is>
          <t>VÄRMLANDS LÄN</t>
        </is>
      </c>
      <c r="G366" t="inlineStr">
        <is>
          <t>KRISTINEHAMN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56668-2023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45243</v>
      </c>
      <c r="E367" s="1" t="n">
        <v>46315</v>
      </c>
      <c r="F367" t="inlineStr">
        <is>
          <t>VÄRMLANDS LÄN</t>
        </is>
      </c>
      <c r="G367" t="inlineStr">
        <is>
          <t>KRISTINEHAMN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39778-2023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45167</v>
      </c>
      <c r="E368" s="1" t="n">
        <v>46315</v>
      </c>
      <c r="F368" t="inlineStr">
        <is>
          <t>VÄRMLANDS LÄN</t>
        </is>
      </c>
      <c r="G368" t="inlineStr">
        <is>
          <t>KRISTINEHAMN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4180-2024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45323</v>
      </c>
      <c r="E369" s="1" t="n">
        <v>46315</v>
      </c>
      <c r="F369" t="inlineStr">
        <is>
          <t>VÄRMLANDS LÄN</t>
        </is>
      </c>
      <c r="G369" t="inlineStr">
        <is>
          <t>KRISTINEHAMN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44985</v>
      </c>
      <c r="E370" s="1" t="n">
        <v>46315</v>
      </c>
      <c r="F370" t="inlineStr">
        <is>
          <t>VÄRMLANDS LÄN</t>
        </is>
      </c>
      <c r="G370" t="inlineStr">
        <is>
          <t>KRISTINEHAMN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11020-2023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44991</v>
      </c>
      <c r="E371" s="1" t="n">
        <v>46315</v>
      </c>
      <c r="F371" t="inlineStr">
        <is>
          <t>VÄRMLANDS LÄN</t>
        </is>
      </c>
      <c r="G371" t="inlineStr">
        <is>
          <t>KRISTINEHAMN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58284-2024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45631</v>
      </c>
      <c r="E372" s="1" t="n">
        <v>46315</v>
      </c>
      <c r="F372" t="inlineStr">
        <is>
          <t>VÄRMLANDS LÄN</t>
        </is>
      </c>
      <c r="G372" t="inlineStr">
        <is>
          <t>KRISTINEHAMN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27531-2022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44742</v>
      </c>
      <c r="E373" s="1" t="n">
        <v>46315</v>
      </c>
      <c r="F373" t="inlineStr">
        <is>
          <t>VÄRMLANDS LÄN</t>
        </is>
      </c>
      <c r="G373" t="inlineStr">
        <is>
          <t>KRISTINEHAMN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40141-2026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46293</v>
      </c>
      <c r="E374" s="1" t="n">
        <v>46315</v>
      </c>
      <c r="F374" t="inlineStr">
        <is>
          <t>VÄRMLANDS LÄN</t>
        </is>
      </c>
      <c r="G374" t="inlineStr">
        <is>
          <t>KRISTINEHAMN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7695-2025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45705</v>
      </c>
      <c r="E375" s="1" t="n">
        <v>46315</v>
      </c>
      <c r="F375" t="inlineStr">
        <is>
          <t>VÄRMLANDS LÄN</t>
        </is>
      </c>
      <c r="G375" t="inlineStr">
        <is>
          <t>KRISTINEHAMN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13118-2025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45734</v>
      </c>
      <c r="E376" s="1" t="n">
        <v>46315</v>
      </c>
      <c r="F376" t="inlineStr">
        <is>
          <t>VÄRMLANDS LÄN</t>
        </is>
      </c>
      <c r="G376" t="inlineStr">
        <is>
          <t>KRISTINEHAMN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47465-2023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45202</v>
      </c>
      <c r="E377" s="1" t="n">
        <v>46315</v>
      </c>
      <c r="F377" t="inlineStr">
        <is>
          <t>VÄRMLANDS LÄN</t>
        </is>
      </c>
      <c r="G377" t="inlineStr">
        <is>
          <t>KRISTINEHAMN</t>
        </is>
      </c>
      <c r="I377" t="n">
        <v>10.4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51700-2023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45222</v>
      </c>
      <c r="E378" s="1" t="n">
        <v>46315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Bergvik skog väst AB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12458-2024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45379</v>
      </c>
      <c r="E379" s="1" t="n">
        <v>46315</v>
      </c>
      <c r="F379" t="inlineStr">
        <is>
          <t>VÄRMLANDS LÄN</t>
        </is>
      </c>
      <c r="G379" t="inlineStr">
        <is>
          <t>KRISTINEHAMN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59203-2024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45636</v>
      </c>
      <c r="E380" s="1" t="n">
        <v>46315</v>
      </c>
      <c r="F380" t="inlineStr">
        <is>
          <t>VÄRMLANDS LÄN</t>
        </is>
      </c>
      <c r="G380" t="inlineStr">
        <is>
          <t>KRISTINEHAMN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45679</v>
      </c>
      <c r="E381" s="1" t="n">
        <v>46315</v>
      </c>
      <c r="F381" t="inlineStr">
        <is>
          <t>VÄRMLANDS LÄN</t>
        </is>
      </c>
      <c r="G381" t="inlineStr">
        <is>
          <t>KRISTINEHAMN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45685</v>
      </c>
      <c r="E382" s="1" t="n">
        <v>46315</v>
      </c>
      <c r="F382" t="inlineStr">
        <is>
          <t>VÄRMLANDS LÄN</t>
        </is>
      </c>
      <c r="G382" t="inlineStr">
        <is>
          <t>KRISTINEHAMN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30986-2026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46213</v>
      </c>
      <c r="E383" s="1" t="n">
        <v>46315</v>
      </c>
      <c r="F383" t="inlineStr">
        <is>
          <t>VÄRMLANDS LÄN</t>
        </is>
      </c>
      <c r="G383" t="inlineStr">
        <is>
          <t>KRISTINEHAMN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21602-2025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45783</v>
      </c>
      <c r="E384" s="1" t="n">
        <v>46315</v>
      </c>
      <c r="F384" t="inlineStr">
        <is>
          <t>VÄRMLANDS LÄN</t>
        </is>
      </c>
      <c r="G384" t="inlineStr">
        <is>
          <t>KRISTINEHAMN</t>
        </is>
      </c>
      <c r="H384" t="inlineStr">
        <is>
          <t>Sveaskog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39187-2026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46287</v>
      </c>
      <c r="E385" s="1" t="n">
        <v>46315</v>
      </c>
      <c r="F385" t="inlineStr">
        <is>
          <t>VÄRMLANDS LÄN</t>
        </is>
      </c>
      <c r="G385" t="inlineStr">
        <is>
          <t>KRISTINEHAMN</t>
        </is>
      </c>
      <c r="I385" t="n">
        <v>10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45636</v>
      </c>
      <c r="E386" s="1" t="n">
        <v>46315</v>
      </c>
      <c r="F386" t="inlineStr">
        <is>
          <t>VÄRMLANDS LÄN</t>
        </is>
      </c>
      <c r="G386" t="inlineStr">
        <is>
          <t>KRISTINEHAMN</t>
        </is>
      </c>
      <c r="I386" t="n">
        <v>8.300000000000001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23502-2025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45792</v>
      </c>
      <c r="E387" s="1" t="n">
        <v>46315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Sveaskog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23501-2025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45792</v>
      </c>
      <c r="E388" s="1" t="n">
        <v>46315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Sveaskog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23511-2025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45792</v>
      </c>
      <c r="E389" s="1" t="n">
        <v>46315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Sveaskog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36774-2022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44805</v>
      </c>
      <c r="E390" s="1" t="n">
        <v>46315</v>
      </c>
      <c r="F390" t="inlineStr">
        <is>
          <t>VÄRMLANDS LÄN</t>
        </is>
      </c>
      <c r="G390" t="inlineStr">
        <is>
          <t>KRISTINEHAMN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23510-2025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45792</v>
      </c>
      <c r="E391" s="1" t="n">
        <v>46315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Sveaskog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41778-2026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46302</v>
      </c>
      <c r="E392" s="1" t="n">
        <v>46315</v>
      </c>
      <c r="F392" t="inlineStr">
        <is>
          <t>VÄRMLANDS LÄN</t>
        </is>
      </c>
      <c r="G392" t="inlineStr">
        <is>
          <t>KRISTINEHAMN</t>
        </is>
      </c>
      <c r="I392" t="n">
        <v>12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4493-2025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45686</v>
      </c>
      <c r="E393" s="1" t="n">
        <v>46315</v>
      </c>
      <c r="F393" t="inlineStr">
        <is>
          <t>VÄRMLANDS LÄN</t>
        </is>
      </c>
      <c r="G393" t="inlineStr">
        <is>
          <t>KRISTINEHAMN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65055-2023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45282</v>
      </c>
      <c r="E394" s="1" t="n">
        <v>46315</v>
      </c>
      <c r="F394" t="inlineStr">
        <is>
          <t>VÄRMLANDS LÄN</t>
        </is>
      </c>
      <c r="G394" t="inlineStr">
        <is>
          <t>KRISTINEHAMN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16427-2024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45407</v>
      </c>
      <c r="E395" s="1" t="n">
        <v>46315</v>
      </c>
      <c r="F395" t="inlineStr">
        <is>
          <t>VÄRMLANDS LÄN</t>
        </is>
      </c>
      <c r="G395" t="inlineStr">
        <is>
          <t>KRISTINEHAMN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45700</v>
      </c>
      <c r="E396" s="1" t="n">
        <v>46315</v>
      </c>
      <c r="F396" t="inlineStr">
        <is>
          <t>VÄRMLANDS LÄN</t>
        </is>
      </c>
      <c r="G396" t="inlineStr">
        <is>
          <t>KRISTINEHAMN</t>
        </is>
      </c>
      <c r="I396" t="n">
        <v>11.2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39997-2024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45553</v>
      </c>
      <c r="E397" s="1" t="n">
        <v>46315</v>
      </c>
      <c r="F397" t="inlineStr">
        <is>
          <t>VÄRMLANDS LÄN</t>
        </is>
      </c>
      <c r="G397" t="inlineStr">
        <is>
          <t>KRISTINEHAMN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45012-2024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45575</v>
      </c>
      <c r="E398" s="1" t="n">
        <v>46315</v>
      </c>
      <c r="F398" t="inlineStr">
        <is>
          <t>VÄRMLANDS LÄN</t>
        </is>
      </c>
      <c r="G398" t="inlineStr">
        <is>
          <t>KRISTINEHAMN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24655-2025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45798</v>
      </c>
      <c r="E399" s="1" t="n">
        <v>46315</v>
      </c>
      <c r="F399" t="inlineStr">
        <is>
          <t>VÄRMLANDS LÄN</t>
        </is>
      </c>
      <c r="G399" t="inlineStr">
        <is>
          <t>KRISTINEHAMN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24970-2025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45799</v>
      </c>
      <c r="E400" s="1" t="n">
        <v>46315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Sveaskog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45802</v>
      </c>
      <c r="E401" s="1" t="n">
        <v>46315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Naturvårdsverket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26181-2025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45805</v>
      </c>
      <c r="E402" s="1" t="n">
        <v>46315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Sveaskog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45805</v>
      </c>
      <c r="E403" s="1" t="n">
        <v>46315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26623-2025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45810</v>
      </c>
      <c r="E404" s="1" t="n">
        <v>46315</v>
      </c>
      <c r="F404" t="inlineStr">
        <is>
          <t>VÄRMLANDS LÄN</t>
        </is>
      </c>
      <c r="G404" t="inlineStr">
        <is>
          <t>KRISTINEHAMN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26871-2025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45810</v>
      </c>
      <c r="E405" s="1" t="n">
        <v>46315</v>
      </c>
      <c r="F405" t="inlineStr">
        <is>
          <t>VÄRMLANDS LÄN</t>
        </is>
      </c>
      <c r="G405" t="inlineStr">
        <is>
          <t>KRISTINEHAMN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27140-2025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45812</v>
      </c>
      <c r="E406" s="1" t="n">
        <v>46315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Sveaskog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45812</v>
      </c>
      <c r="E407" s="1" t="n">
        <v>46315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28731-2025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45820</v>
      </c>
      <c r="E408" s="1" t="n">
        <v>46315</v>
      </c>
      <c r="F408" t="inlineStr">
        <is>
          <t>VÄRMLANDS LÄN</t>
        </is>
      </c>
      <c r="G408" t="inlineStr">
        <is>
          <t>KRISTINEHAMN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10106-2024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45364</v>
      </c>
      <c r="E409" s="1" t="n">
        <v>46315</v>
      </c>
      <c r="F409" t="inlineStr">
        <is>
          <t>VÄRMLANDS LÄN</t>
        </is>
      </c>
      <c r="G409" t="inlineStr">
        <is>
          <t>KRISTINEHAMN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10124-2024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45364</v>
      </c>
      <c r="E410" s="1" t="n">
        <v>46315</v>
      </c>
      <c r="F410" t="inlineStr">
        <is>
          <t>VÄRMLANDS LÄN</t>
        </is>
      </c>
      <c r="G410" t="inlineStr">
        <is>
          <t>KRISTINEHAMN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12261-2024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45378</v>
      </c>
      <c r="E411" s="1" t="n">
        <v>46315</v>
      </c>
      <c r="F411" t="inlineStr">
        <is>
          <t>VÄRMLANDS LÄN</t>
        </is>
      </c>
      <c r="G411" t="inlineStr">
        <is>
          <t>KRISTINEHAMN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13032-2024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45385</v>
      </c>
      <c r="E412" s="1" t="n">
        <v>46315</v>
      </c>
      <c r="F412" t="inlineStr">
        <is>
          <t>VÄRMLANDS LÄN</t>
        </is>
      </c>
      <c r="G412" t="inlineStr">
        <is>
          <t>KRISTINEHAMN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10116-2024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45364</v>
      </c>
      <c r="E413" s="1" t="n">
        <v>46315</v>
      </c>
      <c r="F413" t="inlineStr">
        <is>
          <t>VÄRMLANDS LÄN</t>
        </is>
      </c>
      <c r="G413" t="inlineStr">
        <is>
          <t>KRISTINEHAMN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30221-2025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45827</v>
      </c>
      <c r="E414" s="1" t="n">
        <v>46315</v>
      </c>
      <c r="F414" t="inlineStr">
        <is>
          <t>VÄRMLANDS LÄN</t>
        </is>
      </c>
      <c r="G414" t="inlineStr">
        <is>
          <t>KRISTINEHAMN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31449-2025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45833</v>
      </c>
      <c r="E415" s="1" t="n">
        <v>46315</v>
      </c>
      <c r="F415" t="inlineStr">
        <is>
          <t>VÄRMLANDS LÄN</t>
        </is>
      </c>
      <c r="G415" t="inlineStr">
        <is>
          <t>KRISTINEHAMN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31327-2025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45833</v>
      </c>
      <c r="E416" s="1" t="n">
        <v>46315</v>
      </c>
      <c r="F416" t="inlineStr">
        <is>
          <t>VÄRMLANDS LÄN</t>
        </is>
      </c>
      <c r="G416" t="inlineStr">
        <is>
          <t>KRISTINEHAMN</t>
        </is>
      </c>
      <c r="I416" t="n">
        <v>20.1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31250-2025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45832</v>
      </c>
      <c r="E417" s="1" t="n">
        <v>46315</v>
      </c>
      <c r="F417" t="inlineStr">
        <is>
          <t>VÄRMLANDS LÄN</t>
        </is>
      </c>
      <c r="G417" t="inlineStr">
        <is>
          <t>KRISTINEHAMN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45833</v>
      </c>
      <c r="E418" s="1" t="n">
        <v>46315</v>
      </c>
      <c r="F418" t="inlineStr">
        <is>
          <t>VÄRMLANDS LÄN</t>
        </is>
      </c>
      <c r="G418" t="inlineStr">
        <is>
          <t>KRISTINEHAMN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45664</v>
      </c>
      <c r="E419" s="1" t="n">
        <v>46315</v>
      </c>
      <c r="F419" t="inlineStr">
        <is>
          <t>VÄRMLANDS LÄN</t>
        </is>
      </c>
      <c r="G419" t="inlineStr">
        <is>
          <t>KRISTINEHAMN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42402-2026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46307</v>
      </c>
      <c r="E420" s="1" t="n">
        <v>46315</v>
      </c>
      <c r="F420" t="inlineStr">
        <is>
          <t>VÄRMLANDS LÄN</t>
        </is>
      </c>
      <c r="G420" t="inlineStr">
        <is>
          <t>KRISTINEHAMN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21384-2025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45782</v>
      </c>
      <c r="E421" s="1" t="n">
        <v>46315</v>
      </c>
      <c r="F421" t="inlineStr">
        <is>
          <t>VÄRMLANDS LÄN</t>
        </is>
      </c>
      <c r="G421" t="inlineStr">
        <is>
          <t>KRISTINEHAMN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6278-2023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44965</v>
      </c>
      <c r="E422" s="1" t="n">
        <v>46315</v>
      </c>
      <c r="F422" t="inlineStr">
        <is>
          <t>VÄRMLANDS LÄN</t>
        </is>
      </c>
      <c r="G422" t="inlineStr">
        <is>
          <t>KRISTINEHAMN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37266-2025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45876</v>
      </c>
      <c r="E423" s="1" t="n">
        <v>46315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37267-2025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45876</v>
      </c>
      <c r="E424" s="1" t="n">
        <v>46315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1219-2020</t>
        </is>
      </c>
      <c r="B425" t="inlineStr">
        <is>
          <t>samrådsanmälan</t>
        </is>
      </c>
      <c r="C425" t="n">
        <v/>
      </c>
      <c r="D425" s="1" t="n">
        <v>43980</v>
      </c>
      <c r="E425" s="1" t="n">
        <v>46315</v>
      </c>
      <c r="F425" t="inlineStr">
        <is>
          <t>VÄRMLANDS LÄN</t>
        </is>
      </c>
      <c r="G425" t="inlineStr">
        <is>
          <t>KRISTINEHAMN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1815-2022</t>
        </is>
      </c>
      <c r="B426" t="inlineStr">
        <is>
          <t>samrådsanmälan</t>
        </is>
      </c>
      <c r="C426" t="inlineStr">
        <is>
          <t>Åtgärd i nyckelbiotop</t>
        </is>
      </c>
      <c r="D426" s="1" t="n">
        <v>44657</v>
      </c>
      <c r="E426" s="1" t="n">
        <v>46315</v>
      </c>
      <c r="F426" t="inlineStr">
        <is>
          <t>VÄRMLANDS LÄN</t>
        </is>
      </c>
      <c r="G426" t="inlineStr">
        <is>
          <t>KRISTINEHAMN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2879-2022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44711</v>
      </c>
      <c r="E427" s="1" t="n">
        <v>46315</v>
      </c>
      <c r="F427" t="inlineStr">
        <is>
          <t>VÄRMLANDS LÄN</t>
        </is>
      </c>
      <c r="G427" t="inlineStr">
        <is>
          <t>KRISTINEHAMN</t>
        </is>
      </c>
      <c r="I427" t="n">
        <v>25.9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2393-2022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44690</v>
      </c>
      <c r="E428" s="1" t="n">
        <v>46315</v>
      </c>
      <c r="F428" t="inlineStr">
        <is>
          <t>VÄRMLANDS LÄN</t>
        </is>
      </c>
      <c r="G428" t="inlineStr">
        <is>
          <t>KRISTINEHAMN</t>
        </is>
      </c>
      <c r="I428" t="n">
        <v>51.7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4147-2023</t>
        </is>
      </c>
      <c r="B429" t="inlineStr">
        <is>
          <t>samrådsanmälan</t>
        </is>
      </c>
      <c r="C429" t="inlineStr">
        <is>
          <t>Skogsgödsling</t>
        </is>
      </c>
      <c r="D429" s="1" t="n">
        <v>45247</v>
      </c>
      <c r="E429" s="1" t="n">
        <v>46315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Naturvårdsverket</t>
        </is>
      </c>
      <c r="I429" t="n">
        <v>13.5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4149-2023</t>
        </is>
      </c>
      <c r="B430" t="inlineStr">
        <is>
          <t>samrådsanmälan</t>
        </is>
      </c>
      <c r="C430" t="inlineStr">
        <is>
          <t>Skogsgödsling</t>
        </is>
      </c>
      <c r="D430" s="1" t="n">
        <v>45247</v>
      </c>
      <c r="E430" s="1" t="n">
        <v>46315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Naturvårdsverket</t>
        </is>
      </c>
      <c r="I430" t="n">
        <v>9.5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2254-2023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45103</v>
      </c>
      <c r="E431" s="1" t="n">
        <v>46315</v>
      </c>
      <c r="F431" t="inlineStr">
        <is>
          <t>VÄRMLANDS LÄN</t>
        </is>
      </c>
      <c r="G431" t="inlineStr">
        <is>
          <t>KRISTINEHAMN</t>
        </is>
      </c>
      <c r="I431" t="n">
        <v>51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1899-2024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45442</v>
      </c>
      <c r="E432" s="1" t="n">
        <v>46315</v>
      </c>
      <c r="F432" t="inlineStr">
        <is>
          <t>VÄRMLANDS LÄN</t>
        </is>
      </c>
      <c r="G432" t="inlineStr">
        <is>
          <t>KRISTINEHAMN</t>
        </is>
      </c>
      <c r="I432" t="n">
        <v>21.4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2301-2024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45463</v>
      </c>
      <c r="E433" s="1" t="n">
        <v>46315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Bergvik skog väst AB</t>
        </is>
      </c>
      <c r="I433" t="n">
        <v>28.1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2553-2024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45475</v>
      </c>
      <c r="E434" s="1" t="n">
        <v>46315</v>
      </c>
      <c r="F434" t="inlineStr">
        <is>
          <t>VÄRMLANDS LÄN</t>
        </is>
      </c>
      <c r="G434" t="inlineStr">
        <is>
          <t>KRISTINEHAMN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3378-2024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45533</v>
      </c>
      <c r="E435" s="1" t="n">
        <v>46315</v>
      </c>
      <c r="F435" t="inlineStr">
        <is>
          <t>VÄRMLANDS LÄN</t>
        </is>
      </c>
      <c r="G435" t="inlineStr">
        <is>
          <t>KRISTINEHAMN</t>
        </is>
      </c>
      <c r="I435" t="n">
        <v>53.7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1903-2024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45442</v>
      </c>
      <c r="E436" s="1" t="n">
        <v>46315</v>
      </c>
      <c r="F436" t="inlineStr">
        <is>
          <t>VÄRMLANDS LÄN</t>
        </is>
      </c>
      <c r="G436" t="inlineStr">
        <is>
          <t>KRISTINEHAMN</t>
        </is>
      </c>
      <c r="I436" t="n">
        <v>104.3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717-2023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44985</v>
      </c>
      <c r="E437" s="1" t="n">
        <v>46315</v>
      </c>
      <c r="F437" t="inlineStr">
        <is>
          <t>VÄRMLANDS LÄN</t>
        </is>
      </c>
      <c r="G437" t="inlineStr">
        <is>
          <t>KRISTINEHAMN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1412-2024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45414</v>
      </c>
      <c r="E438" s="1" t="n">
        <v>46315</v>
      </c>
      <c r="F438" t="inlineStr">
        <is>
          <t>VÄRMLANDS LÄN</t>
        </is>
      </c>
      <c r="G438" t="inlineStr">
        <is>
          <t>KRISTINEHAMN</t>
        </is>
      </c>
      <c r="I438" t="n">
        <v>42.9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1900-2024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45442</v>
      </c>
      <c r="E439" s="1" t="n">
        <v>46315</v>
      </c>
      <c r="F439" t="inlineStr">
        <is>
          <t>VÄRMLANDS LÄN</t>
        </is>
      </c>
      <c r="G439" t="inlineStr">
        <is>
          <t>KRISTINEHAMN</t>
        </is>
      </c>
      <c r="I439" t="n">
        <v>63.5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3374-2024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45533</v>
      </c>
      <c r="E440" s="1" t="n">
        <v>46315</v>
      </c>
      <c r="F440" t="inlineStr">
        <is>
          <t>VÄRMLANDS LÄN</t>
        </is>
      </c>
      <c r="G440" t="inlineStr">
        <is>
          <t>KRISTINEHAMN</t>
        </is>
      </c>
      <c r="I440" t="n">
        <v>18.3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2464-2023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45118</v>
      </c>
      <c r="E441" s="1" t="n">
        <v>46315</v>
      </c>
      <c r="F441" t="inlineStr">
        <is>
          <t>VÄRMLANDS LÄN</t>
        </is>
      </c>
      <c r="G441" t="inlineStr">
        <is>
          <t>KRISTINEHAMN</t>
        </is>
      </c>
      <c r="I441" t="n">
        <v>42.3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4146-2023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45247</v>
      </c>
      <c r="E442" s="1" t="n">
        <v>46315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Bergvik skog väst AB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3007-2024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45512</v>
      </c>
      <c r="E443" s="1" t="n">
        <v>46315</v>
      </c>
      <c r="F443" t="inlineStr">
        <is>
          <t>VÄRMLANDS LÄN</t>
        </is>
      </c>
      <c r="G443" t="inlineStr">
        <is>
          <t>KRISTINEHAMN</t>
        </is>
      </c>
      <c r="I443" t="n">
        <v>56.9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1418-2025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45783</v>
      </c>
      <c r="E444" s="1" t="n">
        <v>46315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1546-2025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45792</v>
      </c>
      <c r="E445" s="1" t="n">
        <v>46315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Sveaskog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1698-2025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45805</v>
      </c>
      <c r="E446" s="1" t="n">
        <v>46315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12.6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121-2026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46040</v>
      </c>
      <c r="E447" s="1" t="n">
        <v>46315</v>
      </c>
      <c r="F447" t="inlineStr">
        <is>
          <t>VÄRMLANDS LÄN</t>
        </is>
      </c>
      <c r="G447" t="inlineStr">
        <is>
          <t>KRISTINEHAMN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865-2026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46106</v>
      </c>
      <c r="E448" s="1" t="n">
        <v>46315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Sveaskog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99-2026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46036</v>
      </c>
      <c r="E449" s="1" t="n">
        <v>46315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Naturvårdsverket</t>
        </is>
      </c>
      <c r="I449" t="n">
        <v>80.8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2026-10-20T01:49:10Z</dcterms:created>
  <dcterms:modified xmlns:dcterms="http://purl.org/dc/terms/" xmlns:xsi="http://www.w3.org/2001/XMLSchema-instance" xsi:type="dcterms:W3CDTF">2026-10-20T01:49:10Z</dcterms:modified>
</cp:coreProperties>
</file>