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46237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46237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46237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46237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46237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46237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20746-2026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46141</v>
      </c>
      <c r="E21" s="1" t="n">
        <v>46237</v>
      </c>
      <c r="F21" t="inlineStr">
        <is>
          <t>VÄRMLANDS LÄN</t>
        </is>
      </c>
      <c r="G21" t="inlineStr">
        <is>
          <t>KRISTINEHAMN</t>
        </is>
      </c>
      <c r="H21" t="inlineStr">
        <is>
          <t>Naturvårdsverket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 sköldmossa</t>
        </is>
      </c>
      <c r="W21">
        <f>HYPERLINK("https://klasma.github.io/Logging_1781/artfynd/A 20746-2026 artfynd.xlsx", "A 20746-2026")</f>
        <v/>
      </c>
      <c r="X21">
        <f>HYPERLINK("https://klasma.github.io/Logging_1781/kartor/A 20746-2026 karta.png", "A 20746-2026")</f>
        <v/>
      </c>
      <c r="Y21">
        <f>HYPERLINK("https://klasma.github.io/Logging_1781/kartor_geotiff/A 20746-2026 georefererad karta.tif", "A 20746-2026")</f>
        <v/>
      </c>
      <c r="AA21">
        <f>HYPERLINK("https://klasma.github.io/Logging_1781/klagomål/A 20746-2026 FSC-klagomål.docx", "A 20746-2026")</f>
        <v/>
      </c>
      <c r="AB21">
        <f>HYPERLINK("https://klasma.github.io/Logging_1781/klagomålsmail/A 20746-2026 FSC-klagomål mail.docx", "A 20746-2026")</f>
        <v/>
      </c>
      <c r="AC21">
        <f>HYPERLINK("https://klasma.github.io/Logging_1781/tillsyn/A 20746-2026 tillsynsbegäran.docx", "A 20746-2026")</f>
        <v/>
      </c>
      <c r="AD21">
        <f>HYPERLINK("https://klasma.github.io/Logging_1781/tillsynsmail/A 20746-2026 tillsynsbegäran mail.docx", "A 20746-2026")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46237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46237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45122-2022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44843</v>
      </c>
      <c r="E24" s="1" t="n">
        <v>46237</v>
      </c>
      <c r="F24" t="inlineStr">
        <is>
          <t>VÄRMLANDS LÄN</t>
        </is>
      </c>
      <c r="G24" t="inlineStr">
        <is>
          <t>KRISTINEHAMN</t>
        </is>
      </c>
      <c r="I24" t="n">
        <v>3.3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Dvärglin</t>
        </is>
      </c>
      <c r="W24">
        <f>HYPERLINK("https://klasma.github.io/Logging_1781/artfynd/A 45122-2022 artfynd.xlsx", "A 45122-2022")</f>
        <v/>
      </c>
      <c r="X24">
        <f>HYPERLINK("https://klasma.github.io/Logging_1781/kartor/A 45122-2022 karta.png", "A 45122-2022")</f>
        <v/>
      </c>
      <c r="Y24">
        <f>HYPERLINK("https://klasma.github.io/Logging_1781/kartor_geotiff/A 45122-2022 georefererad karta.tif", "A 45122-2022")</f>
        <v/>
      </c>
      <c r="AA24">
        <f>HYPERLINK("https://klasma.github.io/Logging_1781/klagomål/A 45122-2022 FSC-klagomål.docx", "A 45122-2022")</f>
        <v/>
      </c>
      <c r="AB24">
        <f>HYPERLINK("https://klasma.github.io/Logging_1781/klagomålsmail/A 45122-2022 FSC-klagomål mail.docx", "A 45122-2022")</f>
        <v/>
      </c>
      <c r="AC24">
        <f>HYPERLINK("https://klasma.github.io/Logging_1781/tillsyn/A 45122-2022 tillsynsbegäran.docx", "A 45122-2022")</f>
        <v/>
      </c>
      <c r="AD24">
        <f>HYPERLINK("https://klasma.github.io/Logging_1781/tillsynsmail/A 45122-2022 tillsynsbegäran mail.docx", "A 45122-2022")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46237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54771-2022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44883</v>
      </c>
      <c r="E26" s="1" t="n">
        <v>46237</v>
      </c>
      <c r="F26" t="inlineStr">
        <is>
          <t>VÄRMLANDS LÄN</t>
        </is>
      </c>
      <c r="G26" t="inlineStr">
        <is>
          <t>KRISTINEHAMN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HYPERLINK("https://klasma.github.io/Logging_1781/artfynd/A 54771-2022 artfynd.xlsx", "A 54771-2022")</f>
        <v/>
      </c>
      <c r="X26">
        <f>HYPERLINK("https://klasma.github.io/Logging_1781/kartor/A 54771-2022 karta.png", "A 54771-2022")</f>
        <v/>
      </c>
      <c r="Y26">
        <f>HYPERLINK("https://klasma.github.io/Logging_1781/kartor_geotiff/A 54771-2022 georefererad karta.tif", "A 54771-2022")</f>
        <v/>
      </c>
      <c r="AA26">
        <f>HYPERLINK("https://klasma.github.io/Logging_1781/klagomål/A 54771-2022 FSC-klagomål.docx", "A 54771-2022")</f>
        <v/>
      </c>
      <c r="AB26">
        <f>HYPERLINK("https://klasma.github.io/Logging_1781/klagomålsmail/A 54771-2022 FSC-klagomål mail.docx", "A 54771-2022")</f>
        <v/>
      </c>
      <c r="AC26">
        <f>HYPERLINK("https://klasma.github.io/Logging_1781/tillsyn/A 54771-2022 tillsynsbegäran.docx", "A 54771-2022")</f>
        <v/>
      </c>
      <c r="AD26">
        <f>HYPERLINK("https://klasma.github.io/Logging_1781/tillsynsmail/A 54771-2022 tillsynsbegäran mail.docx", "A 54771-2022")</f>
        <v/>
      </c>
      <c r="AE26">
        <f>HYPERLINK("https://klasma.github.io/Logging_1781/fåglar/A 54771-2022 prioriterade fågelarter.docx", "A 54771-2022")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46237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13025-2023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46237</v>
      </c>
      <c r="F28" t="inlineStr">
        <is>
          <t>VÄRMLANDS LÄN</t>
        </is>
      </c>
      <c r="G28" t="inlineStr">
        <is>
          <t>KRISTINEHAMN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Kamjordstjärna</t>
        </is>
      </c>
      <c r="W28">
        <f>HYPERLINK("https://klasma.github.io/Logging_1781/artfynd/A 13025-2023 artfynd.xlsx", "A 13025-2023")</f>
        <v/>
      </c>
      <c r="X28">
        <f>HYPERLINK("https://klasma.github.io/Logging_1781/kartor/A 13025-2023 karta.png", "A 13025-2023")</f>
        <v/>
      </c>
      <c r="Y28">
        <f>HYPERLINK("https://klasma.github.io/Logging_1781/kartor_geotiff/A 13025-2023 georefererad karta.tif", "A 13025-2023")</f>
        <v/>
      </c>
      <c r="AA28">
        <f>HYPERLINK("https://klasma.github.io/Logging_1781/klagomål/A 13025-2023 FSC-klagomål.docx", "A 13025-2023")</f>
        <v/>
      </c>
      <c r="AB28">
        <f>HYPERLINK("https://klasma.github.io/Logging_1781/klagomålsmail/A 13025-2023 FSC-klagomål mail.docx", "A 13025-2023")</f>
        <v/>
      </c>
      <c r="AC28">
        <f>HYPERLINK("https://klasma.github.io/Logging_1781/tillsyn/A 13025-2023 tillsynsbegäran.docx", "A 13025-2023")</f>
        <v/>
      </c>
      <c r="AD28">
        <f>HYPERLINK("https://klasma.github.io/Logging_1781/tillsynsmail/A 13025-2023 tillsynsbegäran mail.docx", "A 13025-2023")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46237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Bombmurkla</t>
        </is>
      </c>
      <c r="W29">
        <f>HYPERLINK("https://klasma.github.io/Logging_1781/artfynd/A 12593-2024 artfynd.xlsx", "A 12593-2024")</f>
        <v/>
      </c>
      <c r="X29">
        <f>HYPERLINK("https://klasma.github.io/Logging_1781/kartor/A 12593-2024 karta.png", "A 12593-2024")</f>
        <v/>
      </c>
      <c r="Y29">
        <f>HYPERLINK("https://klasma.github.io/Logging_1781/kartor_geotiff/A 12593-2024 georefererad karta.tif", "A 12593-2024")</f>
        <v/>
      </c>
      <c r="AA29">
        <f>HYPERLINK("https://klasma.github.io/Logging_1781/klagomål/A 12593-2024 FSC-klagomål.docx", "A 12593-2024")</f>
        <v/>
      </c>
      <c r="AB29">
        <f>HYPERLINK("https://klasma.github.io/Logging_1781/klagomålsmail/A 12593-2024 FSC-klagomål mail.docx", "A 12593-2024")</f>
        <v/>
      </c>
      <c r="AC29">
        <f>HYPERLINK("https://klasma.github.io/Logging_1781/tillsyn/A 12593-2024 tillsynsbegäran.docx", "A 12593-2024")</f>
        <v/>
      </c>
      <c r="AD29">
        <f>HYPERLINK("https://klasma.github.io/Logging_1781/tillsynsmail/A 12593-2024 tillsynsbegäran mail.docx", "A 12593-2024")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46237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8714-2024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46237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Bombmurkla</t>
        </is>
      </c>
      <c r="W31">
        <f>HYPERLINK("https://klasma.github.io/Logging_1781/artfynd/A 8714-2024 artfynd.xlsx", "A 8714-2024")</f>
        <v/>
      </c>
      <c r="X31">
        <f>HYPERLINK("https://klasma.github.io/Logging_1781/kartor/A 8714-2024 karta.png", "A 8714-2024")</f>
        <v/>
      </c>
      <c r="Y31">
        <f>HYPERLINK("https://klasma.github.io/Logging_1781/kartor_geotiff/A 8714-2024 georefererad karta.tif", "A 8714-2024")</f>
        <v/>
      </c>
      <c r="AA31">
        <f>HYPERLINK("https://klasma.github.io/Logging_1781/klagomål/A 8714-2024 FSC-klagomål.docx", "A 8714-2024")</f>
        <v/>
      </c>
      <c r="AB31">
        <f>HYPERLINK("https://klasma.github.io/Logging_1781/klagomålsmail/A 8714-2024 FSC-klagomål mail.docx", "A 8714-2024")</f>
        <v/>
      </c>
      <c r="AC31">
        <f>HYPERLINK("https://klasma.github.io/Logging_1781/tillsyn/A 8714-2024 tillsynsbegäran.docx", "A 8714-2024")</f>
        <v/>
      </c>
      <c r="AD31">
        <f>HYPERLINK("https://klasma.github.io/Logging_1781/tillsynsmail/A 8714-2024 tillsynsbegäran mail.docx", "A 8714-2024")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46237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46237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46237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46237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46237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46237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46237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46237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46237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46237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46237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46237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46237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46237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46237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46237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46237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46237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46237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46237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46237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46237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46237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46237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46237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46237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46237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46237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46237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46237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46237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46237</v>
      </c>
      <c r="F63" t="inlineStr">
        <is>
          <t>VÄRMLANDS LÄN</t>
        </is>
      </c>
      <c r="G63" t="inlineStr">
        <is>
          <t>KRISTINEHAMN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46237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46237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46237</v>
      </c>
      <c r="F66" t="inlineStr">
        <is>
          <t>VÄRMLANDS LÄN</t>
        </is>
      </c>
      <c r="G66" t="inlineStr">
        <is>
          <t>KRISTINEHAMN</t>
        </is>
      </c>
      <c r="I66" t="n">
        <v>12.1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47952-2021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46237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46237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46237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46237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46237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46237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46237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46237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46237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46237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46237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46237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46237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46237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46237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46237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46237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46237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46237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46237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46237</v>
      </c>
      <c r="F87" t="inlineStr">
        <is>
          <t>VÄRMLANDS LÄN</t>
        </is>
      </c>
      <c r="G87" t="inlineStr">
        <is>
          <t>KRISTINEHAMN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46237</v>
      </c>
      <c r="F88" t="inlineStr">
        <is>
          <t>VÄRMLANDS LÄN</t>
        </is>
      </c>
      <c r="G88" t="inlineStr">
        <is>
          <t>KRISTINEHAMN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46237</v>
      </c>
      <c r="F89" t="inlineStr">
        <is>
          <t>VÄRMLANDS LÄN</t>
        </is>
      </c>
      <c r="G89" t="inlineStr">
        <is>
          <t>KRISTINEHAMN</t>
        </is>
      </c>
      <c r="I89" t="n">
        <v>11.1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46237</v>
      </c>
      <c r="F90" t="inlineStr">
        <is>
          <t>VÄRMLANDS LÄN</t>
        </is>
      </c>
      <c r="G90" t="inlineStr">
        <is>
          <t>KRISTINEHAMN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46237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45268</v>
      </c>
      <c r="E92" s="1" t="n">
        <v>46237</v>
      </c>
      <c r="F92" t="inlineStr">
        <is>
          <t>VÄRMLANDS LÄN</t>
        </is>
      </c>
      <c r="G92" t="inlineStr">
        <is>
          <t>KRISTINEHAMN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46237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44706</v>
      </c>
      <c r="E94" s="1" t="n">
        <v>46237</v>
      </c>
      <c r="F94" t="inlineStr">
        <is>
          <t>VÄRMLANDS LÄN</t>
        </is>
      </c>
      <c r="G94" t="inlineStr">
        <is>
          <t>KRISTINEHAMN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46237</v>
      </c>
      <c r="F95" t="inlineStr">
        <is>
          <t>VÄRMLANDS LÄN</t>
        </is>
      </c>
      <c r="G95" t="inlineStr">
        <is>
          <t>KRISTINEHAMN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46237</v>
      </c>
      <c r="F96" t="inlineStr">
        <is>
          <t>VÄRMLANDS LÄN</t>
        </is>
      </c>
      <c r="G96" t="inlineStr">
        <is>
          <t>KRISTINEHAMN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44941</v>
      </c>
      <c r="E97" s="1" t="n">
        <v>46237</v>
      </c>
      <c r="F97" t="inlineStr">
        <is>
          <t>VÄRMLANDS LÄN</t>
        </is>
      </c>
      <c r="G97" t="inlineStr">
        <is>
          <t>KRISTINEHAMN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44707</v>
      </c>
      <c r="E98" s="1" t="n">
        <v>46237</v>
      </c>
      <c r="F98" t="inlineStr">
        <is>
          <t>VÄRMLANDS LÄN</t>
        </is>
      </c>
      <c r="G98" t="inlineStr">
        <is>
          <t>KRISTINEHAMN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46237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46237</v>
      </c>
      <c r="F100" t="inlineStr">
        <is>
          <t>VÄRMLANDS LÄN</t>
        </is>
      </c>
      <c r="G100" t="inlineStr">
        <is>
          <t>KRISTINEHAMN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46237</v>
      </c>
      <c r="F101" t="inlineStr">
        <is>
          <t>VÄRMLANDS LÄN</t>
        </is>
      </c>
      <c r="G101" t="inlineStr">
        <is>
          <t>KRISTINEHAMN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46237</v>
      </c>
      <c r="F102" t="inlineStr">
        <is>
          <t>VÄRMLANDS LÄN</t>
        </is>
      </c>
      <c r="G102" t="inlineStr">
        <is>
          <t>KRISTINEHAMN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44591</v>
      </c>
      <c r="E103" s="1" t="n">
        <v>46237</v>
      </c>
      <c r="F103" t="inlineStr">
        <is>
          <t>VÄRMLANDS LÄN</t>
        </is>
      </c>
      <c r="G103" t="inlineStr">
        <is>
          <t>KRISTINEHAMN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46237</v>
      </c>
      <c r="F104" t="inlineStr">
        <is>
          <t>VÄRMLANDS LÄN</t>
        </is>
      </c>
      <c r="G104" t="inlineStr">
        <is>
          <t>KRISTINEHAMN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46237</v>
      </c>
      <c r="F105" t="inlineStr">
        <is>
          <t>VÄRMLANDS LÄN</t>
        </is>
      </c>
      <c r="G105" t="inlineStr">
        <is>
          <t>KRISTINEHAMN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46237</v>
      </c>
      <c r="F106" t="inlineStr">
        <is>
          <t>VÄRMLANDS LÄN</t>
        </is>
      </c>
      <c r="G106" t="inlineStr">
        <is>
          <t>KRISTINEHAMN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44651</v>
      </c>
      <c r="E107" s="1" t="n">
        <v>46237</v>
      </c>
      <c r="F107" t="inlineStr">
        <is>
          <t>VÄRMLANDS LÄN</t>
        </is>
      </c>
      <c r="G107" t="inlineStr">
        <is>
          <t>KRISTINEHAMN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46237</v>
      </c>
      <c r="F108" t="inlineStr">
        <is>
          <t>VÄRMLANDS LÄN</t>
        </is>
      </c>
      <c r="G108" t="inlineStr">
        <is>
          <t>KRISTINEHAMN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46237</v>
      </c>
      <c r="F109" t="inlineStr">
        <is>
          <t>VÄRMLANDS LÄN</t>
        </is>
      </c>
      <c r="G109" t="inlineStr">
        <is>
          <t>KRISTINEHAMN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46237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46237</v>
      </c>
      <c r="F111" t="inlineStr">
        <is>
          <t>VÄRMLANDS LÄN</t>
        </is>
      </c>
      <c r="G111" t="inlineStr">
        <is>
          <t>KRISTINEHAMN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46237</v>
      </c>
      <c r="F112" t="inlineStr">
        <is>
          <t>VÄRMLANDS LÄN</t>
        </is>
      </c>
      <c r="G112" t="inlineStr">
        <is>
          <t>KRISTINEHAMN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46237</v>
      </c>
      <c r="F113" t="inlineStr">
        <is>
          <t>VÄRMLANDS LÄN</t>
        </is>
      </c>
      <c r="G113" t="inlineStr">
        <is>
          <t>KRISTINEHAMN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46237</v>
      </c>
      <c r="F114" t="inlineStr">
        <is>
          <t>VÄRMLANDS LÄN</t>
        </is>
      </c>
      <c r="G114" t="inlineStr">
        <is>
          <t>KRISTINEHAMN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45202</v>
      </c>
      <c r="E115" s="1" t="n">
        <v>46237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45302</v>
      </c>
      <c r="E116" s="1" t="n">
        <v>46237</v>
      </c>
      <c r="F116" t="inlineStr">
        <is>
          <t>VÄRMLANDS LÄN</t>
        </is>
      </c>
      <c r="G116" t="inlineStr">
        <is>
          <t>KRISTINEHAMN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46237</v>
      </c>
      <c r="F117" t="inlineStr">
        <is>
          <t>VÄRMLANDS LÄN</t>
        </is>
      </c>
      <c r="G117" t="inlineStr">
        <is>
          <t>KRISTINEHAMN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46237</v>
      </c>
      <c r="F118" t="inlineStr">
        <is>
          <t>VÄRMLANDS LÄN</t>
        </is>
      </c>
      <c r="G118" t="inlineStr">
        <is>
          <t>KRISTINEHAMN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44770</v>
      </c>
      <c r="E119" s="1" t="n">
        <v>46237</v>
      </c>
      <c r="F119" t="inlineStr">
        <is>
          <t>VÄRMLANDS LÄN</t>
        </is>
      </c>
      <c r="G119" t="inlineStr">
        <is>
          <t>KRISTINEHAMN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46237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46237</v>
      </c>
      <c r="F121" t="inlineStr">
        <is>
          <t>VÄRMLANDS LÄN</t>
        </is>
      </c>
      <c r="G121" t="inlineStr">
        <is>
          <t>KRISTINEHAMN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45593</v>
      </c>
      <c r="E122" s="1" t="n">
        <v>46237</v>
      </c>
      <c r="F122" t="inlineStr">
        <is>
          <t>VÄRMLANDS LÄN</t>
        </is>
      </c>
      <c r="G122" t="inlineStr">
        <is>
          <t>KRISTINEHAMN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46237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46237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32569-2023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45121</v>
      </c>
      <c r="E125" s="1" t="n">
        <v>46237</v>
      </c>
      <c r="F125" t="inlineStr">
        <is>
          <t>VÄRMLANDS LÄN</t>
        </is>
      </c>
      <c r="G125" t="inlineStr">
        <is>
          <t>KRISTINEHAMN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45095</v>
      </c>
      <c r="E126" s="1" t="n">
        <v>46237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46237</v>
      </c>
      <c r="F127" t="inlineStr">
        <is>
          <t>VÄRMLANDS LÄN</t>
        </is>
      </c>
      <c r="G127" t="inlineStr">
        <is>
          <t>KRISTINEHAMN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46237</v>
      </c>
      <c r="F128" t="inlineStr">
        <is>
          <t>VÄRMLANDS LÄN</t>
        </is>
      </c>
      <c r="G128" t="inlineStr">
        <is>
          <t>KRISTINEHAMN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46237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46237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46237</v>
      </c>
      <c r="F131" t="inlineStr">
        <is>
          <t>VÄRMLANDS LÄN</t>
        </is>
      </c>
      <c r="G131" t="inlineStr">
        <is>
          <t>KRISTINEHAMN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46237</v>
      </c>
      <c r="F132" t="inlineStr">
        <is>
          <t>VÄRMLANDS LÄN</t>
        </is>
      </c>
      <c r="G132" t="inlineStr">
        <is>
          <t>KRISTINEHAMN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46237</v>
      </c>
      <c r="F133" t="inlineStr">
        <is>
          <t>VÄRMLANDS LÄN</t>
        </is>
      </c>
      <c r="G133" t="inlineStr">
        <is>
          <t>KRISTINEHAMN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46237</v>
      </c>
      <c r="F134" t="inlineStr">
        <is>
          <t>VÄRMLANDS LÄN</t>
        </is>
      </c>
      <c r="G134" t="inlineStr">
        <is>
          <t>KRISTINEHAMN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46237</v>
      </c>
      <c r="F135" t="inlineStr">
        <is>
          <t>VÄRMLANDS LÄN</t>
        </is>
      </c>
      <c r="G135" t="inlineStr">
        <is>
          <t>KRISTINEHAMN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45393</v>
      </c>
      <c r="E136" s="1" t="n">
        <v>46237</v>
      </c>
      <c r="F136" t="inlineStr">
        <is>
          <t>VÄRMLANDS LÄN</t>
        </is>
      </c>
      <c r="G136" t="inlineStr">
        <is>
          <t>KRISTINEHAMN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46237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46237</v>
      </c>
      <c r="F138" t="inlineStr">
        <is>
          <t>VÄRMLANDS LÄN</t>
        </is>
      </c>
      <c r="G138" t="inlineStr">
        <is>
          <t>KRISTINEHAMN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46237</v>
      </c>
      <c r="F139" t="inlineStr">
        <is>
          <t>VÄRMLANDS LÄN</t>
        </is>
      </c>
      <c r="G139" t="inlineStr">
        <is>
          <t>KRISTINEHAMN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48416-2021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44452</v>
      </c>
      <c r="E140" s="1" t="n">
        <v>46237</v>
      </c>
      <c r="F140" t="inlineStr">
        <is>
          <t>VÄRMLANDS LÄN</t>
        </is>
      </c>
      <c r="G140" t="inlineStr">
        <is>
          <t>KRISTINEHAMN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46237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46237</v>
      </c>
      <c r="F142" t="inlineStr">
        <is>
          <t>VÄRMLANDS LÄN</t>
        </is>
      </c>
      <c r="G142" t="inlineStr">
        <is>
          <t>KRISTINEHAMN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46237</v>
      </c>
      <c r="F143" t="inlineStr">
        <is>
          <t>VÄRMLANDS LÄN</t>
        </is>
      </c>
      <c r="G143" t="inlineStr">
        <is>
          <t>KRISTINEHAMN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46237</v>
      </c>
      <c r="F144" t="inlineStr">
        <is>
          <t>VÄRMLANDS LÄN</t>
        </is>
      </c>
      <c r="G144" t="inlineStr">
        <is>
          <t>KRISTINEHAMN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46237</v>
      </c>
      <c r="F145" t="inlineStr">
        <is>
          <t>VÄRMLANDS LÄN</t>
        </is>
      </c>
      <c r="G145" t="inlineStr">
        <is>
          <t>KRISTINEHAMN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46237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46237</v>
      </c>
      <c r="F147" t="inlineStr">
        <is>
          <t>VÄRMLANDS LÄN</t>
        </is>
      </c>
      <c r="G147" t="inlineStr">
        <is>
          <t>KRISTINEHAMN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46237</v>
      </c>
      <c r="F148" t="inlineStr">
        <is>
          <t>VÄRMLANDS LÄN</t>
        </is>
      </c>
      <c r="G148" t="inlineStr">
        <is>
          <t>KRISTINEHAMN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46237</v>
      </c>
      <c r="F149" t="inlineStr">
        <is>
          <t>VÄRMLANDS LÄN</t>
        </is>
      </c>
      <c r="G149" t="inlineStr">
        <is>
          <t>KRISTINEHAMN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46237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46237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Bergvik skog väst AB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46237</v>
      </c>
      <c r="F152" t="inlineStr">
        <is>
          <t>VÄRMLANDS LÄN</t>
        </is>
      </c>
      <c r="G152" t="inlineStr">
        <is>
          <t>KRISTINEHAMN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46237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46237</v>
      </c>
      <c r="F154" t="inlineStr">
        <is>
          <t>VÄRMLANDS LÄN</t>
        </is>
      </c>
      <c r="G154" t="inlineStr">
        <is>
          <t>KRISTINEHAMN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46237</v>
      </c>
      <c r="F155" t="inlineStr">
        <is>
          <t>VÄRMLANDS LÄN</t>
        </is>
      </c>
      <c r="G155" t="inlineStr">
        <is>
          <t>KRISTINEHAMN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46237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46237</v>
      </c>
      <c r="F157" t="inlineStr">
        <is>
          <t>VÄRMLANDS LÄN</t>
        </is>
      </c>
      <c r="G157" t="inlineStr">
        <is>
          <t>KRISTINEHAMN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46237</v>
      </c>
      <c r="F158" t="inlineStr">
        <is>
          <t>VÄRMLANDS LÄN</t>
        </is>
      </c>
      <c r="G158" t="inlineStr">
        <is>
          <t>KRISTINEHAMN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46237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46237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46237</v>
      </c>
      <c r="F161" t="inlineStr">
        <is>
          <t>VÄRMLANDS LÄN</t>
        </is>
      </c>
      <c r="G161" t="inlineStr">
        <is>
          <t>KRISTINEHAMN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46237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46237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46237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45127</v>
      </c>
      <c r="E165" s="1" t="n">
        <v>46237</v>
      </c>
      <c r="F165" t="inlineStr">
        <is>
          <t>VÄRMLANDS LÄN</t>
        </is>
      </c>
      <c r="G165" t="inlineStr">
        <is>
          <t>KRISTINEHAMN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46237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46237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46237</v>
      </c>
      <c r="F168" t="inlineStr">
        <is>
          <t>VÄRMLANDS LÄN</t>
        </is>
      </c>
      <c r="G168" t="inlineStr">
        <is>
          <t>KRISTINEHAMN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46237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46237</v>
      </c>
      <c r="F170" t="inlineStr">
        <is>
          <t>VÄRMLANDS LÄN</t>
        </is>
      </c>
      <c r="G170" t="inlineStr">
        <is>
          <t>KRISTINEHAMN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44722</v>
      </c>
      <c r="E171" s="1" t="n">
        <v>46237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46237</v>
      </c>
      <c r="F172" t="inlineStr">
        <is>
          <t>VÄRMLANDS LÄN</t>
        </is>
      </c>
      <c r="G172" t="inlineStr">
        <is>
          <t>KRISTINEHAMN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46237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46237</v>
      </c>
      <c r="F174" t="inlineStr">
        <is>
          <t>VÄRMLANDS LÄN</t>
        </is>
      </c>
      <c r="G174" t="inlineStr">
        <is>
          <t>KRISTINEHAMN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46237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46237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44466</v>
      </c>
      <c r="E177" s="1" t="n">
        <v>46237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46237</v>
      </c>
      <c r="F178" t="inlineStr">
        <is>
          <t>VÄRMLANDS LÄN</t>
        </is>
      </c>
      <c r="G178" t="inlineStr">
        <is>
          <t>KRISTINEHAMN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46237</v>
      </c>
      <c r="F179" t="inlineStr">
        <is>
          <t>VÄRMLANDS LÄN</t>
        </is>
      </c>
      <c r="G179" t="inlineStr">
        <is>
          <t>KRISTINEHAMN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46237</v>
      </c>
      <c r="F180" t="inlineStr">
        <is>
          <t>VÄRMLANDS LÄN</t>
        </is>
      </c>
      <c r="G180" t="inlineStr">
        <is>
          <t>KRISTINEHAMN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46237</v>
      </c>
      <c r="F181" t="inlineStr">
        <is>
          <t>VÄRMLANDS LÄN</t>
        </is>
      </c>
      <c r="G181" t="inlineStr">
        <is>
          <t>KRISTINEHAMN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46237</v>
      </c>
      <c r="F182" t="inlineStr">
        <is>
          <t>VÄRMLANDS LÄN</t>
        </is>
      </c>
      <c r="G182" t="inlineStr">
        <is>
          <t>KRISTINEHAMN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46237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46237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46237</v>
      </c>
      <c r="F185" t="inlineStr">
        <is>
          <t>VÄRMLANDS LÄN</t>
        </is>
      </c>
      <c r="G185" t="inlineStr">
        <is>
          <t>KRISTINEHAMN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46237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46237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41297-2021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44424</v>
      </c>
      <c r="E188" s="1" t="n">
        <v>46237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46237</v>
      </c>
      <c r="F189" t="inlineStr">
        <is>
          <t>VÄRMLANDS LÄN</t>
        </is>
      </c>
      <c r="G189" t="inlineStr">
        <is>
          <t>KRISTINEHAMN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46237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46237</v>
      </c>
      <c r="F191" t="inlineStr">
        <is>
          <t>VÄRMLANDS LÄN</t>
        </is>
      </c>
      <c r="G191" t="inlineStr">
        <is>
          <t>KRISTINEHAMN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46237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46237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Kommuner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46237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44712</v>
      </c>
      <c r="E195" s="1" t="n">
        <v>46237</v>
      </c>
      <c r="F195" t="inlineStr">
        <is>
          <t>VÄRMLANDS LÄN</t>
        </is>
      </c>
      <c r="G195" t="inlineStr">
        <is>
          <t>KRISTINEHAMN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44526</v>
      </c>
      <c r="E196" s="1" t="n">
        <v>46237</v>
      </c>
      <c r="F196" t="inlineStr">
        <is>
          <t>VÄRMLANDS LÄN</t>
        </is>
      </c>
      <c r="G196" t="inlineStr">
        <is>
          <t>KRISTINEHAMN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68530-2021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44526</v>
      </c>
      <c r="E197" s="1" t="n">
        <v>46237</v>
      </c>
      <c r="F197" t="inlineStr">
        <is>
          <t>VÄRMLANDS LÄN</t>
        </is>
      </c>
      <c r="G197" t="inlineStr">
        <is>
          <t>KRISTINEHAMN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46237</v>
      </c>
      <c r="F198" t="inlineStr">
        <is>
          <t>VÄRMLANDS LÄN</t>
        </is>
      </c>
      <c r="G198" t="inlineStr">
        <is>
          <t>KRISTINEHAMN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46237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Kommuner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44595</v>
      </c>
      <c r="E200" s="1" t="n">
        <v>46237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46150</v>
      </c>
      <c r="E201" s="1" t="n">
        <v>46237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22060-2026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46149</v>
      </c>
      <c r="E202" s="1" t="n">
        <v>46237</v>
      </c>
      <c r="F202" t="inlineStr">
        <is>
          <t>VÄRMLANDS LÄN</t>
        </is>
      </c>
      <c r="G202" t="inlineStr">
        <is>
          <t>KRISTINEHAMN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46237</v>
      </c>
      <c r="F203" t="inlineStr">
        <is>
          <t>VÄRMLANDS LÄN</t>
        </is>
      </c>
      <c r="G203" t="inlineStr">
        <is>
          <t>KRISTINEHAMN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46150</v>
      </c>
      <c r="E204" s="1" t="n">
        <v>46237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45662</v>
      </c>
      <c r="E205" s="1" t="n">
        <v>46237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44924</v>
      </c>
      <c r="E206" s="1" t="n">
        <v>46237</v>
      </c>
      <c r="F206" t="inlineStr">
        <is>
          <t>VÄRMLANDS LÄN</t>
        </is>
      </c>
      <c r="G206" t="inlineStr">
        <is>
          <t>KRISTINEHAMN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46237</v>
      </c>
      <c r="F207" t="inlineStr">
        <is>
          <t>VÄRMLANDS LÄN</t>
        </is>
      </c>
      <c r="G207" t="inlineStr">
        <is>
          <t>KRISTINEHAMN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46237</v>
      </c>
      <c r="F208" t="inlineStr">
        <is>
          <t>VÄRMLANDS LÄN</t>
        </is>
      </c>
      <c r="G208" t="inlineStr">
        <is>
          <t>KRISTINEHAMN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46237</v>
      </c>
      <c r="F209" t="inlineStr">
        <is>
          <t>VÄRMLANDS LÄN</t>
        </is>
      </c>
      <c r="G209" t="inlineStr">
        <is>
          <t>KRISTINEHAMN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46237</v>
      </c>
      <c r="F210" t="inlineStr">
        <is>
          <t>VÄRMLANDS LÄN</t>
        </is>
      </c>
      <c r="G210" t="inlineStr">
        <is>
          <t>KRISTINEHAMN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46237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46237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46237</v>
      </c>
      <c r="F213" t="inlineStr">
        <is>
          <t>VÄRMLANDS LÄN</t>
        </is>
      </c>
      <c r="G213" t="inlineStr">
        <is>
          <t>KRISTINEHAMN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46237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46237</v>
      </c>
      <c r="F215" t="inlineStr">
        <is>
          <t>VÄRMLANDS LÄN</t>
        </is>
      </c>
      <c r="G215" t="inlineStr">
        <is>
          <t>KRISTINEHAMN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46237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46237</v>
      </c>
      <c r="F217" t="inlineStr">
        <is>
          <t>VÄRMLANDS LÄN</t>
        </is>
      </c>
      <c r="G217" t="inlineStr">
        <is>
          <t>KRISTINEHAMN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46237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46237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46237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46237</v>
      </c>
      <c r="F221" t="inlineStr">
        <is>
          <t>VÄRMLANDS LÄN</t>
        </is>
      </c>
      <c r="G221" t="inlineStr">
        <is>
          <t>KRISTINEHAMN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46237</v>
      </c>
      <c r="F222" t="inlineStr">
        <is>
          <t>VÄRMLANDS LÄN</t>
        </is>
      </c>
      <c r="G222" t="inlineStr">
        <is>
          <t>KRISTINEHAMN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46237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46237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45961</v>
      </c>
      <c r="E225" s="1" t="n">
        <v>46237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45666</v>
      </c>
      <c r="E226" s="1" t="n">
        <v>46237</v>
      </c>
      <c r="F226" t="inlineStr">
        <is>
          <t>VÄRMLANDS LÄN</t>
        </is>
      </c>
      <c r="G226" t="inlineStr">
        <is>
          <t>KRISTINEHAMN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45961</v>
      </c>
      <c r="E227" s="1" t="n">
        <v>46237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45022</v>
      </c>
      <c r="E228" s="1" t="n">
        <v>46237</v>
      </c>
      <c r="F228" t="inlineStr">
        <is>
          <t>VÄRMLANDS LÄN</t>
        </is>
      </c>
      <c r="G228" t="inlineStr">
        <is>
          <t>KRISTINEHAMN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45341</v>
      </c>
      <c r="E229" s="1" t="n">
        <v>46237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45341</v>
      </c>
      <c r="E230" s="1" t="n">
        <v>46237</v>
      </c>
      <c r="F230" t="inlineStr">
        <is>
          <t>VÄRMLANDS LÄN</t>
        </is>
      </c>
      <c r="G230" t="inlineStr">
        <is>
          <t>KRISTINEHAMN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46237</v>
      </c>
      <c r="F231" t="inlineStr">
        <is>
          <t>VÄRMLANDS LÄN</t>
        </is>
      </c>
      <c r="G231" t="inlineStr">
        <is>
          <t>KRISTINEHAMN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46237</v>
      </c>
      <c r="F232" t="inlineStr">
        <is>
          <t>VÄRMLANDS LÄN</t>
        </is>
      </c>
      <c r="G232" t="inlineStr">
        <is>
          <t>KRISTINEHAMN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45442</v>
      </c>
      <c r="E233" s="1" t="n">
        <v>46237</v>
      </c>
      <c r="F233" t="inlineStr">
        <is>
          <t>VÄRMLANDS LÄN</t>
        </is>
      </c>
      <c r="G233" t="inlineStr">
        <is>
          <t>KRISTINEHAMN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46237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45647</v>
      </c>
      <c r="E235" s="1" t="n">
        <v>46237</v>
      </c>
      <c r="F235" t="inlineStr">
        <is>
          <t>VÄRMLANDS LÄN</t>
        </is>
      </c>
      <c r="G235" t="inlineStr">
        <is>
          <t>KRISTINEHAMN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44473</v>
      </c>
      <c r="E236" s="1" t="n">
        <v>46237</v>
      </c>
      <c r="F236" t="inlineStr">
        <is>
          <t>VÄRMLANDS LÄN</t>
        </is>
      </c>
      <c r="G236" t="inlineStr">
        <is>
          <t>KRISTINEHAMN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46237</v>
      </c>
      <c r="F237" t="inlineStr">
        <is>
          <t>VÄRMLANDS LÄN</t>
        </is>
      </c>
      <c r="G237" t="inlineStr">
        <is>
          <t>KRISTINEHAMN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41857-2023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45176</v>
      </c>
      <c r="E238" s="1" t="n">
        <v>46237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45686</v>
      </c>
      <c r="E239" s="1" t="n">
        <v>46237</v>
      </c>
      <c r="F239" t="inlineStr">
        <is>
          <t>VÄRMLANDS LÄN</t>
        </is>
      </c>
      <c r="G239" t="inlineStr">
        <is>
          <t>KRISTINEHAMN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56315-2025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45974</v>
      </c>
      <c r="E240" s="1" t="n">
        <v>46237</v>
      </c>
      <c r="F240" t="inlineStr">
        <is>
          <t>VÄRMLANDS LÄN</t>
        </is>
      </c>
      <c r="G240" t="inlineStr">
        <is>
          <t>KRISTINEHAMN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46237</v>
      </c>
      <c r="F241" t="inlineStr">
        <is>
          <t>VÄRMLANDS LÄN</t>
        </is>
      </c>
      <c r="G241" t="inlineStr">
        <is>
          <t>KRISTINEHAMN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46161</v>
      </c>
      <c r="E242" s="1" t="n">
        <v>46237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70126-2021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44533</v>
      </c>
      <c r="E243" s="1" t="n">
        <v>46237</v>
      </c>
      <c r="F243" t="inlineStr">
        <is>
          <t>VÄRMLANDS LÄN</t>
        </is>
      </c>
      <c r="G243" t="inlineStr">
        <is>
          <t>KRISTINEHAMN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45450</v>
      </c>
      <c r="E244" s="1" t="n">
        <v>46237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46237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46237</v>
      </c>
      <c r="F246" t="inlineStr">
        <is>
          <t>VÄRMLANDS LÄN</t>
        </is>
      </c>
      <c r="G246" t="inlineStr">
        <is>
          <t>KRISTINEHAMN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46237</v>
      </c>
      <c r="F247" t="inlineStr">
        <is>
          <t>VÄRMLANDS LÄN</t>
        </is>
      </c>
      <c r="G247" t="inlineStr">
        <is>
          <t>KRISTINEHAMN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46237</v>
      </c>
      <c r="F248" t="inlineStr">
        <is>
          <t>VÄRMLANDS LÄN</t>
        </is>
      </c>
      <c r="G248" t="inlineStr">
        <is>
          <t>KRISTINEHAMN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45072</v>
      </c>
      <c r="E249" s="1" t="n">
        <v>46237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44847</v>
      </c>
      <c r="E250" s="1" t="n">
        <v>46237</v>
      </c>
      <c r="F250" t="inlineStr">
        <is>
          <t>VÄRMLANDS LÄN</t>
        </is>
      </c>
      <c r="G250" t="inlineStr">
        <is>
          <t>KRISTINEHAMN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46237</v>
      </c>
      <c r="F251" t="inlineStr">
        <is>
          <t>VÄRMLANDS LÄN</t>
        </is>
      </c>
      <c r="G251" t="inlineStr">
        <is>
          <t>KRISTINEHAMN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49335-2021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46237</v>
      </c>
      <c r="F252" t="inlineStr">
        <is>
          <t>VÄRMLANDS LÄN</t>
        </is>
      </c>
      <c r="G252" t="inlineStr">
        <is>
          <t>KRISTINEHAMN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45226</v>
      </c>
      <c r="E253" s="1" t="n">
        <v>46237</v>
      </c>
      <c r="F253" t="inlineStr">
        <is>
          <t>VÄRMLANDS LÄN</t>
        </is>
      </c>
      <c r="G253" t="inlineStr">
        <is>
          <t>KRISTINEHAMN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46237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54603-2021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46237</v>
      </c>
      <c r="F255" t="inlineStr">
        <is>
          <t>VÄRMLANDS LÄN</t>
        </is>
      </c>
      <c r="G255" t="inlineStr">
        <is>
          <t>KRISTINEHAMN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45076</v>
      </c>
      <c r="E256" s="1" t="n">
        <v>46237</v>
      </c>
      <c r="F256" t="inlineStr">
        <is>
          <t>VÄRMLANDS LÄN</t>
        </is>
      </c>
      <c r="G256" t="inlineStr">
        <is>
          <t>KRISTINEHAMN</t>
        </is>
      </c>
      <c r="I256" t="n">
        <v>15.9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68505-2021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46237</v>
      </c>
      <c r="F257" t="inlineStr">
        <is>
          <t>VÄRMLANDS LÄN</t>
        </is>
      </c>
      <c r="G257" t="inlineStr">
        <is>
          <t>KRISTINEHAMN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46237</v>
      </c>
      <c r="F258" t="inlineStr">
        <is>
          <t>VÄRMLANDS LÄN</t>
        </is>
      </c>
      <c r="G258" t="inlineStr">
        <is>
          <t>KRISTINEHAMN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46237</v>
      </c>
      <c r="F259" t="inlineStr">
        <is>
          <t>VÄRMLANDS LÄN</t>
        </is>
      </c>
      <c r="G259" t="inlineStr">
        <is>
          <t>KRISTINEHAMN</t>
        </is>
      </c>
      <c r="I259" t="n">
        <v>19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45995</v>
      </c>
      <c r="E260" s="1" t="n">
        <v>46237</v>
      </c>
      <c r="F260" t="inlineStr">
        <is>
          <t>VÄRMLANDS LÄN</t>
        </is>
      </c>
      <c r="G260" t="inlineStr">
        <is>
          <t>KRISTINEHAMN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44923</v>
      </c>
      <c r="E261" s="1" t="n">
        <v>46237</v>
      </c>
      <c r="F261" t="inlineStr">
        <is>
          <t>VÄRMLANDS LÄN</t>
        </is>
      </c>
      <c r="G261" t="inlineStr">
        <is>
          <t>KRISTINEHAMN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45272</v>
      </c>
      <c r="E262" s="1" t="n">
        <v>46237</v>
      </c>
      <c r="F262" t="inlineStr">
        <is>
          <t>VÄRMLANDS LÄN</t>
        </is>
      </c>
      <c r="G262" t="inlineStr">
        <is>
          <t>KRISTINEHAMN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46205</v>
      </c>
      <c r="E263" s="1" t="n">
        <v>46237</v>
      </c>
      <c r="F263" t="inlineStr">
        <is>
          <t>VÄRMLANDS LÄN</t>
        </is>
      </c>
      <c r="G263" t="inlineStr">
        <is>
          <t>KRISTINEHAMN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46237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46237</v>
      </c>
      <c r="F265" t="inlineStr">
        <is>
          <t>VÄRMLANDS LÄN</t>
        </is>
      </c>
      <c r="G265" t="inlineStr">
        <is>
          <t>KRISTINEHAMN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46237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Bergvik skog väst AB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46237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46237</v>
      </c>
      <c r="F268" t="inlineStr">
        <is>
          <t>VÄRMLANDS LÄN</t>
        </is>
      </c>
      <c r="G268" t="inlineStr">
        <is>
          <t>KRISTINEHAMN</t>
        </is>
      </c>
      <c r="I268" t="n">
        <v>8.4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46237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Naturvårdsverket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45081</v>
      </c>
      <c r="E270" s="1" t="n">
        <v>46237</v>
      </c>
      <c r="F270" t="inlineStr">
        <is>
          <t>VÄRMLANDS LÄN</t>
        </is>
      </c>
      <c r="G270" t="inlineStr">
        <is>
          <t>KRISTINEHAMN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46237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46237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46237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Bergvik skog väst AB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46237</v>
      </c>
      <c r="F274" t="inlineStr">
        <is>
          <t>VÄRMLANDS LÄN</t>
        </is>
      </c>
      <c r="G274" t="inlineStr">
        <is>
          <t>KRISTINEHAMN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46237</v>
      </c>
      <c r="F275" t="inlineStr">
        <is>
          <t>VÄRMLANDS LÄN</t>
        </is>
      </c>
      <c r="G275" t="inlineStr">
        <is>
          <t>KRISTINEHAMN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46237</v>
      </c>
      <c r="F276" t="inlineStr">
        <is>
          <t>VÄRMLANDS LÄN</t>
        </is>
      </c>
      <c r="G276" t="inlineStr">
        <is>
          <t>KRISTINEHAMN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45068</v>
      </c>
      <c r="E277" s="1" t="n">
        <v>46237</v>
      </c>
      <c r="F277" t="inlineStr">
        <is>
          <t>VÄRMLANDS LÄN</t>
        </is>
      </c>
      <c r="G277" t="inlineStr">
        <is>
          <t>KRISTINEHAMN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46237</v>
      </c>
      <c r="F278" t="inlineStr">
        <is>
          <t>VÄRMLANDS LÄN</t>
        </is>
      </c>
      <c r="G278" t="inlineStr">
        <is>
          <t>KRISTINEHAMN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45679</v>
      </c>
      <c r="E279" s="1" t="n">
        <v>46237</v>
      </c>
      <c r="F279" t="inlineStr">
        <is>
          <t>VÄRMLANDS LÄN</t>
        </is>
      </c>
      <c r="G279" t="inlineStr">
        <is>
          <t>KRISTINEHAMN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46237</v>
      </c>
      <c r="F280" t="inlineStr">
        <is>
          <t>VÄRMLANDS LÄN</t>
        </is>
      </c>
      <c r="G280" t="inlineStr">
        <is>
          <t>KRISTINEHAMN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46237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46237</v>
      </c>
      <c r="F282" t="inlineStr">
        <is>
          <t>VÄRMLANDS LÄN</t>
        </is>
      </c>
      <c r="G282" t="inlineStr">
        <is>
          <t>KRISTINEHAMN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46237</v>
      </c>
      <c r="F283" t="inlineStr">
        <is>
          <t>VÄRMLANDS LÄN</t>
        </is>
      </c>
      <c r="G283" t="inlineStr">
        <is>
          <t>KRISTINEHAMN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46237</v>
      </c>
      <c r="F284" t="inlineStr">
        <is>
          <t>VÄRMLANDS LÄN</t>
        </is>
      </c>
      <c r="G284" t="inlineStr">
        <is>
          <t>KRISTINEHAMN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63016-2025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46237</v>
      </c>
      <c r="F285" t="inlineStr">
        <is>
          <t>VÄRMLANDS LÄN</t>
        </is>
      </c>
      <c r="G285" t="inlineStr">
        <is>
          <t>KRISTINEHAMN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46237</v>
      </c>
      <c r="F286" t="inlineStr">
        <is>
          <t>VÄRMLANDS LÄN</t>
        </is>
      </c>
      <c r="G286" t="inlineStr">
        <is>
          <t>KRISTINEHAMN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46237</v>
      </c>
      <c r="F287" t="inlineStr">
        <is>
          <t>VÄRMLANDS LÄN</t>
        </is>
      </c>
      <c r="G287" t="inlineStr">
        <is>
          <t>KRISTINEHAMN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46237</v>
      </c>
      <c r="F288" t="inlineStr">
        <is>
          <t>VÄRMLANDS LÄN</t>
        </is>
      </c>
      <c r="G288" t="inlineStr">
        <is>
          <t>KRISTINEHAMN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46237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46237</v>
      </c>
      <c r="F290" t="inlineStr">
        <is>
          <t>VÄRMLANDS LÄN</t>
        </is>
      </c>
      <c r="G290" t="inlineStr">
        <is>
          <t>KRISTINEHAMN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24570-2026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46170</v>
      </c>
      <c r="E291" s="1" t="n">
        <v>46237</v>
      </c>
      <c r="F291" t="inlineStr">
        <is>
          <t>VÄRMLANDS LÄN</t>
        </is>
      </c>
      <c r="G291" t="inlineStr">
        <is>
          <t>KRISTINEHAMN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45081</v>
      </c>
      <c r="E292" s="1" t="n">
        <v>46237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46237</v>
      </c>
      <c r="F293" t="inlineStr">
        <is>
          <t>VÄRMLANDS LÄN</t>
        </is>
      </c>
      <c r="G293" t="inlineStr">
        <is>
          <t>KRISTINEHAMN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46237</v>
      </c>
      <c r="F294" t="inlineStr">
        <is>
          <t>VÄRMLANDS LÄN</t>
        </is>
      </c>
      <c r="G294" t="inlineStr">
        <is>
          <t>KRISTINEHAMN</t>
        </is>
      </c>
      <c r="I294" t="n">
        <v>19.4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46237</v>
      </c>
      <c r="F295" t="inlineStr">
        <is>
          <t>VÄRMLANDS LÄN</t>
        </is>
      </c>
      <c r="G295" t="inlineStr">
        <is>
          <t>KRISTINEHAMN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46237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46237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Kommuner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46237</v>
      </c>
      <c r="F298" t="inlineStr">
        <is>
          <t>VÄRMLANDS LÄN</t>
        </is>
      </c>
      <c r="G298" t="inlineStr">
        <is>
          <t>KRISTINEHAMN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46237</v>
      </c>
      <c r="F299" t="inlineStr">
        <is>
          <t>VÄRMLANDS LÄN</t>
        </is>
      </c>
      <c r="G299" t="inlineStr">
        <is>
          <t>KRISTINEHAMN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45379</v>
      </c>
      <c r="E300" s="1" t="n">
        <v>46237</v>
      </c>
      <c r="F300" t="inlineStr">
        <is>
          <t>VÄRMLANDS LÄN</t>
        </is>
      </c>
      <c r="G300" t="inlineStr">
        <is>
          <t>KRISTINEHAMN</t>
        </is>
      </c>
      <c r="I300" t="n">
        <v>12.6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46237</v>
      </c>
      <c r="F301" t="inlineStr">
        <is>
          <t>VÄRMLANDS LÄN</t>
        </is>
      </c>
      <c r="G301" t="inlineStr">
        <is>
          <t>KRISTINEHAMN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13459-2024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45387</v>
      </c>
      <c r="E302" s="1" t="n">
        <v>46237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Naturvårdsverket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25258-2026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46175</v>
      </c>
      <c r="E303" s="1" t="n">
        <v>46237</v>
      </c>
      <c r="F303" t="inlineStr">
        <is>
          <t>VÄRMLANDS LÄN</t>
        </is>
      </c>
      <c r="G303" t="inlineStr">
        <is>
          <t>KRISTINEHAMN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46237</v>
      </c>
      <c r="F304" t="inlineStr">
        <is>
          <t>VÄRMLANDS LÄN</t>
        </is>
      </c>
      <c r="G304" t="inlineStr">
        <is>
          <t>KRISTINEHAMN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46237</v>
      </c>
      <c r="F305" t="inlineStr">
        <is>
          <t>VÄRMLANDS LÄN</t>
        </is>
      </c>
      <c r="G305" t="inlineStr">
        <is>
          <t>KRISTINEHAMN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46237</v>
      </c>
      <c r="F306" t="inlineStr">
        <is>
          <t>VÄRMLANDS LÄN</t>
        </is>
      </c>
      <c r="G306" t="inlineStr">
        <is>
          <t>KRISTINEHAMN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46237</v>
      </c>
      <c r="F307" t="inlineStr">
        <is>
          <t>VÄRMLANDS LÄN</t>
        </is>
      </c>
      <c r="G307" t="inlineStr">
        <is>
          <t>KRISTINEHAMN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45324</v>
      </c>
      <c r="E308" s="1" t="n">
        <v>46237</v>
      </c>
      <c r="F308" t="inlineStr">
        <is>
          <t>VÄRMLANDS LÄN</t>
        </is>
      </c>
      <c r="G308" t="inlineStr">
        <is>
          <t>KRISTINEHAMN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46237</v>
      </c>
      <c r="F309" t="inlineStr">
        <is>
          <t>VÄRMLANDS LÄN</t>
        </is>
      </c>
      <c r="G309" t="inlineStr">
        <is>
          <t>KRISTINEHAMN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46237</v>
      </c>
      <c r="F310" t="inlineStr">
        <is>
          <t>VÄRMLANDS LÄN</t>
        </is>
      </c>
      <c r="G310" t="inlineStr">
        <is>
          <t>KRISTINEHAMN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46237</v>
      </c>
      <c r="F311" t="inlineStr">
        <is>
          <t>VÄRMLANDS LÄN</t>
        </is>
      </c>
      <c r="G311" t="inlineStr">
        <is>
          <t>KRISTINEHAMN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44959</v>
      </c>
      <c r="E312" s="1" t="n">
        <v>46237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46237</v>
      </c>
      <c r="F313" t="inlineStr">
        <is>
          <t>VÄRMLANDS LÄN</t>
        </is>
      </c>
      <c r="G313" t="inlineStr">
        <is>
          <t>KRISTINEHAMN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44851</v>
      </c>
      <c r="E314" s="1" t="n">
        <v>46237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Kommuner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45392</v>
      </c>
      <c r="E315" s="1" t="n">
        <v>46237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45000</v>
      </c>
      <c r="E316" s="1" t="n">
        <v>46237</v>
      </c>
      <c r="F316" t="inlineStr">
        <is>
          <t>VÄRMLANDS LÄN</t>
        </is>
      </c>
      <c r="G316" t="inlineStr">
        <is>
          <t>KRISTINEHAMN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46237</v>
      </c>
      <c r="F317" t="inlineStr">
        <is>
          <t>VÄRMLANDS LÄN</t>
        </is>
      </c>
      <c r="G317" t="inlineStr">
        <is>
          <t>KRISTINEHAMN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46237</v>
      </c>
      <c r="F318" t="inlineStr">
        <is>
          <t>VÄRMLANDS LÄN</t>
        </is>
      </c>
      <c r="G318" t="inlineStr">
        <is>
          <t>KRISTINEHAMN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45461</v>
      </c>
      <c r="E319" s="1" t="n">
        <v>46237</v>
      </c>
      <c r="F319" t="inlineStr">
        <is>
          <t>VÄRMLANDS LÄN</t>
        </is>
      </c>
      <c r="G319" t="inlineStr">
        <is>
          <t>KRISTINEHAMN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46237</v>
      </c>
      <c r="F320" t="inlineStr">
        <is>
          <t>VÄRMLANDS LÄN</t>
        </is>
      </c>
      <c r="G320" t="inlineStr">
        <is>
          <t>KRISTINEHAMN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45698</v>
      </c>
      <c r="E321" s="1" t="n">
        <v>46237</v>
      </c>
      <c r="F321" t="inlineStr">
        <is>
          <t>VÄRMLANDS LÄN</t>
        </is>
      </c>
      <c r="G321" t="inlineStr">
        <is>
          <t>KRISTINEHAMN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46237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46237</v>
      </c>
      <c r="F323" t="inlineStr">
        <is>
          <t>VÄRMLANDS LÄN</t>
        </is>
      </c>
      <c r="G323" t="inlineStr">
        <is>
          <t>KRISTINEHAMN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6259-2026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46051</v>
      </c>
      <c r="E324" s="1" t="n">
        <v>46237</v>
      </c>
      <c r="F324" t="inlineStr">
        <is>
          <t>VÄRMLANDS LÄN</t>
        </is>
      </c>
      <c r="G324" t="inlineStr">
        <is>
          <t>KRISTINEHAMN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46037</v>
      </c>
      <c r="E325" s="1" t="n">
        <v>46237</v>
      </c>
      <c r="F325" t="inlineStr">
        <is>
          <t>VÄRMLANDS LÄN</t>
        </is>
      </c>
      <c r="G325" t="inlineStr">
        <is>
          <t>KRISTINEHAMN</t>
        </is>
      </c>
      <c r="I325" t="n">
        <v>11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10032-2023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46237</v>
      </c>
      <c r="F326" t="inlineStr">
        <is>
          <t>VÄRMLANDS LÄN</t>
        </is>
      </c>
      <c r="G326" t="inlineStr">
        <is>
          <t>KRISTINEHAMN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46237</v>
      </c>
      <c r="F327" t="inlineStr">
        <is>
          <t>VÄRMLANDS LÄN</t>
        </is>
      </c>
      <c r="G327" t="inlineStr">
        <is>
          <t>KRISTINEHAMN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44991</v>
      </c>
      <c r="E328" s="1" t="n">
        <v>46237</v>
      </c>
      <c r="F328" t="inlineStr">
        <is>
          <t>VÄRMLANDS LÄN</t>
        </is>
      </c>
      <c r="G328" t="inlineStr">
        <is>
          <t>KRISTINEHAMN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46237</v>
      </c>
      <c r="F329" t="inlineStr">
        <is>
          <t>VÄRMLANDS LÄN</t>
        </is>
      </c>
      <c r="G329" t="inlineStr">
        <is>
          <t>KRISTINEHAMN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45442</v>
      </c>
      <c r="E330" s="1" t="n">
        <v>46237</v>
      </c>
      <c r="F330" t="inlineStr">
        <is>
          <t>VÄRMLANDS LÄN</t>
        </is>
      </c>
      <c r="G330" t="inlineStr">
        <is>
          <t>KRISTINEHAMN</t>
        </is>
      </c>
      <c r="I330" t="n">
        <v>14.9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46237</v>
      </c>
      <c r="F331" t="inlineStr">
        <is>
          <t>VÄRMLANDS LÄN</t>
        </is>
      </c>
      <c r="G331" t="inlineStr">
        <is>
          <t>KRISTINEHAMN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46230</v>
      </c>
      <c r="E332" s="1" t="n">
        <v>46237</v>
      </c>
      <c r="F332" t="inlineStr">
        <is>
          <t>VÄRMLANDS LÄN</t>
        </is>
      </c>
      <c r="G332" t="inlineStr">
        <is>
          <t>KRISTINEHAMN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46237</v>
      </c>
      <c r="F333" t="inlineStr">
        <is>
          <t>VÄRMLANDS LÄN</t>
        </is>
      </c>
      <c r="G333" t="inlineStr">
        <is>
          <t>KRISTINEHAMN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46237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44588</v>
      </c>
      <c r="E335" s="1" t="n">
        <v>46237</v>
      </c>
      <c r="F335" t="inlineStr">
        <is>
          <t>VÄRMLANDS LÄN</t>
        </is>
      </c>
      <c r="G335" t="inlineStr">
        <is>
          <t>KRISTINEHAMN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46237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46237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46237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62767-2023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45268</v>
      </c>
      <c r="E339" s="1" t="n">
        <v>46237</v>
      </c>
      <c r="F339" t="inlineStr">
        <is>
          <t>VÄRMLANDS LÄN</t>
        </is>
      </c>
      <c r="G339" t="inlineStr">
        <is>
          <t>KRISTINEHAMN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27531-2022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44742</v>
      </c>
      <c r="E340" s="1" t="n">
        <v>46237</v>
      </c>
      <c r="F340" t="inlineStr">
        <is>
          <t>VÄRMLANDS LÄN</t>
        </is>
      </c>
      <c r="G340" t="inlineStr">
        <is>
          <t>KRISTINEHAMN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28834-2024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45478</v>
      </c>
      <c r="E341" s="1" t="n">
        <v>46237</v>
      </c>
      <c r="F341" t="inlineStr">
        <is>
          <t>VÄRMLANDS LÄN</t>
        </is>
      </c>
      <c r="G341" t="inlineStr">
        <is>
          <t>KRISTINEHAMN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46237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45450</v>
      </c>
      <c r="E343" s="1" t="n">
        <v>46237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44648</v>
      </c>
      <c r="E344" s="1" t="n">
        <v>46237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46237</v>
      </c>
      <c r="F345" t="inlineStr">
        <is>
          <t>VÄRMLANDS LÄN</t>
        </is>
      </c>
      <c r="G345" t="inlineStr">
        <is>
          <t>KRISTINEHAMN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46237</v>
      </c>
      <c r="F346" t="inlineStr">
        <is>
          <t>VÄRMLANDS LÄN</t>
        </is>
      </c>
      <c r="G346" t="inlineStr">
        <is>
          <t>KRISTINEHAMN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46237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46083</v>
      </c>
      <c r="E348" s="1" t="n">
        <v>46237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Bergvik skog väst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45734</v>
      </c>
      <c r="E349" s="1" t="n">
        <v>46237</v>
      </c>
      <c r="F349" t="inlineStr">
        <is>
          <t>VÄRMLANDS LÄN</t>
        </is>
      </c>
      <c r="G349" t="inlineStr">
        <is>
          <t>KRISTINEHAMN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46237</v>
      </c>
      <c r="F350" t="inlineStr">
        <is>
          <t>VÄRMLANDS LÄN</t>
        </is>
      </c>
      <c r="G350" t="inlineStr">
        <is>
          <t>KRISTINEHAMN</t>
        </is>
      </c>
      <c r="I350" t="n">
        <v>10.4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46237</v>
      </c>
      <c r="F351" t="inlineStr">
        <is>
          <t>VÄRMLANDS LÄN</t>
        </is>
      </c>
      <c r="G351" t="inlineStr">
        <is>
          <t>KRISTINEHAMN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46237</v>
      </c>
      <c r="F352" t="inlineStr">
        <is>
          <t>VÄRMLANDS LÄN</t>
        </is>
      </c>
      <c r="G352" t="inlineStr">
        <is>
          <t>KRISTINEHAMN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46237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51700-2023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46237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Bergvik skog väst AB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46237</v>
      </c>
      <c r="F355" t="inlineStr">
        <is>
          <t>VÄRMLANDS LÄN</t>
        </is>
      </c>
      <c r="G355" t="inlineStr">
        <is>
          <t>KRISTINEHAMN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45456</v>
      </c>
      <c r="E356" s="1" t="n">
        <v>46237</v>
      </c>
      <c r="F356" t="inlineStr">
        <is>
          <t>VÄRMLANDS LÄN</t>
        </is>
      </c>
      <c r="G356" t="inlineStr">
        <is>
          <t>KRISTINEHAMN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46237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46237</v>
      </c>
      <c r="F358" t="inlineStr">
        <is>
          <t>VÄRMLANDS LÄN</t>
        </is>
      </c>
      <c r="G358" t="inlineStr">
        <is>
          <t>KRISTINEHAMN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46237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45636</v>
      </c>
      <c r="E360" s="1" t="n">
        <v>46237</v>
      </c>
      <c r="F360" t="inlineStr">
        <is>
          <t>VÄRMLANDS LÄN</t>
        </is>
      </c>
      <c r="G360" t="inlineStr">
        <is>
          <t>KRISTINEHAMN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46237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46237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46237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44734</v>
      </c>
      <c r="E364" s="1" t="n">
        <v>46237</v>
      </c>
      <c r="F364" t="inlineStr">
        <is>
          <t>VÄRMLANDS LÄN</t>
        </is>
      </c>
      <c r="G364" t="inlineStr">
        <is>
          <t>KRISTINEHAMN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44722</v>
      </c>
      <c r="E365" s="1" t="n">
        <v>46237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23706-2022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46237</v>
      </c>
      <c r="F366" t="inlineStr">
        <is>
          <t>VÄRMLANDS LÄN</t>
        </is>
      </c>
      <c r="G366" t="inlineStr">
        <is>
          <t>KRISTINEHAMN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46237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46237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46237</v>
      </c>
      <c r="F369" t="inlineStr">
        <is>
          <t>VÄRMLANDS LÄN</t>
        </is>
      </c>
      <c r="G369" t="inlineStr">
        <is>
          <t>KRISTINEHAMN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45679</v>
      </c>
      <c r="E370" s="1" t="n">
        <v>46237</v>
      </c>
      <c r="F370" t="inlineStr">
        <is>
          <t>VÄRMLANDS LÄN</t>
        </is>
      </c>
      <c r="G370" t="inlineStr">
        <is>
          <t>KRISTINEHAMN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46237</v>
      </c>
      <c r="F371" t="inlineStr">
        <is>
          <t>VÄRMLANDS LÄN</t>
        </is>
      </c>
      <c r="G371" t="inlineStr">
        <is>
          <t>KRISTINEHAMN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15646-2026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46106</v>
      </c>
      <c r="E372" s="1" t="n">
        <v>46237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46237</v>
      </c>
      <c r="F373" t="inlineStr">
        <is>
          <t>VÄRMLANDS LÄN</t>
        </is>
      </c>
      <c r="G373" t="inlineStr">
        <is>
          <t>KRISTINEHAMN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46237</v>
      </c>
      <c r="F374" t="inlineStr">
        <is>
          <t>VÄRMLANDS LÄN</t>
        </is>
      </c>
      <c r="G374" t="inlineStr">
        <is>
          <t>KRISTINEHAMN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46237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46237</v>
      </c>
      <c r="F376" t="inlineStr">
        <is>
          <t>VÄRMLANDS LÄN</t>
        </is>
      </c>
      <c r="G376" t="inlineStr">
        <is>
          <t>KRISTINEHAMN</t>
        </is>
      </c>
      <c r="I376" t="n">
        <v>10.1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45769</v>
      </c>
      <c r="E377" s="1" t="n">
        <v>46237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46237</v>
      </c>
      <c r="F378" t="inlineStr">
        <is>
          <t>VÄRMLANDS LÄN</t>
        </is>
      </c>
      <c r="G378" t="inlineStr">
        <is>
          <t>KRISTINEHAMN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46237</v>
      </c>
      <c r="F379" t="inlineStr">
        <is>
          <t>VÄRMLANDS LÄN</t>
        </is>
      </c>
      <c r="G379" t="inlineStr">
        <is>
          <t>KRISTINEHAMN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44749</v>
      </c>
      <c r="E380" s="1" t="n">
        <v>46237</v>
      </c>
      <c r="F380" t="inlineStr">
        <is>
          <t>VÄRMLANDS LÄN</t>
        </is>
      </c>
      <c r="G380" t="inlineStr">
        <is>
          <t>KRISTINEHAMN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46237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Naturvårdsverket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46237</v>
      </c>
      <c r="F382" t="inlineStr">
        <is>
          <t>VÄRMLANDS LÄN</t>
        </is>
      </c>
      <c r="G382" t="inlineStr">
        <is>
          <t>KRISTINEHAMN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46237</v>
      </c>
      <c r="F383" t="inlineStr">
        <is>
          <t>VÄRMLANDS LÄN</t>
        </is>
      </c>
      <c r="G383" t="inlineStr">
        <is>
          <t>KRISTINEHAMN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48405-2023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45201</v>
      </c>
      <c r="E384" s="1" t="n">
        <v>46237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32821-2023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45112</v>
      </c>
      <c r="E385" s="1" t="n">
        <v>46237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21602-2025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45783</v>
      </c>
      <c r="E386" s="1" t="n">
        <v>46237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46237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46237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45112</v>
      </c>
      <c r="E389" s="1" t="n">
        <v>46237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Kommuner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46237</v>
      </c>
      <c r="F390" t="inlineStr">
        <is>
          <t>VÄRMLANDS LÄN</t>
        </is>
      </c>
      <c r="G390" t="inlineStr">
        <is>
          <t>KRISTINEHAMN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46237</v>
      </c>
      <c r="F391" t="inlineStr">
        <is>
          <t>VÄRMLANDS LÄN</t>
        </is>
      </c>
      <c r="G391" t="inlineStr">
        <is>
          <t>KRISTINEHAMN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46237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46237</v>
      </c>
      <c r="F393" t="inlineStr">
        <is>
          <t>VÄRMLANDS LÄN</t>
        </is>
      </c>
      <c r="G393" t="inlineStr">
        <is>
          <t>KRISTINEHAMN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46237</v>
      </c>
      <c r="F394" t="inlineStr">
        <is>
          <t>VÄRMLANDS LÄN</t>
        </is>
      </c>
      <c r="G394" t="inlineStr">
        <is>
          <t>KRISTINEHAMN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45344</v>
      </c>
      <c r="E395" s="1" t="n">
        <v>46237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42408-2022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46237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45097</v>
      </c>
      <c r="E397" s="1" t="n">
        <v>46237</v>
      </c>
      <c r="F397" t="inlineStr">
        <is>
          <t>VÄRMLANDS LÄN</t>
        </is>
      </c>
      <c r="G397" t="inlineStr">
        <is>
          <t>KRISTINEHAMN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46237</v>
      </c>
      <c r="F398" t="inlineStr">
        <is>
          <t>VÄRMLANDS LÄN</t>
        </is>
      </c>
      <c r="G398" t="inlineStr">
        <is>
          <t>KRISTINEHAMN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46237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45303</v>
      </c>
      <c r="E400" s="1" t="n">
        <v>46237</v>
      </c>
      <c r="F400" t="inlineStr">
        <is>
          <t>VÄRMLANDS LÄN</t>
        </is>
      </c>
      <c r="G400" t="inlineStr">
        <is>
          <t>KRISTINEHAMN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46237</v>
      </c>
      <c r="F401" t="inlineStr">
        <is>
          <t>VÄRMLANDS LÄN</t>
        </is>
      </c>
      <c r="G401" t="inlineStr">
        <is>
          <t>KRISTINEHAMN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46237</v>
      </c>
      <c r="F402" t="inlineStr">
        <is>
          <t>VÄRMLANDS LÄN</t>
        </is>
      </c>
      <c r="G402" t="inlineStr">
        <is>
          <t>KRISTINEHAMN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45904</v>
      </c>
      <c r="E403" s="1" t="n">
        <v>46237</v>
      </c>
      <c r="F403" t="inlineStr">
        <is>
          <t>VÄRMLANDS LÄN</t>
        </is>
      </c>
      <c r="G403" t="inlineStr">
        <is>
          <t>KRISTINEHAMN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45636</v>
      </c>
      <c r="E404" s="1" t="n">
        <v>46237</v>
      </c>
      <c r="F404" t="inlineStr">
        <is>
          <t>VÄRMLANDS LÄN</t>
        </is>
      </c>
      <c r="G404" t="inlineStr">
        <is>
          <t>KRISTINEHAMN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46237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46237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45792</v>
      </c>
      <c r="E407" s="1" t="n">
        <v>46237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45792</v>
      </c>
      <c r="E408" s="1" t="n">
        <v>46237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36774-2022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44805</v>
      </c>
      <c r="E409" s="1" t="n">
        <v>46237</v>
      </c>
      <c r="F409" t="inlineStr">
        <is>
          <t>VÄRMLANDS LÄN</t>
        </is>
      </c>
      <c r="G409" t="inlineStr">
        <is>
          <t>KRISTINEHAMN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45244</v>
      </c>
      <c r="E410" s="1" t="n">
        <v>46237</v>
      </c>
      <c r="F410" t="inlineStr">
        <is>
          <t>VÄRMLANDS LÄN</t>
        </is>
      </c>
      <c r="G410" t="inlineStr">
        <is>
          <t>KRISTINEHAMN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23510-2025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45792</v>
      </c>
      <c r="E411" s="1" t="n">
        <v>46237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45681</v>
      </c>
      <c r="E412" s="1" t="n">
        <v>46237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Kommuner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45678</v>
      </c>
      <c r="E413" s="1" t="n">
        <v>46237</v>
      </c>
      <c r="F413" t="inlineStr">
        <is>
          <t>VÄRMLANDS LÄN</t>
        </is>
      </c>
      <c r="G413" t="inlineStr">
        <is>
          <t>KRISTINEHAMN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47951-2021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44448</v>
      </c>
      <c r="E414" s="1" t="n">
        <v>46237</v>
      </c>
      <c r="F414" t="inlineStr">
        <is>
          <t>VÄRMLANDS LÄN</t>
        </is>
      </c>
      <c r="G414" t="inlineStr">
        <is>
          <t>KRISTINEHAMN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46237</v>
      </c>
      <c r="F415" t="inlineStr">
        <is>
          <t>VÄRMLANDS LÄN</t>
        </is>
      </c>
      <c r="G415" t="inlineStr">
        <is>
          <t>KRISTINEHAMN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46237</v>
      </c>
      <c r="F416" t="inlineStr">
        <is>
          <t>VÄRMLANDS LÄN</t>
        </is>
      </c>
      <c r="G416" t="inlineStr">
        <is>
          <t>KRISTINEHAMN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46237</v>
      </c>
      <c r="F417" t="inlineStr">
        <is>
          <t>VÄRMLANDS LÄN</t>
        </is>
      </c>
      <c r="G417" t="inlineStr">
        <is>
          <t>KRISTINEHAMN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46237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45407</v>
      </c>
      <c r="E419" s="1" t="n">
        <v>46237</v>
      </c>
      <c r="F419" t="inlineStr">
        <is>
          <t>VÄRMLANDS LÄN</t>
        </is>
      </c>
      <c r="G419" t="inlineStr">
        <is>
          <t>KRISTINEHAMN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45674</v>
      </c>
      <c r="E420" s="1" t="n">
        <v>46237</v>
      </c>
      <c r="F420" t="inlineStr">
        <is>
          <t>VÄRMLANDS LÄN</t>
        </is>
      </c>
      <c r="G420" t="inlineStr">
        <is>
          <t>KRISTINEHAMN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46237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Kommuner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46237</v>
      </c>
      <c r="F422" t="inlineStr">
        <is>
          <t>VÄRMLANDS LÄN</t>
        </is>
      </c>
      <c r="G422" t="inlineStr">
        <is>
          <t>KRISTINEHAMN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46237</v>
      </c>
      <c r="F423" t="inlineStr">
        <is>
          <t>VÄRMLANDS LÄN</t>
        </is>
      </c>
      <c r="G423" t="inlineStr">
        <is>
          <t>KRISTINEHAMN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45575</v>
      </c>
      <c r="E424" s="1" t="n">
        <v>46237</v>
      </c>
      <c r="F424" t="inlineStr">
        <is>
          <t>VÄRMLANDS LÄN</t>
        </is>
      </c>
      <c r="G424" t="inlineStr">
        <is>
          <t>KRISTINEHAMN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46237</v>
      </c>
      <c r="F425" t="inlineStr">
        <is>
          <t>VÄRMLANDS LÄN</t>
        </is>
      </c>
      <c r="G425" t="inlineStr">
        <is>
          <t>KRISTINEHAMN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42947-2021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44431</v>
      </c>
      <c r="E426" s="1" t="n">
        <v>46237</v>
      </c>
      <c r="F426" t="inlineStr">
        <is>
          <t>VÄRMLANDS LÄN</t>
        </is>
      </c>
      <c r="G426" t="inlineStr">
        <is>
          <t>KRISTINEHAMN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46237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45802</v>
      </c>
      <c r="E428" s="1" t="n">
        <v>46237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46237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46237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45810</v>
      </c>
      <c r="E431" s="1" t="n">
        <v>46237</v>
      </c>
      <c r="F431" t="inlineStr">
        <is>
          <t>VÄRMLANDS LÄN</t>
        </is>
      </c>
      <c r="G431" t="inlineStr">
        <is>
          <t>KRISTINEHAMN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45810</v>
      </c>
      <c r="E432" s="1" t="n">
        <v>46237</v>
      </c>
      <c r="F432" t="inlineStr">
        <is>
          <t>VÄRMLANDS LÄN</t>
        </is>
      </c>
      <c r="G432" t="inlineStr">
        <is>
          <t>KRISTINEHAMN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45812</v>
      </c>
      <c r="E433" s="1" t="n">
        <v>46237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45812</v>
      </c>
      <c r="E434" s="1" t="n">
        <v>46237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46237</v>
      </c>
      <c r="F435" t="inlineStr">
        <is>
          <t>VÄRMLANDS LÄN</t>
        </is>
      </c>
      <c r="G435" t="inlineStr">
        <is>
          <t>KRISTINEHAMN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45364</v>
      </c>
      <c r="E436" s="1" t="n">
        <v>46237</v>
      </c>
      <c r="F436" t="inlineStr">
        <is>
          <t>VÄRMLANDS LÄN</t>
        </is>
      </c>
      <c r="G436" t="inlineStr">
        <is>
          <t>KRISTINEHAMN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45364</v>
      </c>
      <c r="E437" s="1" t="n">
        <v>46237</v>
      </c>
      <c r="F437" t="inlineStr">
        <is>
          <t>VÄRMLANDS LÄN</t>
        </is>
      </c>
      <c r="G437" t="inlineStr">
        <is>
          <t>KRISTINEHAMN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45378</v>
      </c>
      <c r="E438" s="1" t="n">
        <v>46237</v>
      </c>
      <c r="F438" t="inlineStr">
        <is>
          <t>VÄRMLANDS LÄN</t>
        </is>
      </c>
      <c r="G438" t="inlineStr">
        <is>
          <t>KRISTINEHAMN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46237</v>
      </c>
      <c r="F439" t="inlineStr">
        <is>
          <t>VÄRMLANDS LÄN</t>
        </is>
      </c>
      <c r="G439" t="inlineStr">
        <is>
          <t>KRISTINEHAMN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45364</v>
      </c>
      <c r="E440" s="1" t="n">
        <v>46237</v>
      </c>
      <c r="F440" t="inlineStr">
        <is>
          <t>VÄRMLANDS LÄN</t>
        </is>
      </c>
      <c r="G440" t="inlineStr">
        <is>
          <t>KRISTINEHAMN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46237</v>
      </c>
      <c r="F441" t="inlineStr">
        <is>
          <t>VÄRMLANDS LÄN</t>
        </is>
      </c>
      <c r="G441" t="inlineStr">
        <is>
          <t>KRISTINEHAMN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46237</v>
      </c>
      <c r="F442" t="inlineStr">
        <is>
          <t>VÄRMLANDS LÄN</t>
        </is>
      </c>
      <c r="G442" t="inlineStr">
        <is>
          <t>KRISTINEHAMN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46237</v>
      </c>
      <c r="F443" t="inlineStr">
        <is>
          <t>VÄRMLANDS LÄN</t>
        </is>
      </c>
      <c r="G443" t="inlineStr">
        <is>
          <t>KRISTINEHAMN</t>
        </is>
      </c>
      <c r="I443" t="n">
        <v>20.1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45832</v>
      </c>
      <c r="E444" s="1" t="n">
        <v>46237</v>
      </c>
      <c r="F444" t="inlineStr">
        <is>
          <t>VÄRMLANDS LÄN</t>
        </is>
      </c>
      <c r="G444" t="inlineStr">
        <is>
          <t>KRISTINEHAMN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46237</v>
      </c>
      <c r="F445" t="inlineStr">
        <is>
          <t>VÄRMLANDS LÄN</t>
        </is>
      </c>
      <c r="G445" t="inlineStr">
        <is>
          <t>KRISTINEHAMN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45664</v>
      </c>
      <c r="E446" s="1" t="n">
        <v>46237</v>
      </c>
      <c r="F446" t="inlineStr">
        <is>
          <t>VÄRMLANDS LÄN</t>
        </is>
      </c>
      <c r="G446" t="inlineStr">
        <is>
          <t>KRISTINEHAMN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46237</v>
      </c>
      <c r="F447" t="inlineStr">
        <is>
          <t>VÄRMLANDS LÄN</t>
        </is>
      </c>
      <c r="G447" t="inlineStr">
        <is>
          <t>KRISTINEHAMN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44965</v>
      </c>
      <c r="E448" s="1" t="n">
        <v>46237</v>
      </c>
      <c r="F448" t="inlineStr">
        <is>
          <t>VÄRMLANDS LÄN</t>
        </is>
      </c>
      <c r="G448" t="inlineStr">
        <is>
          <t>KRISTINEHAMN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45876</v>
      </c>
      <c r="E449" s="1" t="n">
        <v>46237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45876</v>
      </c>
      <c r="E450" s="1" t="n">
        <v>46237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46237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46237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46237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46237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46237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46237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46237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46237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46237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46237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46237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46237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46237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46237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46237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46237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46237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46237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46237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46237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46237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46237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46237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46237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46237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2026-08-03T01:57:47Z</dcterms:created>
  <dcterms:modified xmlns:dcterms="http://purl.org/dc/terms/" xmlns:xsi="http://www.w3.org/2001/XMLSchema-instance" xsi:type="dcterms:W3CDTF">2026-08-03T01:57:48Z</dcterms:modified>
</cp:coreProperties>
</file>