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53132-2023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45229</v>
      </c>
      <c r="E2" s="1" t="n">
        <v>46308</v>
      </c>
      <c r="F2" t="inlineStr">
        <is>
          <t>VÄRMLANDS LÄN</t>
        </is>
      </c>
      <c r="G2" t="inlineStr">
        <is>
          <t>KRISTINEHAMN</t>
        </is>
      </c>
      <c r="I2" t="n">
        <v>4.9</v>
      </c>
      <c r="J2" t="n">
        <v>5</v>
      </c>
      <c r="K2" t="n">
        <v>7</v>
      </c>
      <c r="L2" t="n">
        <v>3</v>
      </c>
      <c r="M2" t="n">
        <v>0</v>
      </c>
      <c r="N2" t="n">
        <v>1</v>
      </c>
      <c r="O2" t="n">
        <v>0</v>
      </c>
      <c r="P2" t="n">
        <v>0</v>
      </c>
      <c r="Q2" t="n">
        <v>4</v>
      </c>
      <c r="R2" t="n">
        <v>1</v>
      </c>
      <c r="S2" t="n">
        <v>13</v>
      </c>
      <c r="T2" t="n">
        <v>49</v>
      </c>
      <c r="U2" t="n">
        <v>27</v>
      </c>
      <c r="V2" s="2" t="inlineStr">
        <is>
          <t>Bombmurkla
Talltita
Ullticka
Vedtrappmossa
Brandticka
Bronshjon
Bårdlav
Grön sköldmossa
Grönpyrola
Kamjordstjärna
Vågbandad barkbock
Blåsippa
Järpe</t>
        </is>
      </c>
      <c r="W2">
        <f>HYPERLINK("https://klasma.github.io/Logging_1781/artfynd/A 53132-2023 artfynd.xlsx", "A 53132-2023")</f>
        <v/>
      </c>
      <c r="X2">
        <f>HYPERLINK("https://klasma.github.io/Logging_1781/kartor/A 53132-2023 karta.png", "A 53132-2023")</f>
        <v/>
      </c>
      <c r="Y2">
        <f>HYPERLINK("https://klasma.github.io/Logging_1781/kartor_geotiff/A 53132-2023 georefererad karta.tif", "A 53132-2023")</f>
        <v/>
      </c>
      <c r="Z2">
        <f>HYPERLINK("https://klasma.github.io/Logging_1781/knärot/A 53132-2023 karta knärot.png", "A 53132-2023")</f>
        <v/>
      </c>
      <c r="AA2">
        <f>HYPERLINK("https://klasma.github.io/Logging_1781/klagomål/A 53132-2023 FSC-klagomål.docx", "A 53132-2023")</f>
        <v/>
      </c>
      <c r="AB2">
        <f>HYPERLINK("https://klasma.github.io/Logging_1781/klagomålsmail/A 53132-2023 FSC-klagomål mail.docx", "A 53132-2023")</f>
        <v/>
      </c>
      <c r="AC2">
        <f>HYPERLINK("https://klasma.github.io/Logging_1781/tillsyn/A 53132-2023 tillsynsbegäran.docx", "A 53132-2023")</f>
        <v/>
      </c>
      <c r="AD2">
        <f>HYPERLINK("https://klasma.github.io/Logging_1781/tillsynsmail/A 53132-2023 tillsynsbegäran mail.docx", "A 53132-2023")</f>
        <v/>
      </c>
      <c r="AE2">
        <f>HYPERLINK("https://klasma.github.io/Logging_1781/fåglar/A 53132-2023 prioriterade fågelarter.docx", "A 53132-2023")</f>
        <v/>
      </c>
    </row>
    <row r="3" ht="15" customHeight="1">
      <c r="A3" t="inlineStr">
        <is>
          <t>A 53130-2023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45229</v>
      </c>
      <c r="E3" s="1" t="n">
        <v>46308</v>
      </c>
      <c r="F3" t="inlineStr">
        <is>
          <t>VÄRMLANDS LÄN</t>
        </is>
      </c>
      <c r="G3" t="inlineStr">
        <is>
          <t>KRISTINEHAMN</t>
        </is>
      </c>
      <c r="I3" t="n">
        <v>6.5</v>
      </c>
      <c r="J3" t="n">
        <v>4</v>
      </c>
      <c r="K3" t="n">
        <v>3</v>
      </c>
      <c r="L3" t="n">
        <v>4</v>
      </c>
      <c r="M3" t="n">
        <v>1</v>
      </c>
      <c r="N3" t="n">
        <v>1</v>
      </c>
      <c r="O3" t="n">
        <v>0</v>
      </c>
      <c r="P3" t="n">
        <v>0</v>
      </c>
      <c r="Q3" t="n">
        <v>6</v>
      </c>
      <c r="R3" t="n">
        <v>2</v>
      </c>
      <c r="S3" t="n">
        <v>11</v>
      </c>
      <c r="T3" t="n">
        <v>100</v>
      </c>
      <c r="U3" t="n">
        <v>61</v>
      </c>
      <c r="V3" s="2" t="inlineStr">
        <is>
          <t>Bombmurkla
Garnlav
Brunpudrad nållav
Dofttaggsvamp
Fyrflikig jordstjärna
Talltita
Brandticka
Grönpyrola
Kamjordstjärna
Blåsippa
Kungsfågel</t>
        </is>
      </c>
      <c r="W3">
        <f>HYPERLINK("https://klasma.github.io/Logging_1781/artfynd/A 53130-2023 artfynd.xlsx", "A 53130-2023")</f>
        <v/>
      </c>
      <c r="X3">
        <f>HYPERLINK("https://klasma.github.io/Logging_1781/kartor/A 53130-2023 karta.png", "A 53130-2023")</f>
        <v/>
      </c>
      <c r="Y3">
        <f>HYPERLINK("https://klasma.github.io/Logging_1781/kartor_geotiff/A 53130-2023 georefererad karta.tif", "A 53130-2023")</f>
        <v/>
      </c>
      <c r="AA3">
        <f>HYPERLINK("https://klasma.github.io/Logging_1781/klagomål/A 53130-2023 FSC-klagomål.docx", "A 53130-2023")</f>
        <v/>
      </c>
      <c r="AB3">
        <f>HYPERLINK("https://klasma.github.io/Logging_1781/klagomålsmail/A 53130-2023 FSC-klagomål mail.docx", "A 53130-2023")</f>
        <v/>
      </c>
      <c r="AC3">
        <f>HYPERLINK("https://klasma.github.io/Logging_1781/tillsyn/A 53130-2023 tillsynsbegäran.docx", "A 53130-2023")</f>
        <v/>
      </c>
      <c r="AD3">
        <f>HYPERLINK("https://klasma.github.io/Logging_1781/tillsynsmail/A 53130-2023 tillsynsbegäran mail.docx", "A 53130-2023")</f>
        <v/>
      </c>
      <c r="AE3">
        <f>HYPERLINK("https://klasma.github.io/Logging_1781/fåglar/A 53130-2023 prioriterade fågelarter.docx", "A 53130-2023")</f>
        <v/>
      </c>
    </row>
    <row r="4" ht="15" customHeight="1">
      <c r="A4" t="inlineStr">
        <is>
          <t>A 11656-2025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45727</v>
      </c>
      <c r="E4" s="1" t="n">
        <v>46308</v>
      </c>
      <c r="F4" t="inlineStr">
        <is>
          <t>VÄRMLANDS LÄN</t>
        </is>
      </c>
      <c r="G4" t="inlineStr">
        <is>
          <t>KRISTINEHAMN</t>
        </is>
      </c>
      <c r="I4" t="n">
        <v>13.1</v>
      </c>
      <c r="J4" t="n">
        <v>2</v>
      </c>
      <c r="K4" t="n">
        <v>4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7</v>
      </c>
      <c r="T4" t="n">
        <v>10</v>
      </c>
      <c r="U4" t="n">
        <v>0</v>
      </c>
      <c r="V4" s="2" t="inlineStr">
        <is>
          <t>Stor sotdyna
Gulnål
Kornig nållav
Lönnlav
Rostfläck
Blåsippa
Åkergroda</t>
        </is>
      </c>
      <c r="W4">
        <f>HYPERLINK("https://klasma.github.io/Logging_1781/artfynd/A 11656-2025 artfynd.xlsx", "A 11656-2025")</f>
        <v/>
      </c>
      <c r="X4">
        <f>HYPERLINK("https://klasma.github.io/Logging_1781/kartor/A 11656-2025 karta.png", "A 11656-2025")</f>
        <v/>
      </c>
      <c r="Y4">
        <f>HYPERLINK("https://klasma.github.io/Logging_1781/kartor_geotiff/A 11656-2025 georefererad karta.tif", "A 11656-2025")</f>
        <v/>
      </c>
      <c r="AA4">
        <f>HYPERLINK("https://klasma.github.io/Logging_1781/klagomål/A 11656-2025 FSC-klagomål.docx", "A 11656-2025")</f>
        <v/>
      </c>
      <c r="AB4">
        <f>HYPERLINK("https://klasma.github.io/Logging_1781/klagomålsmail/A 11656-2025 FSC-klagomål mail.docx", "A 11656-2025")</f>
        <v/>
      </c>
      <c r="AC4">
        <f>HYPERLINK("https://klasma.github.io/Logging_1781/tillsyn/A 11656-2025 tillsynsbegäran.docx", "A 11656-2025")</f>
        <v/>
      </c>
      <c r="AD4">
        <f>HYPERLINK("https://klasma.github.io/Logging_1781/tillsynsmail/A 11656-2025 tillsynsbegäran mail.docx", "A 11656-2025")</f>
        <v/>
      </c>
    </row>
    <row r="5" ht="15" customHeight="1">
      <c r="A5" t="inlineStr">
        <is>
          <t>S 2466-2023</t>
        </is>
      </c>
      <c r="B5" t="inlineStr">
        <is>
          <t>samrådsanmälan</t>
        </is>
      </c>
      <c r="C5" t="inlineStr">
        <is>
          <t>Askåterföring</t>
        </is>
      </c>
      <c r="D5" s="1" t="n">
        <v>45118</v>
      </c>
      <c r="E5" s="1" t="n">
        <v>46308</v>
      </c>
      <c r="F5" t="inlineStr">
        <is>
          <t>VÄRMLANDS LÄN</t>
        </is>
      </c>
      <c r="G5" t="inlineStr">
        <is>
          <t>KRISTINEHAMN</t>
        </is>
      </c>
      <c r="I5" t="n">
        <v>48</v>
      </c>
      <c r="J5" t="n">
        <v>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</v>
      </c>
      <c r="T5" t="n">
        <v>7</v>
      </c>
      <c r="U5" t="n">
        <v>7</v>
      </c>
      <c r="V5" s="2" t="inlineStr">
        <is>
          <t>Större vattensalamander
Åkergroda
Mindre vattensalamander
Vanlig groda
Fläcknycklar
Nattviol</t>
        </is>
      </c>
      <c r="W5">
        <f>HYPERLINK("https://klasma.github.io/Logging_1781/artfynd/S 2466-2023 artfynd.xlsx", "S 2466-2023")</f>
        <v/>
      </c>
      <c r="X5">
        <f>HYPERLINK("https://klasma.github.io/Logging_1781/kartor/S 2466-2023 karta.png", "S 2466-2023")</f>
        <v/>
      </c>
      <c r="Y5">
        <f>HYPERLINK("https://klasma.github.io/Logging_1781/kartor_geotiff/S 2466-2023 georefererad karta.tif", "S 2466-2023")</f>
        <v/>
      </c>
      <c r="AA5">
        <f>HYPERLINK("https://klasma.github.io/Logging_1781/klagomål/S 2466-2023 FSC-klagomål.docx", "S 2466-2023")</f>
        <v/>
      </c>
      <c r="AB5">
        <f>HYPERLINK("https://klasma.github.io/Logging_1781/klagomålsmail/S 2466-2023 FSC-klagomål mail.docx", "S 2466-2023")</f>
        <v/>
      </c>
      <c r="AC5">
        <f>HYPERLINK("https://klasma.github.io/Logging_1781/tillsyn/S 2466-2023 tillsynsbegäran.docx", "S 2466-2023")</f>
        <v/>
      </c>
      <c r="AD5">
        <f>HYPERLINK("https://klasma.github.io/Logging_1781/tillsynsmail/S 2466-2023 tillsynsbegäran mail.docx", "S 2466-2023")</f>
        <v/>
      </c>
    </row>
    <row r="6" ht="15" customHeight="1">
      <c r="A6" t="inlineStr">
        <is>
          <t>A 58400-2021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44488</v>
      </c>
      <c r="E6" s="1" t="n">
        <v>46308</v>
      </c>
      <c r="F6" t="inlineStr">
        <is>
          <t>VÄRMLANDS LÄN</t>
        </is>
      </c>
      <c r="G6" t="inlineStr">
        <is>
          <t>KRISTINEHAMN</t>
        </is>
      </c>
      <c r="I6" t="n">
        <v>24</v>
      </c>
      <c r="J6" t="n">
        <v>2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0</v>
      </c>
      <c r="S6" t="n">
        <v>5</v>
      </c>
      <c r="T6" t="n">
        <v>5</v>
      </c>
      <c r="U6" t="n">
        <v>5</v>
      </c>
      <c r="V6" s="2" t="inlineStr">
        <is>
          <t>Kattfotslav
Tretåig hackspett
Rödgul trumpetsvamp
Stor revmossa
Spillkråka</t>
        </is>
      </c>
      <c r="W6">
        <f>HYPERLINK("https://klasma.github.io/Logging_1781/artfynd/A 58400-2021 artfynd.xlsx", "A 58400-2021")</f>
        <v/>
      </c>
      <c r="X6">
        <f>HYPERLINK("https://klasma.github.io/Logging_1781/kartor/A 58400-2021 karta.png", "A 58400-2021")</f>
        <v/>
      </c>
      <c r="Y6">
        <f>HYPERLINK("https://klasma.github.io/Logging_1781/kartor_geotiff/A 58400-2021 georefererad karta.tif", "A 58400-2021")</f>
        <v/>
      </c>
      <c r="AA6">
        <f>HYPERLINK("https://klasma.github.io/Logging_1781/klagomål/A 58400-2021 FSC-klagomål.docx", "A 58400-2021")</f>
        <v/>
      </c>
      <c r="AB6">
        <f>HYPERLINK("https://klasma.github.io/Logging_1781/klagomålsmail/A 58400-2021 FSC-klagomål mail.docx", "A 58400-2021")</f>
        <v/>
      </c>
      <c r="AC6">
        <f>HYPERLINK("https://klasma.github.io/Logging_1781/tillsyn/A 58400-2021 tillsynsbegäran.docx", "A 58400-2021")</f>
        <v/>
      </c>
      <c r="AD6">
        <f>HYPERLINK("https://klasma.github.io/Logging_1781/tillsynsmail/A 58400-2021 tillsynsbegäran mail.docx", "A 58400-2021")</f>
        <v/>
      </c>
      <c r="AE6">
        <f>HYPERLINK("https://klasma.github.io/Logging_1781/fåglar/A 58400-2021 prioriterade fågelarter.docx", "A 58400-2021")</f>
        <v/>
      </c>
    </row>
    <row r="7" ht="15" customHeight="1">
      <c r="A7" t="inlineStr">
        <is>
          <t>A 61586-2023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45265</v>
      </c>
      <c r="E7" s="1" t="n">
        <v>46308</v>
      </c>
      <c r="F7" t="inlineStr">
        <is>
          <t>VÄRMLANDS LÄN</t>
        </is>
      </c>
      <c r="G7" t="inlineStr">
        <is>
          <t>KRISTINEHAMN</t>
        </is>
      </c>
      <c r="I7" t="n">
        <v>9.5</v>
      </c>
      <c r="J7" t="n">
        <v>4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5</v>
      </c>
      <c r="T7" t="n">
        <v>5</v>
      </c>
      <c r="U7" t="n">
        <v>5</v>
      </c>
      <c r="V7" s="2" t="inlineStr">
        <is>
          <t>Bivråk
Barkticka
Spillkråka
Havsörn
Röd glada</t>
        </is>
      </c>
      <c r="W7">
        <f>HYPERLINK("https://klasma.github.io/Logging_1781/artfynd/A 61586-2023 artfynd.xlsx", "A 61586-2023")</f>
        <v/>
      </c>
      <c r="X7">
        <f>HYPERLINK("https://klasma.github.io/Logging_1781/kartor/A 61586-2023 karta.png", "A 61586-2023")</f>
        <v/>
      </c>
      <c r="Y7">
        <f>HYPERLINK("https://klasma.github.io/Logging_1781/kartor_geotiff/A 61586-2023 georefererad karta.tif", "A 61586-2023")</f>
        <v/>
      </c>
      <c r="AA7">
        <f>HYPERLINK("https://klasma.github.io/Logging_1781/klagomål/A 61586-2023 FSC-klagomål.docx", "A 61586-2023")</f>
        <v/>
      </c>
      <c r="AB7">
        <f>HYPERLINK("https://klasma.github.io/Logging_1781/klagomålsmail/A 61586-2023 FSC-klagomål mail.docx", "A 61586-2023")</f>
        <v/>
      </c>
      <c r="AC7">
        <f>HYPERLINK("https://klasma.github.io/Logging_1781/tillsyn/A 61586-2023 tillsynsbegäran.docx", "A 61586-2023")</f>
        <v/>
      </c>
      <c r="AD7">
        <f>HYPERLINK("https://klasma.github.io/Logging_1781/tillsynsmail/A 61586-2023 tillsynsbegäran mail.docx", "A 61586-2023")</f>
        <v/>
      </c>
      <c r="AE7">
        <f>HYPERLINK("https://klasma.github.io/Logging_1781/fåglar/A 61586-2023 prioriterade fågelarter.docx", "A 61586-2023")</f>
        <v/>
      </c>
    </row>
    <row r="8" ht="15" customHeight="1">
      <c r="A8" t="inlineStr">
        <is>
          <t>S 2037-2023</t>
        </is>
      </c>
      <c r="B8" t="inlineStr">
        <is>
          <t>samrådsanmälan</t>
        </is>
      </c>
      <c r="C8" t="inlineStr">
        <is>
          <t>Askåterföring</t>
        </is>
      </c>
      <c r="D8" s="1" t="n">
        <v>45091</v>
      </c>
      <c r="E8" s="1" t="n">
        <v>46308</v>
      </c>
      <c r="F8" t="inlineStr">
        <is>
          <t>VÄRMLANDS LÄN</t>
        </is>
      </c>
      <c r="G8" t="inlineStr">
        <is>
          <t>KRISTINEHAMN</t>
        </is>
      </c>
      <c r="I8" t="n">
        <v>91.90000000000001</v>
      </c>
      <c r="J8" t="n">
        <v>2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2</v>
      </c>
      <c r="R8" t="n">
        <v>0</v>
      </c>
      <c r="S8" t="n">
        <v>3</v>
      </c>
      <c r="T8" t="n">
        <v>3</v>
      </c>
      <c r="U8" t="n">
        <v>2</v>
      </c>
      <c r="V8" s="2" t="inlineStr">
        <is>
          <t>Talltita
Älg
Tjäder</t>
        </is>
      </c>
      <c r="W8">
        <f>HYPERLINK("https://klasma.github.io/Logging_1781/artfynd/S 2037-2023 artfynd.xlsx", "S 2037-2023")</f>
        <v/>
      </c>
      <c r="X8">
        <f>HYPERLINK("https://klasma.github.io/Logging_1781/kartor/S 2037-2023 karta.png", "S 2037-2023")</f>
        <v/>
      </c>
      <c r="Y8">
        <f>HYPERLINK("https://klasma.github.io/Logging_1781/kartor_geotiff/S 2037-2023 georefererad karta.tif", "S 2037-2023")</f>
        <v/>
      </c>
      <c r="AA8">
        <f>HYPERLINK("https://klasma.github.io/Logging_1781/klagomål/S 2037-2023 FSC-klagomål.docx", "S 2037-2023")</f>
        <v/>
      </c>
      <c r="AB8">
        <f>HYPERLINK("https://klasma.github.io/Logging_1781/klagomålsmail/S 2037-2023 FSC-klagomål mail.docx", "S 2037-2023")</f>
        <v/>
      </c>
      <c r="AC8">
        <f>HYPERLINK("https://klasma.github.io/Logging_1781/tillsyn/S 2037-2023 tillsynsbegäran.docx", "S 2037-2023")</f>
        <v/>
      </c>
      <c r="AD8">
        <f>HYPERLINK("https://klasma.github.io/Logging_1781/tillsynsmail/S 2037-2023 tillsynsbegäran mail.docx", "S 2037-2023")</f>
        <v/>
      </c>
      <c r="AE8">
        <f>HYPERLINK("https://klasma.github.io/Logging_1781/fåglar/S 2037-2023 prioriterade fågelarter.docx", "S 2037-2023")</f>
        <v/>
      </c>
    </row>
    <row r="9" ht="15" customHeight="1">
      <c r="A9" t="inlineStr">
        <is>
          <t>S 3886-2024</t>
        </is>
      </c>
      <c r="B9" t="inlineStr">
        <is>
          <t>samrådsanmälan</t>
        </is>
      </c>
      <c r="C9" t="inlineStr">
        <is>
          <t>Askåterföring</t>
        </is>
      </c>
      <c r="D9" s="1" t="n">
        <v>45561</v>
      </c>
      <c r="E9" s="1" t="n">
        <v>46308</v>
      </c>
      <c r="F9" t="inlineStr">
        <is>
          <t>VÄRMLANDS LÄN</t>
        </is>
      </c>
      <c r="G9" t="inlineStr">
        <is>
          <t>KRISTINEHAMN</t>
        </is>
      </c>
      <c r="I9" t="n">
        <v>93.5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3</v>
      </c>
      <c r="T9" t="n">
        <v>3</v>
      </c>
      <c r="U9" t="n">
        <v>3</v>
      </c>
      <c r="V9" s="2" t="inlineStr">
        <is>
          <t>Nordfladdermus
Mattlummer
Vattenfladdermus</t>
        </is>
      </c>
      <c r="W9">
        <f>HYPERLINK("https://klasma.github.io/Logging_1781/artfynd/S 3886-2024 artfynd.xlsx", "S 3886-2024")</f>
        <v/>
      </c>
      <c r="X9">
        <f>HYPERLINK("https://klasma.github.io/Logging_1781/kartor/S 3886-2024 karta.png", "S 3886-2024")</f>
        <v/>
      </c>
      <c r="Y9">
        <f>HYPERLINK("https://klasma.github.io/Logging_1781/kartor_geotiff/S 3886-2024 georefererad karta.tif", "S 3886-2024")</f>
        <v/>
      </c>
      <c r="AA9">
        <f>HYPERLINK("https://klasma.github.io/Logging_1781/klagomål/S 3886-2024 FSC-klagomål.docx", "S 3886-2024")</f>
        <v/>
      </c>
      <c r="AB9">
        <f>HYPERLINK("https://klasma.github.io/Logging_1781/klagomålsmail/S 3886-2024 FSC-klagomål mail.docx", "S 3886-2024")</f>
        <v/>
      </c>
      <c r="AC9">
        <f>HYPERLINK("https://klasma.github.io/Logging_1781/tillsyn/S 3886-2024 tillsynsbegäran.docx", "S 3886-2024")</f>
        <v/>
      </c>
      <c r="AD9">
        <f>HYPERLINK("https://klasma.github.io/Logging_1781/tillsynsmail/S 3886-2024 tillsynsbegäran mail.docx", "S 3886-2024")</f>
        <v/>
      </c>
    </row>
    <row r="10" ht="15" customHeight="1">
      <c r="A10" t="inlineStr">
        <is>
          <t>S 3896-2024</t>
        </is>
      </c>
      <c r="B10" t="inlineStr">
        <is>
          <t>samrådsanmälan</t>
        </is>
      </c>
      <c r="C10" t="inlineStr">
        <is>
          <t>Skogsgödsling</t>
        </is>
      </c>
      <c r="D10" s="1" t="n">
        <v>45562</v>
      </c>
      <c r="E10" s="1" t="n">
        <v>46308</v>
      </c>
      <c r="F10" t="inlineStr">
        <is>
          <t>VÄRMLANDS LÄN</t>
        </is>
      </c>
      <c r="G10" t="inlineStr">
        <is>
          <t>KRISTINEHAMN</t>
        </is>
      </c>
      <c r="H10" t="inlineStr">
        <is>
          <t>Sveaskog</t>
        </is>
      </c>
      <c r="I10" t="n">
        <v>136.7</v>
      </c>
      <c r="J10" t="n">
        <v>2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0</v>
      </c>
      <c r="S10" t="n">
        <v>3</v>
      </c>
      <c r="T10" t="n">
        <v>3</v>
      </c>
      <c r="U10" t="n">
        <v>2</v>
      </c>
      <c r="V10" s="2" t="inlineStr">
        <is>
          <t>Nordfladdermus
Rödlånke
Vanlig padda</t>
        </is>
      </c>
      <c r="W10">
        <f>HYPERLINK("https://klasma.github.io/Logging_1781/artfynd/S 3896-2024 artfynd.xlsx", "S 3896-2024")</f>
        <v/>
      </c>
      <c r="X10">
        <f>HYPERLINK("https://klasma.github.io/Logging_1781/kartor/S 3896-2024 karta.png", "S 3896-2024")</f>
        <v/>
      </c>
      <c r="Y10">
        <f>HYPERLINK("https://klasma.github.io/Logging_1781/kartor_geotiff/S 3896-2024 georefererad karta.tif", "S 3896-2024")</f>
        <v/>
      </c>
      <c r="AA10">
        <f>HYPERLINK("https://klasma.github.io/Logging_1781/klagomål/S 3896-2024 FSC-klagomål.docx", "S 3896-2024")</f>
        <v/>
      </c>
      <c r="AB10">
        <f>HYPERLINK("https://klasma.github.io/Logging_1781/klagomålsmail/S 3896-2024 FSC-klagomål mail.docx", "S 3896-2024")</f>
        <v/>
      </c>
      <c r="AC10">
        <f>HYPERLINK("https://klasma.github.io/Logging_1781/tillsyn/S 3896-2024 tillsynsbegäran.docx", "S 3896-2024")</f>
        <v/>
      </c>
      <c r="AD10">
        <f>HYPERLINK("https://klasma.github.io/Logging_1781/tillsynsmail/S 3896-2024 tillsynsbegäran mail.docx", "S 3896-2024")</f>
        <v/>
      </c>
    </row>
    <row r="11" ht="15" customHeight="1">
      <c r="A11" t="inlineStr">
        <is>
          <t>A 32991-2023</t>
        </is>
      </c>
      <c r="B11" t="inlineStr">
        <is>
          <t>avverkningsanmälan</t>
        </is>
      </c>
      <c r="C11" t="inlineStr">
        <is>
          <t>Avverkning för annat ändamål</t>
        </is>
      </c>
      <c r="D11" s="1" t="n">
        <v>45113</v>
      </c>
      <c r="E11" s="1" t="n">
        <v>46308</v>
      </c>
      <c r="F11" t="inlineStr">
        <is>
          <t>VÄRMLANDS LÄN</t>
        </is>
      </c>
      <c r="G11" t="inlineStr">
        <is>
          <t>KRISTINEHAMN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2</v>
      </c>
      <c r="T11" t="n">
        <v>3</v>
      </c>
      <c r="U11" t="n">
        <v>0</v>
      </c>
      <c r="V11" s="2" t="inlineStr">
        <is>
          <t>Stor sotdyna
Gulnål</t>
        </is>
      </c>
      <c r="W11">
        <f>HYPERLINK("https://klasma.github.io/Logging_1781/artfynd/A 32991-2023 artfynd.xlsx", "A 32991-2023")</f>
        <v/>
      </c>
      <c r="X11">
        <f>HYPERLINK("https://klasma.github.io/Logging_1781/kartor/A 32991-2023 karta.png", "A 32991-2023")</f>
        <v/>
      </c>
      <c r="Y11">
        <f>HYPERLINK("https://klasma.github.io/Logging_1781/kartor_geotiff/A 32991-2023 georefererad karta.tif", "A 32991-2023")</f>
        <v/>
      </c>
      <c r="AA11">
        <f>HYPERLINK("https://klasma.github.io/Logging_1781/klagomål/A 32991-2023 FSC-klagomål.docx", "A 32991-2023")</f>
        <v/>
      </c>
      <c r="AB11">
        <f>HYPERLINK("https://klasma.github.io/Logging_1781/klagomålsmail/A 32991-2023 FSC-klagomål mail.docx", "A 32991-2023")</f>
        <v/>
      </c>
      <c r="AC11">
        <f>HYPERLINK("https://klasma.github.io/Logging_1781/tillsyn/A 32991-2023 tillsynsbegäran.docx", "A 32991-2023")</f>
        <v/>
      </c>
      <c r="AD11">
        <f>HYPERLINK("https://klasma.github.io/Logging_1781/tillsynsmail/A 32991-2023 tillsynsbegäran mail.docx", "A 32991-2023")</f>
        <v/>
      </c>
    </row>
    <row r="12" ht="15" customHeight="1">
      <c r="A12" t="inlineStr">
        <is>
          <t>S 3838-2023</t>
        </is>
      </c>
      <c r="B12" t="inlineStr">
        <is>
          <t>samrådsanmälan</t>
        </is>
      </c>
      <c r="C12" t="inlineStr">
        <is>
          <t>Åtgärd i nyckelbiotop</t>
        </is>
      </c>
      <c r="D12" s="1" t="n">
        <v>45233</v>
      </c>
      <c r="E12" s="1" t="n">
        <v>46308</v>
      </c>
      <c r="F12" t="inlineStr">
        <is>
          <t>VÄRMLANDS LÄN</t>
        </is>
      </c>
      <c r="G12" t="inlineStr">
        <is>
          <t>KRISTINEHAMN</t>
        </is>
      </c>
      <c r="I12" t="n">
        <v>1.1</v>
      </c>
      <c r="J12" t="n">
        <v>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</v>
      </c>
      <c r="T12" t="n">
        <v>2</v>
      </c>
      <c r="U12" t="n">
        <v>0</v>
      </c>
      <c r="V12" s="2" t="inlineStr">
        <is>
          <t>Spillkråka
Gröngöling</t>
        </is>
      </c>
      <c r="W12">
        <f>HYPERLINK("https://klasma.github.io/Logging_1781/artfynd/S 3838-2023 artfynd.xlsx", "S 3838-2023")</f>
        <v/>
      </c>
      <c r="X12">
        <f>HYPERLINK("https://klasma.github.io/Logging_1781/kartor/S 3838-2023 karta.png", "S 3838-2023")</f>
        <v/>
      </c>
      <c r="Y12">
        <f>HYPERLINK("https://klasma.github.io/Logging_1781/kartor_geotiff/S 3838-2023 georefererad karta.tif", "S 3838-2023")</f>
        <v/>
      </c>
      <c r="AA12">
        <f>HYPERLINK("https://klasma.github.io/Logging_1781/klagomål/S 3838-2023 FSC-klagomål.docx", "S 3838-2023")</f>
        <v/>
      </c>
      <c r="AB12">
        <f>HYPERLINK("https://klasma.github.io/Logging_1781/klagomålsmail/S 3838-2023 FSC-klagomål mail.docx", "S 3838-2023")</f>
        <v/>
      </c>
      <c r="AC12">
        <f>HYPERLINK("https://klasma.github.io/Logging_1781/tillsyn/S 3838-2023 tillsynsbegäran.docx", "S 3838-2023")</f>
        <v/>
      </c>
      <c r="AD12">
        <f>HYPERLINK("https://klasma.github.io/Logging_1781/tillsynsmail/S 3838-2023 tillsynsbegäran mail.docx", "S 3838-2023")</f>
        <v/>
      </c>
      <c r="AE12">
        <f>HYPERLINK("https://klasma.github.io/Logging_1781/fåglar/S 3838-2023 prioriterade fågelarter.docx", "S 3838-2023")</f>
        <v/>
      </c>
    </row>
    <row r="13" ht="15" customHeight="1">
      <c r="A13" t="inlineStr">
        <is>
          <t>S 2398-2022</t>
        </is>
      </c>
      <c r="B13" t="inlineStr">
        <is>
          <t>samrådsanmälan</t>
        </is>
      </c>
      <c r="C13" t="inlineStr">
        <is>
          <t>Askåterföring</t>
        </is>
      </c>
      <c r="D13" s="1" t="n">
        <v>44690</v>
      </c>
      <c r="E13" s="1" t="n">
        <v>46308</v>
      </c>
      <c r="F13" t="inlineStr">
        <is>
          <t>VÄRMLANDS LÄN</t>
        </is>
      </c>
      <c r="G13" t="inlineStr">
        <is>
          <t>KRISTINEHAMN</t>
        </is>
      </c>
      <c r="I13" t="n">
        <v>156.6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2</v>
      </c>
      <c r="R13" t="n">
        <v>1</v>
      </c>
      <c r="S13" t="n">
        <v>2</v>
      </c>
      <c r="T13" t="n">
        <v>4</v>
      </c>
      <c r="U13" t="n">
        <v>3</v>
      </c>
      <c r="V13" s="2" t="inlineStr">
        <is>
          <t>Dvärglin
Talltita</t>
        </is>
      </c>
      <c r="W13">
        <f>HYPERLINK("https://klasma.github.io/Logging_1781/artfynd/S 2398-2022 artfynd.xlsx", "S 2398-2022")</f>
        <v/>
      </c>
      <c r="X13">
        <f>HYPERLINK("https://klasma.github.io/Logging_1781/kartor/S 2398-2022 karta.png", "S 2398-2022")</f>
        <v/>
      </c>
      <c r="Y13">
        <f>HYPERLINK("https://klasma.github.io/Logging_1781/kartor_geotiff/S 2398-2022 georefererad karta.tif", "S 2398-2022")</f>
        <v/>
      </c>
      <c r="AA13">
        <f>HYPERLINK("https://klasma.github.io/Logging_1781/klagomål/S 2398-2022 FSC-klagomål.docx", "S 2398-2022")</f>
        <v/>
      </c>
      <c r="AB13">
        <f>HYPERLINK("https://klasma.github.io/Logging_1781/klagomålsmail/S 2398-2022 FSC-klagomål mail.docx", "S 2398-2022")</f>
        <v/>
      </c>
      <c r="AC13">
        <f>HYPERLINK("https://klasma.github.io/Logging_1781/tillsyn/S 2398-2022 tillsynsbegäran.docx", "S 2398-2022")</f>
        <v/>
      </c>
      <c r="AD13">
        <f>HYPERLINK("https://klasma.github.io/Logging_1781/tillsynsmail/S 2398-2022 tillsynsbegäran mail.docx", "S 2398-2022")</f>
        <v/>
      </c>
      <c r="AE13">
        <f>HYPERLINK("https://klasma.github.io/Logging_1781/fåglar/S 2398-2022 prioriterade fågelarter.docx", "S 2398-2022")</f>
        <v/>
      </c>
    </row>
    <row r="14" ht="15" customHeight="1">
      <c r="A14" t="inlineStr">
        <is>
          <t>A 68497-2021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44525</v>
      </c>
      <c r="E14" s="1" t="n">
        <v>46308</v>
      </c>
      <c r="F14" t="inlineStr">
        <is>
          <t>VÄRMLANDS LÄN</t>
        </is>
      </c>
      <c r="G14" t="inlineStr">
        <is>
          <t>KRISTINEHAMN</t>
        </is>
      </c>
      <c r="I14" t="n">
        <v>2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2</v>
      </c>
      <c r="U14" t="n">
        <v>1</v>
      </c>
      <c r="V14" s="2" t="inlineStr">
        <is>
          <t>Slåttergubbe</t>
        </is>
      </c>
      <c r="W14">
        <f>HYPERLINK("https://klasma.github.io/Logging_1781/artfynd/A 68497-2021 artfynd.xlsx", "A 68497-2021")</f>
        <v/>
      </c>
      <c r="X14">
        <f>HYPERLINK("https://klasma.github.io/Logging_1781/kartor/A 68497-2021 karta.png", "A 68497-2021")</f>
        <v/>
      </c>
      <c r="Y14">
        <f>HYPERLINK("https://klasma.github.io/Logging_1781/kartor_geotiff/A 68497-2021 georefererad karta.tif", "A 68497-2021")</f>
        <v/>
      </c>
      <c r="AA14">
        <f>HYPERLINK("https://klasma.github.io/Logging_1781/klagomål/A 68497-2021 FSC-klagomål.docx", "A 68497-2021")</f>
        <v/>
      </c>
      <c r="AB14">
        <f>HYPERLINK("https://klasma.github.io/Logging_1781/klagomålsmail/A 68497-2021 FSC-klagomål mail.docx", "A 68497-2021")</f>
        <v/>
      </c>
      <c r="AC14">
        <f>HYPERLINK("https://klasma.github.io/Logging_1781/tillsyn/A 68497-2021 tillsynsbegäran.docx", "A 68497-2021")</f>
        <v/>
      </c>
      <c r="AD14">
        <f>HYPERLINK("https://klasma.github.io/Logging_1781/tillsynsmail/A 68497-2021 tillsynsbegäran mail.docx", "A 68497-2021")</f>
        <v/>
      </c>
    </row>
    <row r="15" ht="15" customHeight="1">
      <c r="A15" t="inlineStr">
        <is>
          <t>A 31115-2022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44769</v>
      </c>
      <c r="E15" s="1" t="n">
        <v>46308</v>
      </c>
      <c r="F15" t="inlineStr">
        <is>
          <t>VÄRMLANDS LÄN</t>
        </is>
      </c>
      <c r="G15" t="inlineStr">
        <is>
          <t>KRISTINEHAMN</t>
        </is>
      </c>
      <c r="I15" t="n">
        <v>0.5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s="2" t="inlineStr">
        <is>
          <t>Vanlig padda</t>
        </is>
      </c>
      <c r="W15">
        <f>HYPERLINK("https://klasma.github.io/Logging_1781/artfynd/A 31115-2022 artfynd.xlsx", "A 31115-2022")</f>
        <v/>
      </c>
      <c r="X15">
        <f>HYPERLINK("https://klasma.github.io/Logging_1781/kartor/A 31115-2022 karta.png", "A 31115-2022")</f>
        <v/>
      </c>
      <c r="Y15">
        <f>HYPERLINK("https://klasma.github.io/Logging_1781/kartor_geotiff/A 31115-2022 georefererad karta.tif", "A 31115-2022")</f>
        <v/>
      </c>
      <c r="AA15">
        <f>HYPERLINK("https://klasma.github.io/Logging_1781/klagomål/A 31115-2022 FSC-klagomål.docx", "A 31115-2022")</f>
        <v/>
      </c>
      <c r="AB15">
        <f>HYPERLINK("https://klasma.github.io/Logging_1781/klagomålsmail/A 31115-2022 FSC-klagomål mail.docx", "A 31115-2022")</f>
        <v/>
      </c>
      <c r="AC15">
        <f>HYPERLINK("https://klasma.github.io/Logging_1781/tillsyn/A 31115-2022 tillsynsbegäran.docx", "A 31115-2022")</f>
        <v/>
      </c>
      <c r="AD15">
        <f>HYPERLINK("https://klasma.github.io/Logging_1781/tillsynsmail/A 31115-2022 tillsynsbegäran mail.docx", "A 31115-2022")</f>
        <v/>
      </c>
    </row>
    <row r="16" ht="15" customHeight="1">
      <c r="A16" t="inlineStr">
        <is>
          <t>A 1734-2022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44574</v>
      </c>
      <c r="E16" s="1" t="n">
        <v>46308</v>
      </c>
      <c r="F16" t="inlineStr">
        <is>
          <t>VÄRMLANDS LÄN</t>
        </is>
      </c>
      <c r="G16" t="inlineStr">
        <is>
          <t>KRISTINEHAMN</t>
        </is>
      </c>
      <c r="I16" t="n">
        <v>4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s="2" t="inlineStr">
        <is>
          <t>Hasselmus</t>
        </is>
      </c>
      <c r="W16">
        <f>HYPERLINK("https://klasma.github.io/Logging_1781/artfynd/A 1734-2022 artfynd.xlsx", "A 1734-2022")</f>
        <v/>
      </c>
      <c r="X16">
        <f>HYPERLINK("https://klasma.github.io/Logging_1781/kartor/A 1734-2022 karta.png", "A 1734-2022")</f>
        <v/>
      </c>
      <c r="Y16">
        <f>HYPERLINK("https://klasma.github.io/Logging_1781/kartor_geotiff/A 1734-2022 georefererad karta.tif", "A 1734-2022")</f>
        <v/>
      </c>
      <c r="AA16">
        <f>HYPERLINK("https://klasma.github.io/Logging_1781/klagomål/A 1734-2022 FSC-klagomål.docx", "A 1734-2022")</f>
        <v/>
      </c>
      <c r="AB16">
        <f>HYPERLINK("https://klasma.github.io/Logging_1781/klagomålsmail/A 1734-2022 FSC-klagomål mail.docx", "A 1734-2022")</f>
        <v/>
      </c>
      <c r="AC16">
        <f>HYPERLINK("https://klasma.github.io/Logging_1781/tillsyn/A 1734-2022 tillsynsbegäran.docx", "A 1734-2022")</f>
        <v/>
      </c>
      <c r="AD16">
        <f>HYPERLINK("https://klasma.github.io/Logging_1781/tillsynsmail/A 1734-2022 tillsynsbegäran mail.docx", "A 1734-2022")</f>
        <v/>
      </c>
    </row>
    <row r="17" ht="15" customHeight="1">
      <c r="A17" t="inlineStr">
        <is>
          <t>A 68490-2021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44525</v>
      </c>
      <c r="E17" s="1" t="n">
        <v>46308</v>
      </c>
      <c r="F17" t="inlineStr">
        <is>
          <t>VÄRMLANDS LÄN</t>
        </is>
      </c>
      <c r="G17" t="inlineStr">
        <is>
          <t>KRISTINEHAMN</t>
        </is>
      </c>
      <c r="I17" t="n">
        <v>1.8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s="2" t="inlineStr">
        <is>
          <t>Igelkott</t>
        </is>
      </c>
      <c r="W17">
        <f>HYPERLINK("https://klasma.github.io/Logging_1781/artfynd/A 68490-2021 artfynd.xlsx", "A 68490-2021")</f>
        <v/>
      </c>
      <c r="X17">
        <f>HYPERLINK("https://klasma.github.io/Logging_1781/kartor/A 68490-2021 karta.png", "A 68490-2021")</f>
        <v/>
      </c>
      <c r="Y17">
        <f>HYPERLINK("https://klasma.github.io/Logging_1781/kartor_geotiff/A 68490-2021 georefererad karta.tif", "A 68490-2021")</f>
        <v/>
      </c>
      <c r="AA17">
        <f>HYPERLINK("https://klasma.github.io/Logging_1781/klagomål/A 68490-2021 FSC-klagomål.docx", "A 68490-2021")</f>
        <v/>
      </c>
      <c r="AB17">
        <f>HYPERLINK("https://klasma.github.io/Logging_1781/klagomålsmail/A 68490-2021 FSC-klagomål mail.docx", "A 68490-2021")</f>
        <v/>
      </c>
      <c r="AC17">
        <f>HYPERLINK("https://klasma.github.io/Logging_1781/tillsyn/A 68490-2021 tillsynsbegäran.docx", "A 68490-2021")</f>
        <v/>
      </c>
      <c r="AD17">
        <f>HYPERLINK("https://klasma.github.io/Logging_1781/tillsynsmail/A 68490-2021 tillsynsbegäran mail.docx", "A 68490-2021")</f>
        <v/>
      </c>
    </row>
    <row r="18" ht="15" customHeight="1">
      <c r="A18" t="inlineStr">
        <is>
          <t>A 8920-2022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44614</v>
      </c>
      <c r="E18" s="1" t="n">
        <v>46308</v>
      </c>
      <c r="F18" t="inlineStr">
        <is>
          <t>VÄRMLANDS LÄN</t>
        </is>
      </c>
      <c r="G18" t="inlineStr">
        <is>
          <t>KRISTINEHAMN</t>
        </is>
      </c>
      <c r="I18" t="n">
        <v>6.2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s="2" t="inlineStr">
        <is>
          <t>Fläcknycklar</t>
        </is>
      </c>
      <c r="W18">
        <f>HYPERLINK("https://klasma.github.io/Logging_1781/artfynd/A 8920-2022 artfynd.xlsx", "A 8920-2022")</f>
        <v/>
      </c>
      <c r="X18">
        <f>HYPERLINK("https://klasma.github.io/Logging_1781/kartor/A 8920-2022 karta.png", "A 8920-2022")</f>
        <v/>
      </c>
      <c r="Y18">
        <f>HYPERLINK("https://klasma.github.io/Logging_1781/kartor_geotiff/A 8920-2022 georefererad karta.tif", "A 8920-2022")</f>
        <v/>
      </c>
      <c r="AA18">
        <f>HYPERLINK("https://klasma.github.io/Logging_1781/klagomål/A 8920-2022 FSC-klagomål.docx", "A 8920-2022")</f>
        <v/>
      </c>
      <c r="AB18">
        <f>HYPERLINK("https://klasma.github.io/Logging_1781/klagomålsmail/A 8920-2022 FSC-klagomål mail.docx", "A 8920-2022")</f>
        <v/>
      </c>
      <c r="AC18">
        <f>HYPERLINK("https://klasma.github.io/Logging_1781/tillsyn/A 8920-2022 tillsynsbegäran.docx", "A 8920-2022")</f>
        <v/>
      </c>
      <c r="AD18">
        <f>HYPERLINK("https://klasma.github.io/Logging_1781/tillsynsmail/A 8920-2022 tillsynsbegäran mail.docx", "A 8920-2022")</f>
        <v/>
      </c>
    </row>
    <row r="19" ht="15" customHeight="1">
      <c r="A19" t="inlineStr">
        <is>
          <t>A 13025-2023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45002</v>
      </c>
      <c r="E19" s="1" t="n">
        <v>46308</v>
      </c>
      <c r="F19" t="inlineStr">
        <is>
          <t>VÄRMLANDS LÄN</t>
        </is>
      </c>
      <c r="G19" t="inlineStr">
        <is>
          <t>KRISTINEHAMN</t>
        </is>
      </c>
      <c r="I19" t="n">
        <v>5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Kamjordstjärna</t>
        </is>
      </c>
      <c r="W19">
        <f>HYPERLINK("https://klasma.github.io/Logging_1781/artfynd/A 13025-2023 artfynd.xlsx", "A 13025-2023")</f>
        <v/>
      </c>
      <c r="X19">
        <f>HYPERLINK("https://klasma.github.io/Logging_1781/kartor/A 13025-2023 karta.png", "A 13025-2023")</f>
        <v/>
      </c>
      <c r="Y19">
        <f>HYPERLINK("https://klasma.github.io/Logging_1781/kartor_geotiff/A 13025-2023 georefererad karta.tif", "A 13025-2023")</f>
        <v/>
      </c>
      <c r="AA19">
        <f>HYPERLINK("https://klasma.github.io/Logging_1781/klagomål/A 13025-2023 FSC-klagomål.docx", "A 13025-2023")</f>
        <v/>
      </c>
      <c r="AB19">
        <f>HYPERLINK("https://klasma.github.io/Logging_1781/klagomålsmail/A 13025-2023 FSC-klagomål mail.docx", "A 13025-2023")</f>
        <v/>
      </c>
      <c r="AC19">
        <f>HYPERLINK("https://klasma.github.io/Logging_1781/tillsyn/A 13025-2023 tillsynsbegäran.docx", "A 13025-2023")</f>
        <v/>
      </c>
      <c r="AD19">
        <f>HYPERLINK("https://klasma.github.io/Logging_1781/tillsynsmail/A 13025-2023 tillsynsbegäran mail.docx", "A 13025-2023")</f>
        <v/>
      </c>
    </row>
    <row r="20" ht="15" customHeight="1">
      <c r="A20" t="inlineStr">
        <is>
          <t>A 53607-2025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45960</v>
      </c>
      <c r="E20" s="1" t="n">
        <v>46308</v>
      </c>
      <c r="F20" t="inlineStr">
        <is>
          <t>VÄRMLANDS LÄN</t>
        </is>
      </c>
      <c r="G20" t="inlineStr">
        <is>
          <t>KRISTINEHAMN</t>
        </is>
      </c>
      <c r="H20" t="inlineStr">
        <is>
          <t>Naturvårdsverket</t>
        </is>
      </c>
      <c r="I20" t="n">
        <v>4.6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s="2" t="inlineStr">
        <is>
          <t>Grön sköldmossa</t>
        </is>
      </c>
      <c r="W20">
        <f>HYPERLINK("https://klasma.github.io/Logging_1781/artfynd/A 53607-2025 artfynd.xlsx", "A 53607-2025")</f>
        <v/>
      </c>
      <c r="X20">
        <f>HYPERLINK("https://klasma.github.io/Logging_1781/kartor/A 53607-2025 karta.png", "A 53607-2025")</f>
        <v/>
      </c>
      <c r="Y20">
        <f>HYPERLINK("https://klasma.github.io/Logging_1781/kartor_geotiff/A 53607-2025 georefererad karta.tif", "A 53607-2025")</f>
        <v/>
      </c>
      <c r="AA20">
        <f>HYPERLINK("https://klasma.github.io/Logging_1781/klagomål/A 53607-2025 FSC-klagomål.docx", "A 53607-2025")</f>
        <v/>
      </c>
      <c r="AB20">
        <f>HYPERLINK("https://klasma.github.io/Logging_1781/klagomålsmail/A 53607-2025 FSC-klagomål mail.docx", "A 53607-2025")</f>
        <v/>
      </c>
      <c r="AC20">
        <f>HYPERLINK("https://klasma.github.io/Logging_1781/tillsyn/A 53607-2025 tillsynsbegäran.docx", "A 53607-2025")</f>
        <v/>
      </c>
      <c r="AD20">
        <f>HYPERLINK("https://klasma.github.io/Logging_1781/tillsynsmail/A 53607-2025 tillsynsbegäran mail.docx", "A 53607-2025")</f>
        <v/>
      </c>
    </row>
    <row r="21" ht="15" customHeight="1">
      <c r="A21" t="inlineStr">
        <is>
          <t>A 53630-2025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45960</v>
      </c>
      <c r="E21" s="1" t="n">
        <v>46308</v>
      </c>
      <c r="F21" t="inlineStr">
        <is>
          <t>VÄRMLANDS LÄN</t>
        </is>
      </c>
      <c r="G21" t="inlineStr">
        <is>
          <t>KRISTINEHAMN</t>
        </is>
      </c>
      <c r="H21" t="inlineStr">
        <is>
          <t>Naturvårdsverket</t>
        </is>
      </c>
      <c r="I21" t="n">
        <v>4.6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s="2" t="inlineStr">
        <is>
          <t>Grön sköldmossa</t>
        </is>
      </c>
      <c r="W21">
        <f>HYPERLINK("https://klasma.github.io/Logging_1781/artfynd/A 53630-2025 artfynd.xlsx", "A 53630-2025")</f>
        <v/>
      </c>
      <c r="X21">
        <f>HYPERLINK("https://klasma.github.io/Logging_1781/kartor/A 53630-2025 karta.png", "A 53630-2025")</f>
        <v/>
      </c>
      <c r="Y21">
        <f>HYPERLINK("https://klasma.github.io/Logging_1781/kartor_geotiff/A 53630-2025 georefererad karta.tif", "A 53630-2025")</f>
        <v/>
      </c>
      <c r="AA21">
        <f>HYPERLINK("https://klasma.github.io/Logging_1781/klagomål/A 53630-2025 FSC-klagomål.docx", "A 53630-2025")</f>
        <v/>
      </c>
      <c r="AB21">
        <f>HYPERLINK("https://klasma.github.io/Logging_1781/klagomålsmail/A 53630-2025 FSC-klagomål mail.docx", "A 53630-2025")</f>
        <v/>
      </c>
      <c r="AC21">
        <f>HYPERLINK("https://klasma.github.io/Logging_1781/tillsyn/A 53630-2025 tillsynsbegäran.docx", "A 53630-2025")</f>
        <v/>
      </c>
      <c r="AD21">
        <f>HYPERLINK("https://klasma.github.io/Logging_1781/tillsynsmail/A 53630-2025 tillsynsbegäran mail.docx", "A 53630-2025")</f>
        <v/>
      </c>
    </row>
    <row r="22" ht="15" customHeight="1">
      <c r="A22" t="inlineStr">
        <is>
          <t>A 59096-2024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45637</v>
      </c>
      <c r="E22" s="1" t="n">
        <v>46308</v>
      </c>
      <c r="F22" t="inlineStr">
        <is>
          <t>VÄRMLANDS LÄN</t>
        </is>
      </c>
      <c r="G22" t="inlineStr">
        <is>
          <t>KRISTINEHAMN</t>
        </is>
      </c>
      <c r="I22" t="n">
        <v>4.4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3</v>
      </c>
      <c r="U22" t="n">
        <v>0</v>
      </c>
      <c r="V22" s="2" t="inlineStr">
        <is>
          <t>Bombmurkla</t>
        </is>
      </c>
      <c r="W22">
        <f>HYPERLINK("https://klasma.github.io/Logging_1781/artfynd/A 59096-2024 artfynd.xlsx", "A 59096-2024")</f>
        <v/>
      </c>
      <c r="X22">
        <f>HYPERLINK("https://klasma.github.io/Logging_1781/kartor/A 59096-2024 karta.png", "A 59096-2024")</f>
        <v/>
      </c>
      <c r="Y22">
        <f>HYPERLINK("https://klasma.github.io/Logging_1781/kartor_geotiff/A 59096-2024 georefererad karta.tif", "A 59096-2024")</f>
        <v/>
      </c>
      <c r="AA22">
        <f>HYPERLINK("https://klasma.github.io/Logging_1781/klagomål/A 59096-2024 FSC-klagomål.docx", "A 59096-2024")</f>
        <v/>
      </c>
      <c r="AB22">
        <f>HYPERLINK("https://klasma.github.io/Logging_1781/klagomålsmail/A 59096-2024 FSC-klagomål mail.docx", "A 59096-2024")</f>
        <v/>
      </c>
      <c r="AC22">
        <f>HYPERLINK("https://klasma.github.io/Logging_1781/tillsyn/A 59096-2024 tillsynsbegäran.docx", "A 59096-2024")</f>
        <v/>
      </c>
      <c r="AD22">
        <f>HYPERLINK("https://klasma.github.io/Logging_1781/tillsynsmail/A 59096-2024 tillsynsbegäran mail.docx", "A 59096-2024")</f>
        <v/>
      </c>
    </row>
    <row r="23" ht="15" customHeight="1">
      <c r="A23" t="inlineStr">
        <is>
          <t>A 58021-2025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45982</v>
      </c>
      <c r="E23" s="1" t="n">
        <v>46308</v>
      </c>
      <c r="F23" t="inlineStr">
        <is>
          <t>VÄRMLANDS LÄN</t>
        </is>
      </c>
      <c r="G23" t="inlineStr">
        <is>
          <t>KRISTINEHAMN</t>
        </is>
      </c>
      <c r="I23" t="n">
        <v>4.2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s="2" t="inlineStr">
        <is>
          <t>Slåttergubbe</t>
        </is>
      </c>
      <c r="W23">
        <f>HYPERLINK("https://klasma.github.io/Logging_1781/artfynd/A 58021-2025 artfynd.xlsx", "A 58021-2025")</f>
        <v/>
      </c>
      <c r="X23">
        <f>HYPERLINK("https://klasma.github.io/Logging_1781/kartor/A 58021-2025 karta.png", "A 58021-2025")</f>
        <v/>
      </c>
      <c r="Y23">
        <f>HYPERLINK("https://klasma.github.io/Logging_1781/kartor_geotiff/A 58021-2025 georefererad karta.tif", "A 58021-2025")</f>
        <v/>
      </c>
      <c r="AA23">
        <f>HYPERLINK("https://klasma.github.io/Logging_1781/klagomål/A 58021-2025 FSC-klagomål.docx", "A 58021-2025")</f>
        <v/>
      </c>
      <c r="AB23">
        <f>HYPERLINK("https://klasma.github.io/Logging_1781/klagomålsmail/A 58021-2025 FSC-klagomål mail.docx", "A 58021-2025")</f>
        <v/>
      </c>
      <c r="AC23">
        <f>HYPERLINK("https://klasma.github.io/Logging_1781/tillsyn/A 58021-2025 tillsynsbegäran.docx", "A 58021-2025")</f>
        <v/>
      </c>
      <c r="AD23">
        <f>HYPERLINK("https://klasma.github.io/Logging_1781/tillsynsmail/A 58021-2025 tillsynsbegäran mail.docx", "A 58021-2025")</f>
        <v/>
      </c>
    </row>
    <row r="24" ht="15" customHeight="1">
      <c r="A24" t="inlineStr">
        <is>
          <t>A 2406-2025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45674</v>
      </c>
      <c r="E24" s="1" t="n">
        <v>46308</v>
      </c>
      <c r="F24" t="inlineStr">
        <is>
          <t>VÄRMLANDS LÄN</t>
        </is>
      </c>
      <c r="G24" t="inlineStr">
        <is>
          <t>KRISTINEHAMN</t>
        </is>
      </c>
      <c r="I24" t="n">
        <v>9.699999999999999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1</v>
      </c>
      <c r="V24" s="2" t="inlineStr">
        <is>
          <t>Fläcknycklar</t>
        </is>
      </c>
      <c r="W24">
        <f>HYPERLINK("https://klasma.github.io/Logging_1781/artfynd/A 2406-2025 artfynd.xlsx", "A 2406-2025")</f>
        <v/>
      </c>
      <c r="X24">
        <f>HYPERLINK("https://klasma.github.io/Logging_1781/kartor/A 2406-2025 karta.png", "A 2406-2025")</f>
        <v/>
      </c>
      <c r="Y24">
        <f>HYPERLINK("https://klasma.github.io/Logging_1781/kartor_geotiff/A 2406-2025 georefererad karta.tif", "A 2406-2025")</f>
        <v/>
      </c>
      <c r="AA24">
        <f>HYPERLINK("https://klasma.github.io/Logging_1781/klagomål/A 2406-2025 FSC-klagomål.docx", "A 2406-2025")</f>
        <v/>
      </c>
      <c r="AB24">
        <f>HYPERLINK("https://klasma.github.io/Logging_1781/klagomålsmail/A 2406-2025 FSC-klagomål mail.docx", "A 2406-2025")</f>
        <v/>
      </c>
      <c r="AC24">
        <f>HYPERLINK("https://klasma.github.io/Logging_1781/tillsyn/A 2406-2025 tillsynsbegäran.docx", "A 2406-2025")</f>
        <v/>
      </c>
      <c r="AD24">
        <f>HYPERLINK("https://klasma.github.io/Logging_1781/tillsynsmail/A 2406-2025 tillsynsbegäran mail.docx", "A 2406-2025")</f>
        <v/>
      </c>
    </row>
    <row r="25" ht="15" customHeight="1">
      <c r="A25" t="inlineStr">
        <is>
          <t>A 25888-2025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45804</v>
      </c>
      <c r="E25" s="1" t="n">
        <v>46308</v>
      </c>
      <c r="F25" t="inlineStr">
        <is>
          <t>VÄRMLANDS LÄN</t>
        </is>
      </c>
      <c r="G25" t="inlineStr">
        <is>
          <t>KRISTINEHAMN</t>
        </is>
      </c>
      <c r="I25" t="n">
        <v>5.9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1</v>
      </c>
      <c r="U25" t="n">
        <v>0</v>
      </c>
      <c r="V25" s="2" t="inlineStr">
        <is>
          <t>Trana</t>
        </is>
      </c>
      <c r="W25">
        <f>HYPERLINK("https://klasma.github.io/Logging_1781/artfynd/A 25888-2025 artfynd.xlsx", "A 25888-2025")</f>
        <v/>
      </c>
      <c r="X25">
        <f>HYPERLINK("https://klasma.github.io/Logging_1781/kartor/A 25888-2025 karta.png", "A 25888-2025")</f>
        <v/>
      </c>
      <c r="Y25">
        <f>HYPERLINK("https://klasma.github.io/Logging_1781/kartor_geotiff/A 25888-2025 georefererad karta.tif", "A 25888-2025")</f>
        <v/>
      </c>
      <c r="AA25">
        <f>HYPERLINK("https://klasma.github.io/Logging_1781/klagomål/A 25888-2025 FSC-klagomål.docx", "A 25888-2025")</f>
        <v/>
      </c>
      <c r="AB25">
        <f>HYPERLINK("https://klasma.github.io/Logging_1781/klagomålsmail/A 25888-2025 FSC-klagomål mail.docx", "A 25888-2025")</f>
        <v/>
      </c>
      <c r="AC25">
        <f>HYPERLINK("https://klasma.github.io/Logging_1781/tillsyn/A 25888-2025 tillsynsbegäran.docx", "A 25888-2025")</f>
        <v/>
      </c>
      <c r="AD25">
        <f>HYPERLINK("https://klasma.github.io/Logging_1781/tillsynsmail/A 25888-2025 tillsynsbegäran mail.docx", "A 25888-2025")</f>
        <v/>
      </c>
      <c r="AE25">
        <f>HYPERLINK("https://klasma.github.io/Logging_1781/fåglar/A 25888-2025 prioriterade fågelarter.docx", "A 25888-2025")</f>
        <v/>
      </c>
    </row>
    <row r="26" ht="15" customHeight="1">
      <c r="A26" t="inlineStr">
        <is>
          <t>A 61238-2025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46000</v>
      </c>
      <c r="E26" s="1" t="n">
        <v>46308</v>
      </c>
      <c r="F26" t="inlineStr">
        <is>
          <t>VÄRMLANDS LÄN</t>
        </is>
      </c>
      <c r="G26" t="inlineStr">
        <is>
          <t>KRISTINEHAMN</t>
        </is>
      </c>
      <c r="I26" t="n">
        <v>5.8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1</v>
      </c>
      <c r="U26" t="n">
        <v>0</v>
      </c>
      <c r="V26" s="2" t="inlineStr">
        <is>
          <t>Sparvuggla</t>
        </is>
      </c>
      <c r="W26">
        <f>HYPERLINK("https://klasma.github.io/Logging_1781/artfynd/A 61238-2025 artfynd.xlsx", "A 61238-2025")</f>
        <v/>
      </c>
      <c r="X26">
        <f>HYPERLINK("https://klasma.github.io/Logging_1781/kartor/A 61238-2025 karta.png", "A 61238-2025")</f>
        <v/>
      </c>
      <c r="Y26">
        <f>HYPERLINK("https://klasma.github.io/Logging_1781/kartor_geotiff/A 61238-2025 georefererad karta.tif", "A 61238-2025")</f>
        <v/>
      </c>
      <c r="AA26">
        <f>HYPERLINK("https://klasma.github.io/Logging_1781/klagomål/A 61238-2025 FSC-klagomål.docx", "A 61238-2025")</f>
        <v/>
      </c>
      <c r="AB26">
        <f>HYPERLINK("https://klasma.github.io/Logging_1781/klagomålsmail/A 61238-2025 FSC-klagomål mail.docx", "A 61238-2025")</f>
        <v/>
      </c>
      <c r="AC26">
        <f>HYPERLINK("https://klasma.github.io/Logging_1781/tillsyn/A 61238-2025 tillsynsbegäran.docx", "A 61238-2025")</f>
        <v/>
      </c>
      <c r="AD26">
        <f>HYPERLINK("https://klasma.github.io/Logging_1781/tillsynsmail/A 61238-2025 tillsynsbegäran mail.docx", "A 61238-2025")</f>
        <v/>
      </c>
      <c r="AE26">
        <f>HYPERLINK("https://klasma.github.io/Logging_1781/fåglar/A 61238-2025 prioriterade fågelarter.docx", "A 61238-2025")</f>
        <v/>
      </c>
    </row>
    <row r="27" ht="15" customHeight="1">
      <c r="A27" t="inlineStr">
        <is>
          <t>A 28394-2025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45819</v>
      </c>
      <c r="E27" s="1" t="n">
        <v>46308</v>
      </c>
      <c r="F27" t="inlineStr">
        <is>
          <t>VÄRMLANDS LÄN</t>
        </is>
      </c>
      <c r="G27" t="inlineStr">
        <is>
          <t>KRISTINEHAMN</t>
        </is>
      </c>
      <c r="I27" t="n">
        <v>1.4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0</v>
      </c>
      <c r="V27" s="2" t="inlineStr">
        <is>
          <t>Stor vårtrattskivling</t>
        </is>
      </c>
      <c r="W27">
        <f>HYPERLINK("https://klasma.github.io/Logging_1781/artfynd/A 28394-2025 artfynd.xlsx", "A 28394-2025")</f>
        <v/>
      </c>
      <c r="X27">
        <f>HYPERLINK("https://klasma.github.io/Logging_1781/kartor/A 28394-2025 karta.png", "A 28394-2025")</f>
        <v/>
      </c>
      <c r="Y27">
        <f>HYPERLINK("https://klasma.github.io/Logging_1781/kartor_geotiff/A 28394-2025 georefererad karta.tif", "A 28394-2025")</f>
        <v/>
      </c>
      <c r="AA27">
        <f>HYPERLINK("https://klasma.github.io/Logging_1781/klagomål/A 28394-2025 FSC-klagomål.docx", "A 28394-2025")</f>
        <v/>
      </c>
      <c r="AB27">
        <f>HYPERLINK("https://klasma.github.io/Logging_1781/klagomålsmail/A 28394-2025 FSC-klagomål mail.docx", "A 28394-2025")</f>
        <v/>
      </c>
      <c r="AC27">
        <f>HYPERLINK("https://klasma.github.io/Logging_1781/tillsyn/A 28394-2025 tillsynsbegäran.docx", "A 28394-2025")</f>
        <v/>
      </c>
      <c r="AD27">
        <f>HYPERLINK("https://klasma.github.io/Logging_1781/tillsynsmail/A 28394-2025 tillsynsbegäran mail.docx", "A 28394-2025")</f>
        <v/>
      </c>
    </row>
    <row r="28" ht="15" customHeight="1">
      <c r="A28" t="inlineStr">
        <is>
          <t>A 60714-2025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45996</v>
      </c>
      <c r="E28" s="1" t="n">
        <v>46308</v>
      </c>
      <c r="F28" t="inlineStr">
        <is>
          <t>VÄRMLANDS LÄN</t>
        </is>
      </c>
      <c r="G28" t="inlineStr">
        <is>
          <t>KRISTINEHAMN</t>
        </is>
      </c>
      <c r="I28" t="n">
        <v>0.5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1</v>
      </c>
      <c r="U28" t="n">
        <v>0</v>
      </c>
      <c r="V28" s="2" t="inlineStr">
        <is>
          <t>Björksplintborre</t>
        </is>
      </c>
      <c r="W28">
        <f>HYPERLINK("https://klasma.github.io/Logging_1781/artfynd/A 60714-2025 artfynd.xlsx", "A 60714-2025")</f>
        <v/>
      </c>
      <c r="X28">
        <f>HYPERLINK("https://klasma.github.io/Logging_1781/kartor/A 60714-2025 karta.png", "A 60714-2025")</f>
        <v/>
      </c>
      <c r="Y28">
        <f>HYPERLINK("https://klasma.github.io/Logging_1781/kartor_geotiff/A 60714-2025 georefererad karta.tif", "A 60714-2025")</f>
        <v/>
      </c>
      <c r="AA28">
        <f>HYPERLINK("https://klasma.github.io/Logging_1781/klagomål/A 60714-2025 FSC-klagomål.docx", "A 60714-2025")</f>
        <v/>
      </c>
      <c r="AB28">
        <f>HYPERLINK("https://klasma.github.io/Logging_1781/klagomålsmail/A 60714-2025 FSC-klagomål mail.docx", "A 60714-2025")</f>
        <v/>
      </c>
      <c r="AC28">
        <f>HYPERLINK("https://klasma.github.io/Logging_1781/tillsyn/A 60714-2025 tillsynsbegäran.docx", "A 60714-2025")</f>
        <v/>
      </c>
      <c r="AD28">
        <f>HYPERLINK("https://klasma.github.io/Logging_1781/tillsynsmail/A 60714-2025 tillsynsbegäran mail.docx", "A 60714-2025")</f>
        <v/>
      </c>
    </row>
    <row r="29" ht="15" customHeight="1">
      <c r="A29" t="inlineStr">
        <is>
          <t>A 5494-2025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45693</v>
      </c>
      <c r="E29" s="1" t="n">
        <v>46308</v>
      </c>
      <c r="F29" t="inlineStr">
        <is>
          <t>VÄRMLANDS LÄN</t>
        </is>
      </c>
      <c r="G29" t="inlineStr">
        <is>
          <t>KRISTINEHAMN</t>
        </is>
      </c>
      <c r="I29" t="n">
        <v>8.699999999999999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Jungfrulin</t>
        </is>
      </c>
      <c r="W29">
        <f>HYPERLINK("https://klasma.github.io/Logging_1781/artfynd/A 5494-2025 artfynd.xlsx", "A 5494-2025")</f>
        <v/>
      </c>
      <c r="X29">
        <f>HYPERLINK("https://klasma.github.io/Logging_1781/kartor/A 5494-2025 karta.png", "A 5494-2025")</f>
        <v/>
      </c>
      <c r="Y29">
        <f>HYPERLINK("https://klasma.github.io/Logging_1781/kartor_geotiff/A 5494-2025 georefererad karta.tif", "A 5494-2025")</f>
        <v/>
      </c>
      <c r="AA29">
        <f>HYPERLINK("https://klasma.github.io/Logging_1781/klagomål/A 5494-2025 FSC-klagomål.docx", "A 5494-2025")</f>
        <v/>
      </c>
      <c r="AB29">
        <f>HYPERLINK("https://klasma.github.io/Logging_1781/klagomålsmail/A 5494-2025 FSC-klagomål mail.docx", "A 5494-2025")</f>
        <v/>
      </c>
      <c r="AC29">
        <f>HYPERLINK("https://klasma.github.io/Logging_1781/tillsyn/A 5494-2025 tillsynsbegäran.docx", "A 5494-2025")</f>
        <v/>
      </c>
      <c r="AD29">
        <f>HYPERLINK("https://klasma.github.io/Logging_1781/tillsynsmail/A 5494-2025 tillsynsbegäran mail.docx", "A 5494-2025")</f>
        <v/>
      </c>
    </row>
    <row r="30" ht="15" customHeight="1">
      <c r="A30" t="inlineStr">
        <is>
          <t>A 14760-2026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46101</v>
      </c>
      <c r="E30" s="1" t="n">
        <v>46308</v>
      </c>
      <c r="F30" t="inlineStr">
        <is>
          <t>VÄRMLANDS LÄN</t>
        </is>
      </c>
      <c r="G30" t="inlineStr">
        <is>
          <t>KRISTINEHAMN</t>
        </is>
      </c>
      <c r="H30" t="inlineStr">
        <is>
          <t>Sveaskog</t>
        </is>
      </c>
      <c r="I30" t="n">
        <v>8.300000000000001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2</v>
      </c>
      <c r="U30" t="n">
        <v>0</v>
      </c>
      <c r="V30" s="2" t="inlineStr">
        <is>
          <t>Fläcknycklar</t>
        </is>
      </c>
      <c r="W30">
        <f>HYPERLINK("https://klasma.github.io/Logging_1781/artfynd/A 14760-2026 artfynd.xlsx", "A 14760-2026")</f>
        <v/>
      </c>
      <c r="X30">
        <f>HYPERLINK("https://klasma.github.io/Logging_1781/kartor/A 14760-2026 karta.png", "A 14760-2026")</f>
        <v/>
      </c>
      <c r="Y30">
        <f>HYPERLINK("https://klasma.github.io/Logging_1781/kartor_geotiff/A 14760-2026 georefererad karta.tif", "A 14760-2026")</f>
        <v/>
      </c>
      <c r="AA30">
        <f>HYPERLINK("https://klasma.github.io/Logging_1781/klagomål/A 14760-2026 FSC-klagomål.docx", "A 14760-2026")</f>
        <v/>
      </c>
      <c r="AB30">
        <f>HYPERLINK("https://klasma.github.io/Logging_1781/klagomålsmail/A 14760-2026 FSC-klagomål mail.docx", "A 14760-2026")</f>
        <v/>
      </c>
      <c r="AC30">
        <f>HYPERLINK("https://klasma.github.io/Logging_1781/tillsyn/A 14760-2026 tillsynsbegäran.docx", "A 14760-2026")</f>
        <v/>
      </c>
      <c r="AD30">
        <f>HYPERLINK("https://klasma.github.io/Logging_1781/tillsynsmail/A 14760-2026 tillsynsbegäran mail.docx", "A 14760-2026")</f>
        <v/>
      </c>
    </row>
    <row r="31" ht="15" customHeight="1">
      <c r="A31" t="inlineStr">
        <is>
          <t>A 14762-2026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46101</v>
      </c>
      <c r="E31" s="1" t="n">
        <v>46308</v>
      </c>
      <c r="F31" t="inlineStr">
        <is>
          <t>VÄRMLANDS LÄN</t>
        </is>
      </c>
      <c r="G31" t="inlineStr">
        <is>
          <t>KRISTINEHAMN</t>
        </is>
      </c>
      <c r="H31" t="inlineStr">
        <is>
          <t>Sveaskog</t>
        </is>
      </c>
      <c r="I31" t="n">
        <v>3.2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2</v>
      </c>
      <c r="U31" t="n">
        <v>0</v>
      </c>
      <c r="V31" s="2" t="inlineStr">
        <is>
          <t>Fläcknycklar</t>
        </is>
      </c>
      <c r="W31">
        <f>HYPERLINK("https://klasma.github.io/Logging_1781/artfynd/A 14762-2026 artfynd.xlsx", "A 14762-2026")</f>
        <v/>
      </c>
      <c r="X31">
        <f>HYPERLINK("https://klasma.github.io/Logging_1781/kartor/A 14762-2026 karta.png", "A 14762-2026")</f>
        <v/>
      </c>
      <c r="Y31">
        <f>HYPERLINK("https://klasma.github.io/Logging_1781/kartor_geotiff/A 14762-2026 georefererad karta.tif", "A 14762-2026")</f>
        <v/>
      </c>
      <c r="AA31">
        <f>HYPERLINK("https://klasma.github.io/Logging_1781/klagomål/A 14762-2026 FSC-klagomål.docx", "A 14762-2026")</f>
        <v/>
      </c>
      <c r="AB31">
        <f>HYPERLINK("https://klasma.github.io/Logging_1781/klagomålsmail/A 14762-2026 FSC-klagomål mail.docx", "A 14762-2026")</f>
        <v/>
      </c>
      <c r="AC31">
        <f>HYPERLINK("https://klasma.github.io/Logging_1781/tillsyn/A 14762-2026 tillsynsbegäran.docx", "A 14762-2026")</f>
        <v/>
      </c>
      <c r="AD31">
        <f>HYPERLINK("https://klasma.github.io/Logging_1781/tillsynsmail/A 14762-2026 tillsynsbegäran mail.docx", "A 14762-2026")</f>
        <v/>
      </c>
    </row>
    <row r="32" ht="15" customHeight="1">
      <c r="A32" t="inlineStr">
        <is>
          <t>A 3302-2022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44584</v>
      </c>
      <c r="E32" s="1" t="n">
        <v>46308</v>
      </c>
      <c r="F32" t="inlineStr">
        <is>
          <t>VÄRMLANDS LÄN</t>
        </is>
      </c>
      <c r="G32" t="inlineStr">
        <is>
          <t>KRISTINEHAMN</t>
        </is>
      </c>
      <c r="I32" t="n">
        <v>1.1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s="2" t="inlineStr">
        <is>
          <t>Bombmurkla</t>
        </is>
      </c>
      <c r="W32">
        <f>HYPERLINK("https://klasma.github.io/Logging_1781/artfynd/A 3302-2022 artfynd.xlsx", "A 3302-2022")</f>
        <v/>
      </c>
      <c r="X32">
        <f>HYPERLINK("https://klasma.github.io/Logging_1781/kartor/A 3302-2022 karta.png", "A 3302-2022")</f>
        <v/>
      </c>
      <c r="Y32">
        <f>HYPERLINK("https://klasma.github.io/Logging_1781/kartor_geotiff/A 3302-2022 georefererad karta.tif", "A 3302-2022")</f>
        <v/>
      </c>
      <c r="AA32">
        <f>HYPERLINK("https://klasma.github.io/Logging_1781/klagomål/A 3302-2022 FSC-klagomål.docx", "A 3302-2022")</f>
        <v/>
      </c>
      <c r="AB32">
        <f>HYPERLINK("https://klasma.github.io/Logging_1781/klagomålsmail/A 3302-2022 FSC-klagomål mail.docx", "A 3302-2022")</f>
        <v/>
      </c>
      <c r="AC32">
        <f>HYPERLINK("https://klasma.github.io/Logging_1781/tillsyn/A 3302-2022 tillsynsbegäran.docx", "A 3302-2022")</f>
        <v/>
      </c>
      <c r="AD32">
        <f>HYPERLINK("https://klasma.github.io/Logging_1781/tillsynsmail/A 3302-2022 tillsynsbegäran mail.docx", "A 3302-2022")</f>
        <v/>
      </c>
    </row>
    <row r="33" ht="15" customHeight="1">
      <c r="A33" t="inlineStr">
        <is>
          <t>A 20746-2026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46141</v>
      </c>
      <c r="E33" s="1" t="n">
        <v>46308</v>
      </c>
      <c r="F33" t="inlineStr">
        <is>
          <t>VÄRMLANDS LÄN</t>
        </is>
      </c>
      <c r="G33" t="inlineStr">
        <is>
          <t>KRISTINEHAMN</t>
        </is>
      </c>
      <c r="H33" t="inlineStr">
        <is>
          <t>Naturvårdsverket</t>
        </is>
      </c>
      <c r="I33" t="n">
        <v>6.3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s="2" t="inlineStr">
        <is>
          <t>Grön sköldmossa</t>
        </is>
      </c>
      <c r="W33">
        <f>HYPERLINK("https://klasma.github.io/Logging_1781/artfynd/A 20746-2026 artfynd.xlsx", "A 20746-2026")</f>
        <v/>
      </c>
      <c r="X33">
        <f>HYPERLINK("https://klasma.github.io/Logging_1781/kartor/A 20746-2026 karta.png", "A 20746-2026")</f>
        <v/>
      </c>
      <c r="Y33">
        <f>HYPERLINK("https://klasma.github.io/Logging_1781/kartor_geotiff/A 20746-2026 georefererad karta.tif", "A 20746-2026")</f>
        <v/>
      </c>
      <c r="AA33">
        <f>HYPERLINK("https://klasma.github.io/Logging_1781/klagomål/A 20746-2026 FSC-klagomål.docx", "A 20746-2026")</f>
        <v/>
      </c>
      <c r="AB33">
        <f>HYPERLINK("https://klasma.github.io/Logging_1781/klagomålsmail/A 20746-2026 FSC-klagomål mail.docx", "A 20746-2026")</f>
        <v/>
      </c>
      <c r="AC33">
        <f>HYPERLINK("https://klasma.github.io/Logging_1781/tillsyn/A 20746-2026 tillsynsbegäran.docx", "A 20746-2026")</f>
        <v/>
      </c>
      <c r="AD33">
        <f>HYPERLINK("https://klasma.github.io/Logging_1781/tillsynsmail/A 20746-2026 tillsynsbegäran mail.docx", "A 20746-2026")</f>
        <v/>
      </c>
    </row>
    <row r="34" ht="15" customHeight="1">
      <c r="A34" t="inlineStr">
        <is>
          <t>A 8714-2024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45356</v>
      </c>
      <c r="E34" s="1" t="n">
        <v>46308</v>
      </c>
      <c r="F34" t="inlineStr">
        <is>
          <t>VÄRMLANDS LÄN</t>
        </is>
      </c>
      <c r="G34" t="inlineStr">
        <is>
          <t>KRISTINEHAMN</t>
        </is>
      </c>
      <c r="I34" t="n">
        <v>0.5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  <c r="V34" s="2" t="inlineStr">
        <is>
          <t>Bombmurkla</t>
        </is>
      </c>
      <c r="W34">
        <f>HYPERLINK("https://klasma.github.io/Logging_1781/artfynd/A 8714-2024 artfynd.xlsx", "A 8714-2024")</f>
        <v/>
      </c>
      <c r="X34">
        <f>HYPERLINK("https://klasma.github.io/Logging_1781/kartor/A 8714-2024 karta.png", "A 8714-2024")</f>
        <v/>
      </c>
      <c r="Y34">
        <f>HYPERLINK("https://klasma.github.io/Logging_1781/kartor_geotiff/A 8714-2024 georefererad karta.tif", "A 8714-2024")</f>
        <v/>
      </c>
      <c r="AA34">
        <f>HYPERLINK("https://klasma.github.io/Logging_1781/klagomål/A 8714-2024 FSC-klagomål.docx", "A 8714-2024")</f>
        <v/>
      </c>
      <c r="AB34">
        <f>HYPERLINK("https://klasma.github.io/Logging_1781/klagomålsmail/A 8714-2024 FSC-klagomål mail.docx", "A 8714-2024")</f>
        <v/>
      </c>
      <c r="AC34">
        <f>HYPERLINK("https://klasma.github.io/Logging_1781/tillsyn/A 8714-2024 tillsynsbegäran.docx", "A 8714-2024")</f>
        <v/>
      </c>
      <c r="AD34">
        <f>HYPERLINK("https://klasma.github.io/Logging_1781/tillsynsmail/A 8714-2024 tillsynsbegäran mail.docx", "A 8714-2024")</f>
        <v/>
      </c>
    </row>
    <row r="35" ht="15" customHeight="1">
      <c r="A35" t="inlineStr">
        <is>
          <t>A 54771-2022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44883</v>
      </c>
      <c r="E35" s="1" t="n">
        <v>46308</v>
      </c>
      <c r="F35" t="inlineStr">
        <is>
          <t>VÄRMLANDS LÄN</t>
        </is>
      </c>
      <c r="G35" t="inlineStr">
        <is>
          <t>KRISTINEHAMN</t>
        </is>
      </c>
      <c r="I35" t="n">
        <v>2.2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s="2" t="inlineStr">
        <is>
          <t>Röd glada</t>
        </is>
      </c>
      <c r="W35">
        <f>HYPERLINK("https://klasma.github.io/Logging_1781/artfynd/A 54771-2022 artfynd.xlsx", "A 54771-2022")</f>
        <v/>
      </c>
      <c r="X35">
        <f>HYPERLINK("https://klasma.github.io/Logging_1781/kartor/A 54771-2022 karta.png", "A 54771-2022")</f>
        <v/>
      </c>
      <c r="Y35">
        <f>HYPERLINK("https://klasma.github.io/Logging_1781/kartor_geotiff/A 54771-2022 georefererad karta.tif", "A 54771-2022")</f>
        <v/>
      </c>
      <c r="AA35">
        <f>HYPERLINK("https://klasma.github.io/Logging_1781/klagomål/A 54771-2022 FSC-klagomål.docx", "A 54771-2022")</f>
        <v/>
      </c>
      <c r="AB35">
        <f>HYPERLINK("https://klasma.github.io/Logging_1781/klagomålsmail/A 54771-2022 FSC-klagomål mail.docx", "A 54771-2022")</f>
        <v/>
      </c>
      <c r="AC35">
        <f>HYPERLINK("https://klasma.github.io/Logging_1781/tillsyn/A 54771-2022 tillsynsbegäran.docx", "A 54771-2022")</f>
        <v/>
      </c>
      <c r="AD35">
        <f>HYPERLINK("https://klasma.github.io/Logging_1781/tillsynsmail/A 54771-2022 tillsynsbegäran mail.docx", "A 54771-2022")</f>
        <v/>
      </c>
      <c r="AE35">
        <f>HYPERLINK("https://klasma.github.io/Logging_1781/fåglar/A 54771-2022 prioriterade fågelarter.docx", "A 54771-2022")</f>
        <v/>
      </c>
    </row>
    <row r="36" ht="15" customHeight="1">
      <c r="A36" t="inlineStr">
        <is>
          <t>A 12593-2024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45380</v>
      </c>
      <c r="E36" s="1" t="n">
        <v>46308</v>
      </c>
      <c r="F36" t="inlineStr">
        <is>
          <t>VÄRMLANDS LÄN</t>
        </is>
      </c>
      <c r="G36" t="inlineStr">
        <is>
          <t>KRISTINEHAMN</t>
        </is>
      </c>
      <c r="I36" t="n">
        <v>5.9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2</v>
      </c>
      <c r="U36" t="n">
        <v>0</v>
      </c>
      <c r="V36" s="2" t="inlineStr">
        <is>
          <t>Bombmurkla</t>
        </is>
      </c>
      <c r="W36">
        <f>HYPERLINK("https://klasma.github.io/Logging_1781/artfynd/A 12593-2024 artfynd.xlsx", "A 12593-2024")</f>
        <v/>
      </c>
      <c r="X36">
        <f>HYPERLINK("https://klasma.github.io/Logging_1781/kartor/A 12593-2024 karta.png", "A 12593-2024")</f>
        <v/>
      </c>
      <c r="Y36">
        <f>HYPERLINK("https://klasma.github.io/Logging_1781/kartor_geotiff/A 12593-2024 georefererad karta.tif", "A 12593-2024")</f>
        <v/>
      </c>
      <c r="AA36">
        <f>HYPERLINK("https://klasma.github.io/Logging_1781/klagomål/A 12593-2024 FSC-klagomål.docx", "A 12593-2024")</f>
        <v/>
      </c>
      <c r="AB36">
        <f>HYPERLINK("https://klasma.github.io/Logging_1781/klagomålsmail/A 12593-2024 FSC-klagomål mail.docx", "A 12593-2024")</f>
        <v/>
      </c>
      <c r="AC36">
        <f>HYPERLINK("https://klasma.github.io/Logging_1781/tillsyn/A 12593-2024 tillsynsbegäran.docx", "A 12593-2024")</f>
        <v/>
      </c>
      <c r="AD36">
        <f>HYPERLINK("https://klasma.github.io/Logging_1781/tillsynsmail/A 12593-2024 tillsynsbegäran mail.docx", "A 12593-2024")</f>
        <v/>
      </c>
    </row>
    <row r="37" ht="15" customHeight="1">
      <c r="A37" t="inlineStr">
        <is>
          <t>A 36792-2023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45154</v>
      </c>
      <c r="E37" s="1" t="n">
        <v>46308</v>
      </c>
      <c r="F37" t="inlineStr">
        <is>
          <t>VÄRMLANDS LÄN</t>
        </is>
      </c>
      <c r="G37" t="inlineStr">
        <is>
          <t>KRISTINEHAMN</t>
        </is>
      </c>
      <c r="I37" t="n">
        <v>4.2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s="2" t="inlineStr">
        <is>
          <t>Fläcknycklar</t>
        </is>
      </c>
      <c r="W37">
        <f>HYPERLINK("https://klasma.github.io/Logging_1781/artfynd/A 36792-2023 artfynd.xlsx", "A 36792-2023")</f>
        <v/>
      </c>
      <c r="X37">
        <f>HYPERLINK("https://klasma.github.io/Logging_1781/kartor/A 36792-2023 karta.png", "A 36792-2023")</f>
        <v/>
      </c>
      <c r="Y37">
        <f>HYPERLINK("https://klasma.github.io/Logging_1781/kartor_geotiff/A 36792-2023 georefererad karta.tif", "A 36792-2023")</f>
        <v/>
      </c>
      <c r="AA37">
        <f>HYPERLINK("https://klasma.github.io/Logging_1781/klagomål/A 36792-2023 FSC-klagomål.docx", "A 36792-2023")</f>
        <v/>
      </c>
      <c r="AB37">
        <f>HYPERLINK("https://klasma.github.io/Logging_1781/klagomålsmail/A 36792-2023 FSC-klagomål mail.docx", "A 36792-2023")</f>
        <v/>
      </c>
      <c r="AC37">
        <f>HYPERLINK("https://klasma.github.io/Logging_1781/tillsyn/A 36792-2023 tillsynsbegäran.docx", "A 36792-2023")</f>
        <v/>
      </c>
      <c r="AD37">
        <f>HYPERLINK("https://klasma.github.io/Logging_1781/tillsynsmail/A 36792-2023 tillsynsbegäran mail.docx", "A 36792-2023")</f>
        <v/>
      </c>
    </row>
    <row r="38" ht="15" customHeight="1">
      <c r="A38" t="inlineStr">
        <is>
          <t>A 45122-2022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44843</v>
      </c>
      <c r="E38" s="1" t="n">
        <v>46308</v>
      </c>
      <c r="F38" t="inlineStr">
        <is>
          <t>VÄRMLANDS LÄN</t>
        </is>
      </c>
      <c r="G38" t="inlineStr">
        <is>
          <t>KRISTINEHAMN</t>
        </is>
      </c>
      <c r="I38" t="n">
        <v>3.3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s="2" t="inlineStr">
        <is>
          <t>Dvärglin</t>
        </is>
      </c>
      <c r="W38">
        <f>HYPERLINK("https://klasma.github.io/Logging_1781/artfynd/A 45122-2022 artfynd.xlsx", "A 45122-2022")</f>
        <v/>
      </c>
      <c r="X38">
        <f>HYPERLINK("https://klasma.github.io/Logging_1781/kartor/A 45122-2022 karta.png", "A 45122-2022")</f>
        <v/>
      </c>
      <c r="Y38">
        <f>HYPERLINK("https://klasma.github.io/Logging_1781/kartor_geotiff/A 45122-2022 georefererad karta.tif", "A 45122-2022")</f>
        <v/>
      </c>
      <c r="AA38">
        <f>HYPERLINK("https://klasma.github.io/Logging_1781/klagomål/A 45122-2022 FSC-klagomål.docx", "A 45122-2022")</f>
        <v/>
      </c>
      <c r="AB38">
        <f>HYPERLINK("https://klasma.github.io/Logging_1781/klagomålsmail/A 45122-2022 FSC-klagomål mail.docx", "A 45122-2022")</f>
        <v/>
      </c>
      <c r="AC38">
        <f>HYPERLINK("https://klasma.github.io/Logging_1781/tillsyn/A 45122-2022 tillsynsbegäran.docx", "A 45122-2022")</f>
        <v/>
      </c>
      <c r="AD38">
        <f>HYPERLINK("https://klasma.github.io/Logging_1781/tillsynsmail/A 45122-2022 tillsynsbegäran mail.docx", "A 45122-2022")</f>
        <v/>
      </c>
    </row>
    <row r="39" ht="15" customHeight="1">
      <c r="A39" t="inlineStr">
        <is>
          <t>S 5158-2021</t>
        </is>
      </c>
      <c r="B39" t="inlineStr">
        <is>
          <t>samrådsanmälan</t>
        </is>
      </c>
      <c r="C39" t="inlineStr">
        <is>
          <t>Annan skogsbruksåtgärd</t>
        </is>
      </c>
      <c r="D39" s="1" t="n">
        <v>44337</v>
      </c>
      <c r="E39" s="1" t="n">
        <v>46308</v>
      </c>
      <c r="F39" t="inlineStr">
        <is>
          <t>VÄRMLANDS LÄN</t>
        </is>
      </c>
      <c r="G39" t="inlineStr">
        <is>
          <t>KRISTINEHAMN</t>
        </is>
      </c>
      <c r="I39" t="n">
        <v>0.7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4</v>
      </c>
      <c r="U39" t="n">
        <v>0</v>
      </c>
      <c r="V39" s="2" t="inlineStr">
        <is>
          <t>Bombmurkla</t>
        </is>
      </c>
      <c r="W39">
        <f>HYPERLINK("https://klasma.github.io/Logging_1781/artfynd/S 5158-2021 artfynd.xlsx", "S 5158-2021")</f>
        <v/>
      </c>
      <c r="X39">
        <f>HYPERLINK("https://klasma.github.io/Logging_1781/kartor/S 5158-2021 karta.png", "S 5158-2021")</f>
        <v/>
      </c>
      <c r="Y39">
        <f>HYPERLINK("https://klasma.github.io/Logging_1781/kartor_geotiff/S 5158-2021 georefererad karta.tif", "S 5158-2021")</f>
        <v/>
      </c>
      <c r="AA39">
        <f>HYPERLINK("https://klasma.github.io/Logging_1781/klagomål/S 5158-2021 FSC-klagomål.docx", "S 5158-2021")</f>
        <v/>
      </c>
      <c r="AB39">
        <f>HYPERLINK("https://klasma.github.io/Logging_1781/klagomålsmail/S 5158-2021 FSC-klagomål mail.docx", "S 5158-2021")</f>
        <v/>
      </c>
      <c r="AC39">
        <f>HYPERLINK("https://klasma.github.io/Logging_1781/tillsyn/S 5158-2021 tillsynsbegäran.docx", "S 5158-2021")</f>
        <v/>
      </c>
      <c r="AD39">
        <f>HYPERLINK("https://klasma.github.io/Logging_1781/tillsynsmail/S 5158-2021 tillsynsbegäran mail.docx", "S 5158-2021")</f>
        <v/>
      </c>
    </row>
    <row r="40" ht="15" customHeight="1">
      <c r="A40" t="inlineStr">
        <is>
          <t>S 4185-2024</t>
        </is>
      </c>
      <c r="B40" t="inlineStr">
        <is>
          <t>samrådsanmälan</t>
        </is>
      </c>
      <c r="C40" t="inlineStr">
        <is>
          <t>Askåterföring</t>
        </is>
      </c>
      <c r="D40" s="1" t="n">
        <v>45579</v>
      </c>
      <c r="E40" s="1" t="n">
        <v>46308</v>
      </c>
      <c r="F40" t="inlineStr">
        <is>
          <t>VÄRMLANDS LÄN</t>
        </is>
      </c>
      <c r="G40" t="inlineStr">
        <is>
          <t>KRISTINEHAMN</t>
        </is>
      </c>
      <c r="I40" t="n">
        <v>33.7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Björksplintborre</t>
        </is>
      </c>
      <c r="W40">
        <f>HYPERLINK("https://klasma.github.io/Logging_1781/artfynd/S 4185-2024 artfynd.xlsx", "S 4185-2024")</f>
        <v/>
      </c>
      <c r="X40">
        <f>HYPERLINK("https://klasma.github.io/Logging_1781/kartor/S 4185-2024 karta.png", "S 4185-2024")</f>
        <v/>
      </c>
      <c r="Y40">
        <f>HYPERLINK("https://klasma.github.io/Logging_1781/kartor_geotiff/S 4185-2024 georefererad karta.tif", "S 4185-2024")</f>
        <v/>
      </c>
      <c r="AA40">
        <f>HYPERLINK("https://klasma.github.io/Logging_1781/klagomål/S 4185-2024 FSC-klagomål.docx", "S 4185-2024")</f>
        <v/>
      </c>
      <c r="AB40">
        <f>HYPERLINK("https://klasma.github.io/Logging_1781/klagomålsmail/S 4185-2024 FSC-klagomål mail.docx", "S 4185-2024")</f>
        <v/>
      </c>
      <c r="AC40">
        <f>HYPERLINK("https://klasma.github.io/Logging_1781/tillsyn/S 4185-2024 tillsynsbegäran.docx", "S 4185-2024")</f>
        <v/>
      </c>
      <c r="AD40">
        <f>HYPERLINK("https://klasma.github.io/Logging_1781/tillsynsmail/S 4185-2024 tillsynsbegäran mail.docx", "S 4185-2024")</f>
        <v/>
      </c>
    </row>
    <row r="41" ht="15" customHeight="1">
      <c r="A41" t="inlineStr">
        <is>
          <t>S 2487-2022</t>
        </is>
      </c>
      <c r="B41" t="inlineStr">
        <is>
          <t>samrådsanmälan</t>
        </is>
      </c>
      <c r="C41" t="inlineStr">
        <is>
          <t>Askåterföring</t>
        </is>
      </c>
      <c r="D41" s="1" t="n">
        <v>44693</v>
      </c>
      <c r="E41" s="1" t="n">
        <v>46308</v>
      </c>
      <c r="F41" t="inlineStr">
        <is>
          <t>VÄRMLANDS LÄN</t>
        </is>
      </c>
      <c r="G41" t="inlineStr">
        <is>
          <t>KRISTINEHAMN</t>
        </is>
      </c>
      <c r="I41" t="n">
        <v>43.2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s="2" t="inlineStr">
        <is>
          <t>Gråskimlig fladdermus</t>
        </is>
      </c>
      <c r="W41">
        <f>HYPERLINK("https://klasma.github.io/Logging_1781/artfynd/S 2487-2022 artfynd.xlsx", "S 2487-2022")</f>
        <v/>
      </c>
      <c r="X41">
        <f>HYPERLINK("https://klasma.github.io/Logging_1781/kartor/S 2487-2022 karta.png", "S 2487-2022")</f>
        <v/>
      </c>
      <c r="Y41">
        <f>HYPERLINK("https://klasma.github.io/Logging_1781/kartor_geotiff/S 2487-2022 georefererad karta.tif", "S 2487-2022")</f>
        <v/>
      </c>
      <c r="AA41">
        <f>HYPERLINK("https://klasma.github.io/Logging_1781/klagomål/S 2487-2022 FSC-klagomål.docx", "S 2487-2022")</f>
        <v/>
      </c>
      <c r="AB41">
        <f>HYPERLINK("https://klasma.github.io/Logging_1781/klagomålsmail/S 2487-2022 FSC-klagomål mail.docx", "S 2487-2022")</f>
        <v/>
      </c>
      <c r="AC41">
        <f>HYPERLINK("https://klasma.github.io/Logging_1781/tillsyn/S 2487-2022 tillsynsbegäran.docx", "S 2487-2022")</f>
        <v/>
      </c>
      <c r="AD41">
        <f>HYPERLINK("https://klasma.github.io/Logging_1781/tillsynsmail/S 2487-2022 tillsynsbegäran mail.docx", "S 2487-2022")</f>
        <v/>
      </c>
    </row>
    <row r="42" ht="15" customHeight="1">
      <c r="A42" t="inlineStr">
        <is>
          <t>S 4138-2023</t>
        </is>
      </c>
      <c r="B42" t="inlineStr">
        <is>
          <t>samrådsanmälan</t>
        </is>
      </c>
      <c r="C42" t="inlineStr">
        <is>
          <t>Skogsgödsling</t>
        </is>
      </c>
      <c r="D42" s="1" t="n">
        <v>45247</v>
      </c>
      <c r="E42" s="1" t="n">
        <v>46308</v>
      </c>
      <c r="F42" t="inlineStr">
        <is>
          <t>VÄRMLANDS LÄN</t>
        </is>
      </c>
      <c r="G42" t="inlineStr">
        <is>
          <t>KRISTINEHAMN</t>
        </is>
      </c>
      <c r="H42" t="inlineStr">
        <is>
          <t>Naturvårdsverket</t>
        </is>
      </c>
      <c r="I42" t="n">
        <v>15.8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</v>
      </c>
      <c r="U42" t="n">
        <v>0</v>
      </c>
      <c r="V42" s="2" t="inlineStr">
        <is>
          <t>Tjäder</t>
        </is>
      </c>
      <c r="W42">
        <f>HYPERLINK("https://klasma.github.io/Logging_1781/artfynd/S 4138-2023 artfynd.xlsx", "S 4138-2023")</f>
        <v/>
      </c>
      <c r="X42">
        <f>HYPERLINK("https://klasma.github.io/Logging_1781/kartor/S 4138-2023 karta.png", "S 4138-2023")</f>
        <v/>
      </c>
      <c r="Y42">
        <f>HYPERLINK("https://klasma.github.io/Logging_1781/kartor_geotiff/S 4138-2023 georefererad karta.tif", "S 4138-2023")</f>
        <v/>
      </c>
      <c r="AA42">
        <f>HYPERLINK("https://klasma.github.io/Logging_1781/klagomål/S 4138-2023 FSC-klagomål.docx", "S 4138-2023")</f>
        <v/>
      </c>
      <c r="AB42">
        <f>HYPERLINK("https://klasma.github.io/Logging_1781/klagomålsmail/S 4138-2023 FSC-klagomål mail.docx", "S 4138-2023")</f>
        <v/>
      </c>
      <c r="AC42">
        <f>HYPERLINK("https://klasma.github.io/Logging_1781/tillsyn/S 4138-2023 tillsynsbegäran.docx", "S 4138-2023")</f>
        <v/>
      </c>
      <c r="AD42">
        <f>HYPERLINK("https://klasma.github.io/Logging_1781/tillsynsmail/S 4138-2023 tillsynsbegäran mail.docx", "S 4138-2023")</f>
        <v/>
      </c>
      <c r="AE42">
        <f>HYPERLINK("https://klasma.github.io/Logging_1781/fåglar/S 4138-2023 prioriterade fågelarter.docx", "S 4138-2023")</f>
        <v/>
      </c>
    </row>
    <row r="43" ht="15" customHeight="1">
      <c r="A43" t="inlineStr">
        <is>
          <t>S 665-2025</t>
        </is>
      </c>
      <c r="B43" t="inlineStr">
        <is>
          <t>samrådsanmälan</t>
        </is>
      </c>
      <c r="C43" t="inlineStr">
        <is>
          <t>Skogsgödsling</t>
        </is>
      </c>
      <c r="D43" s="1" t="n">
        <v>45716</v>
      </c>
      <c r="E43" s="1" t="n">
        <v>46308</v>
      </c>
      <c r="F43" t="inlineStr">
        <is>
          <t>VÄRMLANDS LÄN</t>
        </is>
      </c>
      <c r="G43" t="inlineStr">
        <is>
          <t>KRISTINEHAMN</t>
        </is>
      </c>
      <c r="H43" t="inlineStr">
        <is>
          <t>Naturvårdsverket</t>
        </is>
      </c>
      <c r="I43" t="n">
        <v>50.8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  <c r="V43" s="2" t="inlineStr">
        <is>
          <t>Bollvitmossa</t>
        </is>
      </c>
      <c r="W43">
        <f>HYPERLINK("https://klasma.github.io/Logging_1781/artfynd/S 665-2025 artfynd.xlsx", "S 665-2025")</f>
        <v/>
      </c>
      <c r="X43">
        <f>HYPERLINK("https://klasma.github.io/Logging_1781/kartor/S 665-2025 karta.png", "S 665-2025")</f>
        <v/>
      </c>
      <c r="Y43">
        <f>HYPERLINK("https://klasma.github.io/Logging_1781/kartor_geotiff/S 665-2025 georefererad karta.tif", "S 665-2025")</f>
        <v/>
      </c>
      <c r="AA43">
        <f>HYPERLINK("https://klasma.github.io/Logging_1781/klagomål/S 665-2025 FSC-klagomål.docx", "S 665-2025")</f>
        <v/>
      </c>
      <c r="AB43">
        <f>HYPERLINK("https://klasma.github.io/Logging_1781/klagomålsmail/S 665-2025 FSC-klagomål mail.docx", "S 665-2025")</f>
        <v/>
      </c>
      <c r="AC43">
        <f>HYPERLINK("https://klasma.github.io/Logging_1781/tillsyn/S 665-2025 tillsynsbegäran.docx", "S 665-2025")</f>
        <v/>
      </c>
      <c r="AD43">
        <f>HYPERLINK("https://klasma.github.io/Logging_1781/tillsynsmail/S 665-2025 tillsynsbegäran mail.docx", "S 665-2025")</f>
        <v/>
      </c>
    </row>
    <row r="44" ht="15" customHeight="1">
      <c r="A44" t="inlineStr">
        <is>
          <t>S 1761-2025</t>
        </is>
      </c>
      <c r="B44" t="inlineStr">
        <is>
          <t>samrådsanmälan</t>
        </is>
      </c>
      <c r="C44" t="inlineStr">
        <is>
          <t>Skogsgödsling</t>
        </is>
      </c>
      <c r="D44" s="1" t="n">
        <v>45812</v>
      </c>
      <c r="E44" s="1" t="n">
        <v>46308</v>
      </c>
      <c r="F44" t="inlineStr">
        <is>
          <t>VÄRMLANDS LÄN</t>
        </is>
      </c>
      <c r="G44" t="inlineStr">
        <is>
          <t>KRISTINEHAMN</t>
        </is>
      </c>
      <c r="I44" t="n">
        <v>38.8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s="2" t="inlineStr">
        <is>
          <t>Dvärglin</t>
        </is>
      </c>
      <c r="W44">
        <f>HYPERLINK("https://klasma.github.io/Logging_1781/artfynd/S 1761-2025 artfynd.xlsx", "S 1761-2025")</f>
        <v/>
      </c>
      <c r="X44">
        <f>HYPERLINK("https://klasma.github.io/Logging_1781/kartor/S 1761-2025 karta.png", "S 1761-2025")</f>
        <v/>
      </c>
      <c r="Y44">
        <f>HYPERLINK("https://klasma.github.io/Logging_1781/kartor_geotiff/S 1761-2025 georefererad karta.tif", "S 1761-2025")</f>
        <v/>
      </c>
      <c r="AA44">
        <f>HYPERLINK("https://klasma.github.io/Logging_1781/klagomål/S 1761-2025 FSC-klagomål.docx", "S 1761-2025")</f>
        <v/>
      </c>
      <c r="AB44">
        <f>HYPERLINK("https://klasma.github.io/Logging_1781/klagomålsmail/S 1761-2025 FSC-klagomål mail.docx", "S 1761-2025")</f>
        <v/>
      </c>
      <c r="AC44">
        <f>HYPERLINK("https://klasma.github.io/Logging_1781/tillsyn/S 1761-2025 tillsynsbegäran.docx", "S 1761-2025")</f>
        <v/>
      </c>
      <c r="AD44">
        <f>HYPERLINK("https://klasma.github.io/Logging_1781/tillsynsmail/S 1761-2025 tillsynsbegäran mail.docx", "S 1761-2025")</f>
        <v/>
      </c>
    </row>
    <row r="45" ht="15" customHeight="1">
      <c r="A45" t="inlineStr">
        <is>
          <t>A 42411-2022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44831</v>
      </c>
      <c r="E45" s="1" t="n">
        <v>46308</v>
      </c>
      <c r="F45" t="inlineStr">
        <is>
          <t>VÄRMLANDS LÄN</t>
        </is>
      </c>
      <c r="G45" t="inlineStr">
        <is>
          <t>KRISTINEHAMN</t>
        </is>
      </c>
      <c r="I45" t="n">
        <v>2.8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15419-2022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44659</v>
      </c>
      <c r="E46" s="1" t="n">
        <v>46308</v>
      </c>
      <c r="F46" t="inlineStr">
        <is>
          <t>VÄRMLANDS LÄN</t>
        </is>
      </c>
      <c r="G46" t="inlineStr">
        <is>
          <t>KRISTINEHAMN</t>
        </is>
      </c>
      <c r="I46" t="n">
        <v>0.6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17860-2022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44683</v>
      </c>
      <c r="E47" s="1" t="n">
        <v>46308</v>
      </c>
      <c r="F47" t="inlineStr">
        <is>
          <t>VÄRMLANDS LÄN</t>
        </is>
      </c>
      <c r="G47" t="inlineStr">
        <is>
          <t>KRISTINEHAMN</t>
        </is>
      </c>
      <c r="I47" t="n">
        <v>2.3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11746-2022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44634</v>
      </c>
      <c r="E48" s="1" t="n">
        <v>46308</v>
      </c>
      <c r="F48" t="inlineStr">
        <is>
          <t>VÄRMLANDS LÄN</t>
        </is>
      </c>
      <c r="G48" t="inlineStr">
        <is>
          <t>KRISTINEHAMN</t>
        </is>
      </c>
      <c r="I48" t="n">
        <v>4.5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26045-2022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44734</v>
      </c>
      <c r="E49" s="1" t="n">
        <v>46308</v>
      </c>
      <c r="F49" t="inlineStr">
        <is>
          <t>VÄRMLANDS LÄN</t>
        </is>
      </c>
      <c r="G49" t="inlineStr">
        <is>
          <t>KRISTINEHAMN</t>
        </is>
      </c>
      <c r="I49" t="n">
        <v>0.5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74403-2021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44559</v>
      </c>
      <c r="E50" s="1" t="n">
        <v>46308</v>
      </c>
      <c r="F50" t="inlineStr">
        <is>
          <t>VÄRMLANDS LÄN</t>
        </is>
      </c>
      <c r="G50" t="inlineStr">
        <is>
          <t>KRISTINEHAMN</t>
        </is>
      </c>
      <c r="I50" t="n">
        <v>0.8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46668-2022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44851</v>
      </c>
      <c r="E51" s="1" t="n">
        <v>46308</v>
      </c>
      <c r="F51" t="inlineStr">
        <is>
          <t>VÄRMLANDS LÄN</t>
        </is>
      </c>
      <c r="G51" t="inlineStr">
        <is>
          <t>KRISTINEHAMN</t>
        </is>
      </c>
      <c r="I51" t="n">
        <v>0.5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61034-2021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44497</v>
      </c>
      <c r="E52" s="1" t="n">
        <v>46308</v>
      </c>
      <c r="F52" t="inlineStr">
        <is>
          <t>VÄRMLANDS LÄN</t>
        </is>
      </c>
      <c r="G52" t="inlineStr">
        <is>
          <t>KRISTINEHAMN</t>
        </is>
      </c>
      <c r="I52" t="n">
        <v>2.6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70729-2021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44536</v>
      </c>
      <c r="E53" s="1" t="n">
        <v>46308</v>
      </c>
      <c r="F53" t="inlineStr">
        <is>
          <t>VÄRMLANDS LÄN</t>
        </is>
      </c>
      <c r="G53" t="inlineStr">
        <is>
          <t>KRISTINEHAMN</t>
        </is>
      </c>
      <c r="I53" t="n">
        <v>0.9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27189-2022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44741</v>
      </c>
      <c r="E54" s="1" t="n">
        <v>46308</v>
      </c>
      <c r="F54" t="inlineStr">
        <is>
          <t>VÄRMLANDS LÄN</t>
        </is>
      </c>
      <c r="G54" t="inlineStr">
        <is>
          <t>KRISTINEHAMN</t>
        </is>
      </c>
      <c r="H54" t="inlineStr">
        <is>
          <t>Bergvik skog väst AB</t>
        </is>
      </c>
      <c r="I54" t="n">
        <v>2.9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34125-2022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44791</v>
      </c>
      <c r="E55" s="1" t="n">
        <v>46308</v>
      </c>
      <c r="F55" t="inlineStr">
        <is>
          <t>VÄRMLANDS LÄN</t>
        </is>
      </c>
      <c r="G55" t="inlineStr">
        <is>
          <t>KRISTINEHAMN</t>
        </is>
      </c>
      <c r="I55" t="n">
        <v>3.3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2087-2022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44576</v>
      </c>
      <c r="E56" s="1" t="n">
        <v>46308</v>
      </c>
      <c r="F56" t="inlineStr">
        <is>
          <t>VÄRMLANDS LÄN</t>
        </is>
      </c>
      <c r="G56" t="inlineStr">
        <is>
          <t>KRISTINEHAMN</t>
        </is>
      </c>
      <c r="I56" t="n">
        <v>1.8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4185-2022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44588</v>
      </c>
      <c r="E57" s="1" t="n">
        <v>46308</v>
      </c>
      <c r="F57" t="inlineStr">
        <is>
          <t>VÄRMLANDS LÄN</t>
        </is>
      </c>
      <c r="G57" t="inlineStr">
        <is>
          <t>KRISTINEHAMN</t>
        </is>
      </c>
      <c r="I57" t="n">
        <v>1.6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4188-2022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44588</v>
      </c>
      <c r="E58" s="1" t="n">
        <v>46308</v>
      </c>
      <c r="F58" t="inlineStr">
        <is>
          <t>VÄRMLANDS LÄN</t>
        </is>
      </c>
      <c r="G58" t="inlineStr">
        <is>
          <t>KRISTINEHAMN</t>
        </is>
      </c>
      <c r="I58" t="n">
        <v>1.8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31114-2022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44769</v>
      </c>
      <c r="E59" s="1" t="n">
        <v>46308</v>
      </c>
      <c r="F59" t="inlineStr">
        <is>
          <t>VÄRMLANDS LÄN</t>
        </is>
      </c>
      <c r="G59" t="inlineStr">
        <is>
          <t>KRISTINEHAMN</t>
        </is>
      </c>
      <c r="I59" t="n">
        <v>0.9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41853-2022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44829</v>
      </c>
      <c r="E60" s="1" t="n">
        <v>46308</v>
      </c>
      <c r="F60" t="inlineStr">
        <is>
          <t>VÄRMLANDS LÄN</t>
        </is>
      </c>
      <c r="G60" t="inlineStr">
        <is>
          <t>KRISTINEHAMN</t>
        </is>
      </c>
      <c r="I60" t="n">
        <v>1.8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43558-2022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44834</v>
      </c>
      <c r="E61" s="1" t="n">
        <v>46308</v>
      </c>
      <c r="F61" t="inlineStr">
        <is>
          <t>VÄRMLANDS LÄN</t>
        </is>
      </c>
      <c r="G61" t="inlineStr">
        <is>
          <t>KRISTINEHAMN</t>
        </is>
      </c>
      <c r="I61" t="n">
        <v>12.1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15096-2022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44657</v>
      </c>
      <c r="E62" s="1" t="n">
        <v>46308</v>
      </c>
      <c r="F62" t="inlineStr">
        <is>
          <t>VÄRMLANDS LÄN</t>
        </is>
      </c>
      <c r="G62" t="inlineStr">
        <is>
          <t>KRISTINEHAMN</t>
        </is>
      </c>
      <c r="I62" t="n">
        <v>3.5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61036-2021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44497</v>
      </c>
      <c r="E63" s="1" t="n">
        <v>46308</v>
      </c>
      <c r="F63" t="inlineStr">
        <is>
          <t>VÄRMLANDS LÄN</t>
        </is>
      </c>
      <c r="G63" t="inlineStr">
        <is>
          <t>KRISTINEHAMN</t>
        </is>
      </c>
      <c r="I63" t="n">
        <v>1.9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66439-2021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44518</v>
      </c>
      <c r="E64" s="1" t="n">
        <v>46308</v>
      </c>
      <c r="F64" t="inlineStr">
        <is>
          <t>VÄRMLANDS LÄN</t>
        </is>
      </c>
      <c r="G64" t="inlineStr">
        <is>
          <t>KRISTINEHAMN</t>
        </is>
      </c>
      <c r="I64" t="n">
        <v>0.5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73568-2021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44551</v>
      </c>
      <c r="E65" s="1" t="n">
        <v>46308</v>
      </c>
      <c r="F65" t="inlineStr">
        <is>
          <t>VÄRMLANDS LÄN</t>
        </is>
      </c>
      <c r="G65" t="inlineStr">
        <is>
          <t>KRISTINEHAMN</t>
        </is>
      </c>
      <c r="I65" t="n">
        <v>13.9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61768-2021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44501</v>
      </c>
      <c r="E66" s="1" t="n">
        <v>46308</v>
      </c>
      <c r="F66" t="inlineStr">
        <is>
          <t>VÄRMLANDS LÄN</t>
        </is>
      </c>
      <c r="G66" t="inlineStr">
        <is>
          <t>KRISTINEHAMN</t>
        </is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15095-2022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44657</v>
      </c>
      <c r="E67" s="1" t="n">
        <v>46308</v>
      </c>
      <c r="F67" t="inlineStr">
        <is>
          <t>VÄRMLANDS LÄN</t>
        </is>
      </c>
      <c r="G67" t="inlineStr">
        <is>
          <t>KRISTINEHAMN</t>
        </is>
      </c>
      <c r="I67" t="n">
        <v>1.7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21680-2022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44707</v>
      </c>
      <c r="E68" s="1" t="n">
        <v>46308</v>
      </c>
      <c r="F68" t="inlineStr">
        <is>
          <t>VÄRMLANDS LÄN</t>
        </is>
      </c>
      <c r="G68" t="inlineStr">
        <is>
          <t>KRISTINEHAMN</t>
        </is>
      </c>
      <c r="I68" t="n">
        <v>8.699999999999999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15551-2022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44662</v>
      </c>
      <c r="E69" s="1" t="n">
        <v>46308</v>
      </c>
      <c r="F69" t="inlineStr">
        <is>
          <t>VÄRMLANDS LÄN</t>
        </is>
      </c>
      <c r="G69" t="inlineStr">
        <is>
          <t>KRISTINEHAMN</t>
        </is>
      </c>
      <c r="I69" t="n">
        <v>0.5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27394-2022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44742</v>
      </c>
      <c r="E70" s="1" t="n">
        <v>46308</v>
      </c>
      <c r="F70" t="inlineStr">
        <is>
          <t>VÄRMLANDS LÄN</t>
        </is>
      </c>
      <c r="G70" t="inlineStr">
        <is>
          <t>KRISTINEHAMN</t>
        </is>
      </c>
      <c r="I70" t="n">
        <v>1.5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37794-2022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44810</v>
      </c>
      <c r="E71" s="1" t="n">
        <v>46308</v>
      </c>
      <c r="F71" t="inlineStr">
        <is>
          <t>VÄRMLANDS LÄN</t>
        </is>
      </c>
      <c r="G71" t="inlineStr">
        <is>
          <t>KRISTINEHAMN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53721-2022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44880</v>
      </c>
      <c r="E72" s="1" t="n">
        <v>46308</v>
      </c>
      <c r="F72" t="inlineStr">
        <is>
          <t>VÄRMLANDS LÄN</t>
        </is>
      </c>
      <c r="G72" t="inlineStr">
        <is>
          <t>KRISTINEHAMN</t>
        </is>
      </c>
      <c r="I72" t="n">
        <v>0.6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47974-2022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44853</v>
      </c>
      <c r="E73" s="1" t="n">
        <v>46308</v>
      </c>
      <c r="F73" t="inlineStr">
        <is>
          <t>VÄRMLANDS LÄN</t>
        </is>
      </c>
      <c r="G73" t="inlineStr">
        <is>
          <t>KRISTINEHAMN</t>
        </is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1450-2022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44573</v>
      </c>
      <c r="E74" s="1" t="n">
        <v>46308</v>
      </c>
      <c r="F74" t="inlineStr">
        <is>
          <t>VÄRMLANDS LÄN</t>
        </is>
      </c>
      <c r="G74" t="inlineStr">
        <is>
          <t>KRISTINEHAMN</t>
        </is>
      </c>
      <c r="H74" t="inlineStr">
        <is>
          <t>Sveaskog</t>
        </is>
      </c>
      <c r="I74" t="n">
        <v>0.9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47921-2022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44855</v>
      </c>
      <c r="E75" s="1" t="n">
        <v>46308</v>
      </c>
      <c r="F75" t="inlineStr">
        <is>
          <t>VÄRMLANDS LÄN</t>
        </is>
      </c>
      <c r="G75" t="inlineStr">
        <is>
          <t>KRISTINEHAMN</t>
        </is>
      </c>
      <c r="I75" t="n">
        <v>0.7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21515-2022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44706</v>
      </c>
      <c r="E76" s="1" t="n">
        <v>46308</v>
      </c>
      <c r="F76" t="inlineStr">
        <is>
          <t>VÄRMLANDS LÄN</t>
        </is>
      </c>
      <c r="G76" t="inlineStr">
        <is>
          <t>KRISTINEHAMN</t>
        </is>
      </c>
      <c r="I76" t="n">
        <v>2.6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4571-2022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44591</v>
      </c>
      <c r="E77" s="1" t="n">
        <v>46308</v>
      </c>
      <c r="F77" t="inlineStr">
        <is>
          <t>VÄRMLANDS LÄN</t>
        </is>
      </c>
      <c r="G77" t="inlineStr">
        <is>
          <t>KRISTINEHAMN</t>
        </is>
      </c>
      <c r="I77" t="n">
        <v>1.3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66438-2021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44518</v>
      </c>
      <c r="E78" s="1" t="n">
        <v>46308</v>
      </c>
      <c r="F78" t="inlineStr">
        <is>
          <t>VÄRMLANDS LÄN</t>
        </is>
      </c>
      <c r="G78" t="inlineStr">
        <is>
          <t>KRISTINEHAMN</t>
        </is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66442-2021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44518</v>
      </c>
      <c r="E79" s="1" t="n">
        <v>46308</v>
      </c>
      <c r="F79" t="inlineStr">
        <is>
          <t>VÄRMLANDS LÄN</t>
        </is>
      </c>
      <c r="G79" t="inlineStr">
        <is>
          <t>KRISTINEHAMN</t>
        </is>
      </c>
      <c r="I79" t="n">
        <v>1.7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61707-2021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44501</v>
      </c>
      <c r="E80" s="1" t="n">
        <v>46308</v>
      </c>
      <c r="F80" t="inlineStr">
        <is>
          <t>VÄRMLANDS LÄN</t>
        </is>
      </c>
      <c r="G80" t="inlineStr">
        <is>
          <t>KRISTINEHAMN</t>
        </is>
      </c>
      <c r="I80" t="n">
        <v>1.7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27160-2022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44741</v>
      </c>
      <c r="E81" s="1" t="n">
        <v>46308</v>
      </c>
      <c r="F81" t="inlineStr">
        <is>
          <t>VÄRMLANDS LÄN</t>
        </is>
      </c>
      <c r="G81" t="inlineStr">
        <is>
          <t>KRISTINEHAMN</t>
        </is>
      </c>
      <c r="I81" t="n">
        <v>2.6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3278-2022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44584</v>
      </c>
      <c r="E82" s="1" t="n">
        <v>46308</v>
      </c>
      <c r="F82" t="inlineStr">
        <is>
          <t>VÄRMLANDS LÄN</t>
        </is>
      </c>
      <c r="G82" t="inlineStr">
        <is>
          <t>KRISTINEHAMN</t>
        </is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41551-2022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44825</v>
      </c>
      <c r="E83" s="1" t="n">
        <v>46308</v>
      </c>
      <c r="F83" t="inlineStr">
        <is>
          <t>VÄRMLANDS LÄN</t>
        </is>
      </c>
      <c r="G83" t="inlineStr">
        <is>
          <t>KRISTINEHAMN</t>
        </is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21679-2022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44707</v>
      </c>
      <c r="E84" s="1" t="n">
        <v>46308</v>
      </c>
      <c r="F84" t="inlineStr">
        <is>
          <t>VÄRMLANDS LÄN</t>
        </is>
      </c>
      <c r="G84" t="inlineStr">
        <is>
          <t>KRISTINEHAMN</t>
        </is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21549-2022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44706</v>
      </c>
      <c r="E85" s="1" t="n">
        <v>46308</v>
      </c>
      <c r="F85" t="inlineStr">
        <is>
          <t>VÄRMLANDS LÄN</t>
        </is>
      </c>
      <c r="G85" t="inlineStr">
        <is>
          <t>KRISTINEHAMN</t>
        </is>
      </c>
      <c r="I85" t="n">
        <v>11.3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60567-2024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45644</v>
      </c>
      <c r="E86" s="1" t="n">
        <v>46308</v>
      </c>
      <c r="F86" t="inlineStr">
        <is>
          <t>VÄRMLANDS LÄN</t>
        </is>
      </c>
      <c r="G86" t="inlineStr">
        <is>
          <t>KRISTINEHAMN</t>
        </is>
      </c>
      <c r="I86" t="n">
        <v>2.3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28485-2024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45477</v>
      </c>
      <c r="E87" s="1" t="n">
        <v>46308</v>
      </c>
      <c r="F87" t="inlineStr">
        <is>
          <t>VÄRMLANDS LÄN</t>
        </is>
      </c>
      <c r="G87" t="inlineStr">
        <is>
          <t>KRISTINEHAMN</t>
        </is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58319-2024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45631</v>
      </c>
      <c r="E88" s="1" t="n">
        <v>46308</v>
      </c>
      <c r="F88" t="inlineStr">
        <is>
          <t>VÄRMLANDS LÄN</t>
        </is>
      </c>
      <c r="G88" t="inlineStr">
        <is>
          <t>KRISTINEHAMN</t>
        </is>
      </c>
      <c r="I88" t="n">
        <v>0.5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23705-2022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44722</v>
      </c>
      <c r="E89" s="1" t="n">
        <v>46308</v>
      </c>
      <c r="F89" t="inlineStr">
        <is>
          <t>VÄRMLANDS LÄN</t>
        </is>
      </c>
      <c r="G89" t="inlineStr">
        <is>
          <t>KRISTINEHAMN</t>
        </is>
      </c>
      <c r="I89" t="n">
        <v>1.2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4277-2024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45324</v>
      </c>
      <c r="E90" s="1" t="n">
        <v>46308</v>
      </c>
      <c r="F90" t="inlineStr">
        <is>
          <t>VÄRMLANDS LÄN</t>
        </is>
      </c>
      <c r="G90" t="inlineStr">
        <is>
          <t>KRISTINEHAMN</t>
        </is>
      </c>
      <c r="I90" t="n">
        <v>1.8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45563-2022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44841</v>
      </c>
      <c r="E91" s="1" t="n">
        <v>46308</v>
      </c>
      <c r="F91" t="inlineStr">
        <is>
          <t>VÄRMLANDS LÄN</t>
        </is>
      </c>
      <c r="G91" t="inlineStr">
        <is>
          <t>KRISTINEHAMN</t>
        </is>
      </c>
      <c r="I91" t="n">
        <v>6.9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4335-2025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45685</v>
      </c>
      <c r="E92" s="1" t="n">
        <v>46308</v>
      </c>
      <c r="F92" t="inlineStr">
        <is>
          <t>VÄRMLANDS LÄN</t>
        </is>
      </c>
      <c r="G92" t="inlineStr">
        <is>
          <t>KRISTINEHAMN</t>
        </is>
      </c>
      <c r="I92" t="n">
        <v>2.9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41770-2025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45902</v>
      </c>
      <c r="E93" s="1" t="n">
        <v>46308</v>
      </c>
      <c r="F93" t="inlineStr">
        <is>
          <t>VÄRMLANDS LÄN</t>
        </is>
      </c>
      <c r="G93" t="inlineStr">
        <is>
          <t>KRISTINEHAMN</t>
        </is>
      </c>
      <c r="H93" t="inlineStr">
        <is>
          <t>Sveaskog</t>
        </is>
      </c>
      <c r="I93" t="n">
        <v>3.1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7695-2025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45705</v>
      </c>
      <c r="E94" s="1" t="n">
        <v>46308</v>
      </c>
      <c r="F94" t="inlineStr">
        <is>
          <t>VÄRMLANDS LÄN</t>
        </is>
      </c>
      <c r="G94" t="inlineStr">
        <is>
          <t>KRISTINEHAMN</t>
        </is>
      </c>
      <c r="I94" t="n">
        <v>0.5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61034-2021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44497</v>
      </c>
      <c r="E95" s="1" t="n">
        <v>46308</v>
      </c>
      <c r="F95" t="inlineStr">
        <is>
          <t>VÄRMLANDS LÄN</t>
        </is>
      </c>
      <c r="G95" t="inlineStr">
        <is>
          <t>KRISTINEHAMN</t>
        </is>
      </c>
      <c r="I95" t="n">
        <v>2.6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32161-2023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45119</v>
      </c>
      <c r="E96" s="1" t="n">
        <v>46308</v>
      </c>
      <c r="F96" t="inlineStr">
        <is>
          <t>VÄRMLANDS LÄN</t>
        </is>
      </c>
      <c r="G96" t="inlineStr">
        <is>
          <t>KRISTINEHAMN</t>
        </is>
      </c>
      <c r="I96" t="n">
        <v>5.3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42577-2025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45905</v>
      </c>
      <c r="E97" s="1" t="n">
        <v>46308</v>
      </c>
      <c r="F97" t="inlineStr">
        <is>
          <t>VÄRMLANDS LÄN</t>
        </is>
      </c>
      <c r="G97" t="inlineStr">
        <is>
          <t>KRISTINEHAMN</t>
        </is>
      </c>
      <c r="I97" t="n">
        <v>7.8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70126-2021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44533</v>
      </c>
      <c r="E98" s="1" t="n">
        <v>46308</v>
      </c>
      <c r="F98" t="inlineStr">
        <is>
          <t>VÄRMLANDS LÄN</t>
        </is>
      </c>
      <c r="G98" t="inlineStr">
        <is>
          <t>KRISTINEHAMN</t>
        </is>
      </c>
      <c r="I98" t="n">
        <v>0.3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42178-2025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45904</v>
      </c>
      <c r="E99" s="1" t="n">
        <v>46308</v>
      </c>
      <c r="F99" t="inlineStr">
        <is>
          <t>VÄRMLANDS LÄN</t>
        </is>
      </c>
      <c r="G99" t="inlineStr">
        <is>
          <t>KRISTINEHAMN</t>
        </is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21702-2024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45442</v>
      </c>
      <c r="E100" s="1" t="n">
        <v>46308</v>
      </c>
      <c r="F100" t="inlineStr">
        <is>
          <t>VÄRMLANDS LÄN</t>
        </is>
      </c>
      <c r="G100" t="inlineStr">
        <is>
          <t>KRISTINEHAMN</t>
        </is>
      </c>
      <c r="I100" t="n">
        <v>14.9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46526-2022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44847</v>
      </c>
      <c r="E101" s="1" t="n">
        <v>46308</v>
      </c>
      <c r="F101" t="inlineStr">
        <is>
          <t>VÄRMLANDS LÄN</t>
        </is>
      </c>
      <c r="G101" t="inlineStr">
        <is>
          <t>KRISTINEHAMN</t>
        </is>
      </c>
      <c r="I101" t="n">
        <v>1.2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49245-2024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45595</v>
      </c>
      <c r="E102" s="1" t="n">
        <v>46308</v>
      </c>
      <c r="F102" t="inlineStr">
        <is>
          <t>VÄRMLANDS LÄN</t>
        </is>
      </c>
      <c r="G102" t="inlineStr">
        <is>
          <t>KRISTINEHAMN</t>
        </is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25454-2023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45081</v>
      </c>
      <c r="E103" s="1" t="n">
        <v>46308</v>
      </c>
      <c r="F103" t="inlineStr">
        <is>
          <t>VÄRMLANDS LÄN</t>
        </is>
      </c>
      <c r="G103" t="inlineStr">
        <is>
          <t>KRISTINEHAMN</t>
        </is>
      </c>
      <c r="I103" t="n">
        <v>0.5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25494-2023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45081</v>
      </c>
      <c r="E104" s="1" t="n">
        <v>46308</v>
      </c>
      <c r="F104" t="inlineStr">
        <is>
          <t>VÄRMLANDS LÄN</t>
        </is>
      </c>
      <c r="G104" t="inlineStr">
        <is>
          <t>KRISTINEHAMN</t>
        </is>
      </c>
      <c r="I104" t="n">
        <v>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24634-2026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46171</v>
      </c>
      <c r="E105" s="1" t="n">
        <v>46308</v>
      </c>
      <c r="F105" t="inlineStr">
        <is>
          <t>VÄRMLANDS LÄN</t>
        </is>
      </c>
      <c r="G105" t="inlineStr">
        <is>
          <t>KRISTINEHAMN</t>
        </is>
      </c>
      <c r="H105" t="inlineStr">
        <is>
          <t>Sveaskog</t>
        </is>
      </c>
      <c r="I105" t="n">
        <v>2.7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34891-2023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45141</v>
      </c>
      <c r="E106" s="1" t="n">
        <v>46308</v>
      </c>
      <c r="F106" t="inlineStr">
        <is>
          <t>VÄRMLANDS LÄN</t>
        </is>
      </c>
      <c r="G106" t="inlineStr">
        <is>
          <t>KRISTINEHAMN</t>
        </is>
      </c>
      <c r="I106" t="n">
        <v>3.7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25258-2026</t>
        </is>
      </c>
      <c r="B107" t="inlineStr">
        <is>
          <t>avverkningsanmälan</t>
        </is>
      </c>
      <c r="C107" t="inlineStr">
        <is>
          <t>Avverkning för annat ändamål</t>
        </is>
      </c>
      <c r="D107" s="1" t="n">
        <v>46175</v>
      </c>
      <c r="E107" s="1" t="n">
        <v>46308</v>
      </c>
      <c r="F107" t="inlineStr">
        <is>
          <t>VÄRMLANDS LÄN</t>
        </is>
      </c>
      <c r="G107" t="inlineStr">
        <is>
          <t>KRISTINEHAMN</t>
        </is>
      </c>
      <c r="I107" t="n">
        <v>1.9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6933-2025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45701</v>
      </c>
      <c r="E108" s="1" t="n">
        <v>46308</v>
      </c>
      <c r="F108" t="inlineStr">
        <is>
          <t>VÄRMLANDS LÄN</t>
        </is>
      </c>
      <c r="G108" t="inlineStr">
        <is>
          <t>KRISTINEHAMN</t>
        </is>
      </c>
      <c r="H108" t="inlineStr">
        <is>
          <t>Naturvårdsverket</t>
        </is>
      </c>
      <c r="I108" t="n">
        <v>1.6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11784-2023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44994</v>
      </c>
      <c r="E109" s="1" t="n">
        <v>46308</v>
      </c>
      <c r="F109" t="inlineStr">
        <is>
          <t>VÄRMLANDS LÄN</t>
        </is>
      </c>
      <c r="G109" t="inlineStr">
        <is>
          <t>KRISTINEHAMN</t>
        </is>
      </c>
      <c r="H109" t="inlineStr">
        <is>
          <t>Sveaskog</t>
        </is>
      </c>
      <c r="I109" t="n">
        <v>0.8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25628-2025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45803</v>
      </c>
      <c r="E110" s="1" t="n">
        <v>46308</v>
      </c>
      <c r="F110" t="inlineStr">
        <is>
          <t>VÄRMLANDS LÄN</t>
        </is>
      </c>
      <c r="G110" t="inlineStr">
        <is>
          <t>KRISTINEHAMN</t>
        </is>
      </c>
      <c r="H110" t="inlineStr">
        <is>
          <t>Naturvårdsverket</t>
        </is>
      </c>
      <c r="I110" t="n">
        <v>3.4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68505-2021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44525</v>
      </c>
      <c r="E111" s="1" t="n">
        <v>46308</v>
      </c>
      <c r="F111" t="inlineStr">
        <is>
          <t>VÄRMLANDS LÄN</t>
        </is>
      </c>
      <c r="G111" t="inlineStr">
        <is>
          <t>KRISTINEHAMN</t>
        </is>
      </c>
      <c r="I111" t="n">
        <v>2.9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11020-2023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44991</v>
      </c>
      <c r="E112" s="1" t="n">
        <v>46308</v>
      </c>
      <c r="F112" t="inlineStr">
        <is>
          <t>VÄRMLANDS LÄN</t>
        </is>
      </c>
      <c r="G112" t="inlineStr">
        <is>
          <t>KRISTINEHAMN</t>
        </is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27033-2023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45095</v>
      </c>
      <c r="E113" s="1" t="n">
        <v>46308</v>
      </c>
      <c r="F113" t="inlineStr">
        <is>
          <t>VÄRMLANDS LÄN</t>
        </is>
      </c>
      <c r="G113" t="inlineStr">
        <is>
          <t>KRISTINEHAMN</t>
        </is>
      </c>
      <c r="I113" t="n">
        <v>0.5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8173-2023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44974</v>
      </c>
      <c r="E114" s="1" t="n">
        <v>46308</v>
      </c>
      <c r="F114" t="inlineStr">
        <is>
          <t>VÄRMLANDS LÄN</t>
        </is>
      </c>
      <c r="G114" t="inlineStr">
        <is>
          <t>KRISTINEHAMN</t>
        </is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48379-2025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45933</v>
      </c>
      <c r="E115" s="1" t="n">
        <v>46308</v>
      </c>
      <c r="F115" t="inlineStr">
        <is>
          <t>VÄRMLANDS LÄN</t>
        </is>
      </c>
      <c r="G115" t="inlineStr">
        <is>
          <t>KRISTINEHAMN</t>
        </is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2522-2026</t>
        </is>
      </c>
      <c r="B116" t="inlineStr">
        <is>
          <t>avverkningsanmälan</t>
        </is>
      </c>
      <c r="C116" t="inlineStr">
        <is>
          <t>Avverkning för annat ändamål</t>
        </is>
      </c>
      <c r="D116" s="1" t="n">
        <v>46037</v>
      </c>
      <c r="E116" s="1" t="n">
        <v>46308</v>
      </c>
      <c r="F116" t="inlineStr">
        <is>
          <t>VÄRMLANDS LÄN</t>
        </is>
      </c>
      <c r="G116" t="inlineStr">
        <is>
          <t>KRISTINEHAMN</t>
        </is>
      </c>
      <c r="I116" t="n">
        <v>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56662-2023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45243</v>
      </c>
      <c r="E117" s="1" t="n">
        <v>46308</v>
      </c>
      <c r="F117" t="inlineStr">
        <is>
          <t>VÄRMLANDS LÄN</t>
        </is>
      </c>
      <c r="G117" t="inlineStr">
        <is>
          <t>KRISTINEHAMN</t>
        </is>
      </c>
      <c r="I117" t="n">
        <v>0.6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2945-2024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45315</v>
      </c>
      <c r="E118" s="1" t="n">
        <v>46308</v>
      </c>
      <c r="F118" t="inlineStr">
        <is>
          <t>VÄRMLANDS LÄN</t>
        </is>
      </c>
      <c r="G118" t="inlineStr">
        <is>
          <t>KRISTINEHAMN</t>
        </is>
      </c>
      <c r="I118" t="n">
        <v>3.4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50420-2025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45944</v>
      </c>
      <c r="E119" s="1" t="n">
        <v>46308</v>
      </c>
      <c r="F119" t="inlineStr">
        <is>
          <t>VÄRMLANDS LÄN</t>
        </is>
      </c>
      <c r="G119" t="inlineStr">
        <is>
          <t>KRISTINEHAMN</t>
        </is>
      </c>
      <c r="I119" t="n">
        <v>6.8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7222-2024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45344</v>
      </c>
      <c r="E120" s="1" t="n">
        <v>46308</v>
      </c>
      <c r="F120" t="inlineStr">
        <is>
          <t>VÄRMLANDS LÄN</t>
        </is>
      </c>
      <c r="G120" t="inlineStr">
        <is>
          <t>KRISTINEHAMN</t>
        </is>
      </c>
      <c r="H120" t="inlineStr">
        <is>
          <t>Naturvårdsverket</t>
        </is>
      </c>
      <c r="I120" t="n">
        <v>0.7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27568-2026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46190</v>
      </c>
      <c r="E121" s="1" t="n">
        <v>46308</v>
      </c>
      <c r="F121" t="inlineStr">
        <is>
          <t>VÄRMLANDS LÄN</t>
        </is>
      </c>
      <c r="G121" t="inlineStr">
        <is>
          <t>KRISTINEHAMN</t>
        </is>
      </c>
      <c r="I121" t="n">
        <v>0.8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65050-2023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45282</v>
      </c>
      <c r="E122" s="1" t="n">
        <v>46308</v>
      </c>
      <c r="F122" t="inlineStr">
        <is>
          <t>VÄRMLANDS LÄN</t>
        </is>
      </c>
      <c r="G122" t="inlineStr">
        <is>
          <t>KRISTINEHAMN</t>
        </is>
      </c>
      <c r="I122" t="n">
        <v>9.6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27563-2026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46190</v>
      </c>
      <c r="E123" s="1" t="n">
        <v>46308</v>
      </c>
      <c r="F123" t="inlineStr">
        <is>
          <t>VÄRMLANDS LÄN</t>
        </is>
      </c>
      <c r="G123" t="inlineStr">
        <is>
          <t>KRISTINEHAMN</t>
        </is>
      </c>
      <c r="I123" t="n">
        <v>1.5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56661-2023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45243</v>
      </c>
      <c r="E124" s="1" t="n">
        <v>46308</v>
      </c>
      <c r="F124" t="inlineStr">
        <is>
          <t>VÄRMLANDS LÄN</t>
        </is>
      </c>
      <c r="G124" t="inlineStr">
        <is>
          <t>KRISTINEHAMN</t>
        </is>
      </c>
      <c r="I124" t="n">
        <v>1.2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56664-2023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45243</v>
      </c>
      <c r="E125" s="1" t="n">
        <v>46308</v>
      </c>
      <c r="F125" t="inlineStr">
        <is>
          <t>VÄRMLANDS LÄN</t>
        </is>
      </c>
      <c r="G125" t="inlineStr">
        <is>
          <t>KRISTINEHAMN</t>
        </is>
      </c>
      <c r="I125" t="n">
        <v>1.6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33464-2023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45118</v>
      </c>
      <c r="E126" s="1" t="n">
        <v>46308</v>
      </c>
      <c r="F126" t="inlineStr">
        <is>
          <t>VÄRMLANDS LÄN</t>
        </is>
      </c>
      <c r="G126" t="inlineStr">
        <is>
          <t>KRISTINEHAMN</t>
        </is>
      </c>
      <c r="I126" t="n">
        <v>1.4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19292-2025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45769</v>
      </c>
      <c r="E127" s="1" t="n">
        <v>46308</v>
      </c>
      <c r="F127" t="inlineStr">
        <is>
          <t>VÄRMLANDS LÄN</t>
        </is>
      </c>
      <c r="G127" t="inlineStr">
        <is>
          <t>KRISTINEHAMN</t>
        </is>
      </c>
      <c r="H127" t="inlineStr">
        <is>
          <t>Kyrkan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37742-2023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45159</v>
      </c>
      <c r="E128" s="1" t="n">
        <v>46308</v>
      </c>
      <c r="F128" t="inlineStr">
        <is>
          <t>VÄRMLANDS LÄN</t>
        </is>
      </c>
      <c r="G128" t="inlineStr">
        <is>
          <t>KRISTINEHAMN</t>
        </is>
      </c>
      <c r="H128" t="inlineStr">
        <is>
          <t>Sveaskog</t>
        </is>
      </c>
      <c r="I128" t="n">
        <v>1.9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56697-2022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44888</v>
      </c>
      <c r="E129" s="1" t="n">
        <v>46308</v>
      </c>
      <c r="F129" t="inlineStr">
        <is>
          <t>VÄRMLANDS LÄN</t>
        </is>
      </c>
      <c r="G129" t="inlineStr">
        <is>
          <t>KRISTINEHAMN</t>
        </is>
      </c>
      <c r="I129" t="n">
        <v>1.1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52088-2025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45952</v>
      </c>
      <c r="E130" s="1" t="n">
        <v>46308</v>
      </c>
      <c r="F130" t="inlineStr">
        <is>
          <t>VÄRMLANDS LÄN</t>
        </is>
      </c>
      <c r="G130" t="inlineStr">
        <is>
          <t>KRISTINEHAMN</t>
        </is>
      </c>
      <c r="I130" t="n">
        <v>0.7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23707-2022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44722</v>
      </c>
      <c r="E131" s="1" t="n">
        <v>46308</v>
      </c>
      <c r="F131" t="inlineStr">
        <is>
          <t>VÄRMLANDS LÄN</t>
        </is>
      </c>
      <c r="G131" t="inlineStr">
        <is>
          <t>KRISTINEHAMN</t>
        </is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12395-2024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45379</v>
      </c>
      <c r="E132" s="1" t="n">
        <v>46308</v>
      </c>
      <c r="F132" t="inlineStr">
        <is>
          <t>VÄRMLANDS LÄN</t>
        </is>
      </c>
      <c r="G132" t="inlineStr">
        <is>
          <t>KRISTINEHAMN</t>
        </is>
      </c>
      <c r="I132" t="n">
        <v>4.7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28834-2024</t>
        </is>
      </c>
      <c r="B133" t="inlineStr">
        <is>
          <t>avverkningsanmälan</t>
        </is>
      </c>
      <c r="C133" t="inlineStr">
        <is>
          <t>Avverkning för att bevara och utveckla /försöksver</t>
        </is>
      </c>
      <c r="D133" s="1" t="n">
        <v>45478</v>
      </c>
      <c r="E133" s="1" t="n">
        <v>46308</v>
      </c>
      <c r="F133" t="inlineStr">
        <is>
          <t>VÄRMLANDS LÄN</t>
        </is>
      </c>
      <c r="G133" t="inlineStr">
        <is>
          <t>KRISTINEHAMN</t>
        </is>
      </c>
      <c r="I133" t="n">
        <v>0.6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13118-2025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45734</v>
      </c>
      <c r="E134" s="1" t="n">
        <v>46308</v>
      </c>
      <c r="F134" t="inlineStr">
        <is>
          <t>VÄRMLANDS LÄN</t>
        </is>
      </c>
      <c r="G134" t="inlineStr">
        <is>
          <t>KRISTINEHAMN</t>
        </is>
      </c>
      <c r="I134" t="n">
        <v>1.7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52404-2025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45954</v>
      </c>
      <c r="E135" s="1" t="n">
        <v>46308</v>
      </c>
      <c r="F135" t="inlineStr">
        <is>
          <t>VÄRMLANDS LÄN</t>
        </is>
      </c>
      <c r="G135" t="inlineStr">
        <is>
          <t>KRISTINEHAMN</t>
        </is>
      </c>
      <c r="H135" t="inlineStr">
        <is>
          <t>Sveaskog</t>
        </is>
      </c>
      <c r="I135" t="n">
        <v>0.5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53405-2025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45959</v>
      </c>
      <c r="E136" s="1" t="n">
        <v>46308</v>
      </c>
      <c r="F136" t="inlineStr">
        <is>
          <t>VÄRMLANDS LÄN</t>
        </is>
      </c>
      <c r="G136" t="inlineStr">
        <is>
          <t>KRISTINEHAMN</t>
        </is>
      </c>
      <c r="H136" t="inlineStr">
        <is>
          <t>Naturvårdsverket</t>
        </is>
      </c>
      <c r="I136" t="n">
        <v>4.6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31152-2022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44770</v>
      </c>
      <c r="E137" s="1" t="n">
        <v>46308</v>
      </c>
      <c r="F137" t="inlineStr">
        <is>
          <t>VÄRMLANDS LÄN</t>
        </is>
      </c>
      <c r="G137" t="inlineStr">
        <is>
          <t>KRISTINEHAMN</t>
        </is>
      </c>
      <c r="I137" t="n">
        <v>1.9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6936-2025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45701</v>
      </c>
      <c r="E138" s="1" t="n">
        <v>46308</v>
      </c>
      <c r="F138" t="inlineStr">
        <is>
          <t>VÄRMLANDS LÄN</t>
        </is>
      </c>
      <c r="G138" t="inlineStr">
        <is>
          <t>KRISTINEHAMN</t>
        </is>
      </c>
      <c r="H138" t="inlineStr">
        <is>
          <t>Naturvårdsverket</t>
        </is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53819-2025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45961</v>
      </c>
      <c r="E139" s="1" t="n">
        <v>46308</v>
      </c>
      <c r="F139" t="inlineStr">
        <is>
          <t>VÄRMLANDS LÄN</t>
        </is>
      </c>
      <c r="G139" t="inlineStr">
        <is>
          <t>KRISTINEHAMN</t>
        </is>
      </c>
      <c r="H139" t="inlineStr">
        <is>
          <t>Naturvårdsverket</t>
        </is>
      </c>
      <c r="I139" t="n">
        <v>3.4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53909-2025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45961</v>
      </c>
      <c r="E140" s="1" t="n">
        <v>46308</v>
      </c>
      <c r="F140" t="inlineStr">
        <is>
          <t>VÄRMLANDS LÄN</t>
        </is>
      </c>
      <c r="G140" t="inlineStr">
        <is>
          <t>KRISTINEHAMN</t>
        </is>
      </c>
      <c r="H140" t="inlineStr">
        <is>
          <t>Naturvårdsverket</t>
        </is>
      </c>
      <c r="I140" t="n">
        <v>6.9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21602-2025</t>
        </is>
      </c>
      <c r="B141" t="inlineStr">
        <is>
          <t>avverkningsanmälan</t>
        </is>
      </c>
      <c r="C141" t="inlineStr">
        <is>
          <t>Avverkning för att bevara och utveckla /försöksver</t>
        </is>
      </c>
      <c r="D141" s="1" t="n">
        <v>45783</v>
      </c>
      <c r="E141" s="1" t="n">
        <v>46308</v>
      </c>
      <c r="F141" t="inlineStr">
        <is>
          <t>VÄRMLANDS LÄN</t>
        </is>
      </c>
      <c r="G141" t="inlineStr">
        <is>
          <t>KRISTINEHAMN</t>
        </is>
      </c>
      <c r="H141" t="inlineStr">
        <is>
          <t>Sveaskog</t>
        </is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29871-2026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46205</v>
      </c>
      <c r="E142" s="1" t="n">
        <v>46308</v>
      </c>
      <c r="F142" t="inlineStr">
        <is>
          <t>VÄRMLANDS LÄN</t>
        </is>
      </c>
      <c r="G142" t="inlineStr">
        <is>
          <t>KRISTINEHAMN</t>
        </is>
      </c>
      <c r="I142" t="n">
        <v>1.7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29874-2026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46205</v>
      </c>
      <c r="E143" s="1" t="n">
        <v>46308</v>
      </c>
      <c r="F143" t="inlineStr">
        <is>
          <t>VÄRMLANDS LÄN</t>
        </is>
      </c>
      <c r="G143" t="inlineStr">
        <is>
          <t>KRISTINEHAMN</t>
        </is>
      </c>
      <c r="I143" t="n">
        <v>2.4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56315-2025</t>
        </is>
      </c>
      <c r="B144" t="inlineStr">
        <is>
          <t>avverkningsanmälan</t>
        </is>
      </c>
      <c r="C144" t="inlineStr">
        <is>
          <t>Avverkning för annat ändamål</t>
        </is>
      </c>
      <c r="D144" s="1" t="n">
        <v>45974</v>
      </c>
      <c r="E144" s="1" t="n">
        <v>46308</v>
      </c>
      <c r="F144" t="inlineStr">
        <is>
          <t>VÄRMLANDS LÄN</t>
        </is>
      </c>
      <c r="G144" t="inlineStr">
        <is>
          <t>KRISTINEHAMN</t>
        </is>
      </c>
      <c r="I144" t="n">
        <v>1.1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59190-2024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45636</v>
      </c>
      <c r="E145" s="1" t="n">
        <v>46308</v>
      </c>
      <c r="F145" t="inlineStr">
        <is>
          <t>VÄRMLANDS LÄN</t>
        </is>
      </c>
      <c r="G145" t="inlineStr">
        <is>
          <t>KRISTINEHAMN</t>
        </is>
      </c>
      <c r="I145" t="n">
        <v>8.300000000000001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36774-2022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44805</v>
      </c>
      <c r="E146" s="1" t="n">
        <v>46308</v>
      </c>
      <c r="F146" t="inlineStr">
        <is>
          <t>VÄRMLANDS LÄN</t>
        </is>
      </c>
      <c r="G146" t="inlineStr">
        <is>
          <t>KRISTINEHAMN</t>
        </is>
      </c>
      <c r="I146" t="n">
        <v>3.8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23510-2025</t>
        </is>
      </c>
      <c r="B147" t="inlineStr">
        <is>
          <t>avverkningsanmälan</t>
        </is>
      </c>
      <c r="C147" t="inlineStr">
        <is>
          <t>Avverkning för att bevara och utveckla /försöksver</t>
        </is>
      </c>
      <c r="D147" s="1" t="n">
        <v>45792</v>
      </c>
      <c r="E147" s="1" t="n">
        <v>46308</v>
      </c>
      <c r="F147" t="inlineStr">
        <is>
          <t>VÄRMLANDS LÄN</t>
        </is>
      </c>
      <c r="G147" t="inlineStr">
        <is>
          <t>KRISTINEHAMN</t>
        </is>
      </c>
      <c r="H147" t="inlineStr">
        <is>
          <t>Sveaskog</t>
        </is>
      </c>
      <c r="I147" t="n">
        <v>1.9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23501-2025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45792</v>
      </c>
      <c r="E148" s="1" t="n">
        <v>46308</v>
      </c>
      <c r="F148" t="inlineStr">
        <is>
          <t>VÄRMLANDS LÄN</t>
        </is>
      </c>
      <c r="G148" t="inlineStr">
        <is>
          <t>KRISTINEHAMN</t>
        </is>
      </c>
      <c r="H148" t="inlineStr">
        <is>
          <t>Sveaskog</t>
        </is>
      </c>
      <c r="I148" t="n">
        <v>1.1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23511-2025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45792</v>
      </c>
      <c r="E149" s="1" t="n">
        <v>46308</v>
      </c>
      <c r="F149" t="inlineStr">
        <is>
          <t>VÄRMLANDS LÄN</t>
        </is>
      </c>
      <c r="G149" t="inlineStr">
        <is>
          <t>KRISTINEHAMN</t>
        </is>
      </c>
      <c r="H149" t="inlineStr">
        <is>
          <t>Sveaskog</t>
        </is>
      </c>
      <c r="I149" t="n">
        <v>1.2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23502-2025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45792</v>
      </c>
      <c r="E150" s="1" t="n">
        <v>46308</v>
      </c>
      <c r="F150" t="inlineStr">
        <is>
          <t>VÄRMLANDS LÄN</t>
        </is>
      </c>
      <c r="G150" t="inlineStr">
        <is>
          <t>KRISTINEHAMN</t>
        </is>
      </c>
      <c r="H150" t="inlineStr">
        <is>
          <t>Sveaskog</t>
        </is>
      </c>
      <c r="I150" t="n">
        <v>0.9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62864-2023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45272</v>
      </c>
      <c r="E151" s="1" t="n">
        <v>46308</v>
      </c>
      <c r="F151" t="inlineStr">
        <is>
          <t>VÄRMLANDS LÄN</t>
        </is>
      </c>
      <c r="G151" t="inlineStr">
        <is>
          <t>KRISTINEHAMN</t>
        </is>
      </c>
      <c r="I151" t="n">
        <v>5.3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6609-2025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45700</v>
      </c>
      <c r="E152" s="1" t="n">
        <v>46308</v>
      </c>
      <c r="F152" t="inlineStr">
        <is>
          <t>VÄRMLANDS LÄN</t>
        </is>
      </c>
      <c r="G152" t="inlineStr">
        <is>
          <t>KRISTINEHAMN</t>
        </is>
      </c>
      <c r="I152" t="n">
        <v>11.2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4493-2025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45686</v>
      </c>
      <c r="E153" s="1" t="n">
        <v>46308</v>
      </c>
      <c r="F153" t="inlineStr">
        <is>
          <t>VÄRMLANDS LÄN</t>
        </is>
      </c>
      <c r="G153" t="inlineStr">
        <is>
          <t>KRISTINEHAMN</t>
        </is>
      </c>
      <c r="I153" t="n">
        <v>4.7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16427-2024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45407</v>
      </c>
      <c r="E154" s="1" t="n">
        <v>46308</v>
      </c>
      <c r="F154" t="inlineStr">
        <is>
          <t>VÄRMLANDS LÄN</t>
        </is>
      </c>
      <c r="G154" t="inlineStr">
        <is>
          <t>KRISTINEHAMN</t>
        </is>
      </c>
      <c r="I154" t="n">
        <v>3.9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65055-2023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45282</v>
      </c>
      <c r="E155" s="1" t="n">
        <v>46308</v>
      </c>
      <c r="F155" t="inlineStr">
        <is>
          <t>VÄRMLANDS LÄN</t>
        </is>
      </c>
      <c r="G155" t="inlineStr">
        <is>
          <t>KRISTINEHAMN</t>
        </is>
      </c>
      <c r="I155" t="n">
        <v>1.1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24970-2025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45799</v>
      </c>
      <c r="E156" s="1" t="n">
        <v>46308</v>
      </c>
      <c r="F156" t="inlineStr">
        <is>
          <t>VÄRMLANDS LÄN</t>
        </is>
      </c>
      <c r="G156" t="inlineStr">
        <is>
          <t>KRISTINEHAMN</t>
        </is>
      </c>
      <c r="H156" t="inlineStr">
        <is>
          <t>Sveaskog</t>
        </is>
      </c>
      <c r="I156" t="n">
        <v>0.8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45012-2024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45575</v>
      </c>
      <c r="E157" s="1" t="n">
        <v>46308</v>
      </c>
      <c r="F157" t="inlineStr">
        <is>
          <t>VÄRMLANDS LÄN</t>
        </is>
      </c>
      <c r="G157" t="inlineStr">
        <is>
          <t>KRISTINEHAMN</t>
        </is>
      </c>
      <c r="I157" t="n">
        <v>1.5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39997-2024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45553</v>
      </c>
      <c r="E158" s="1" t="n">
        <v>46308</v>
      </c>
      <c r="F158" t="inlineStr">
        <is>
          <t>VÄRMLANDS LÄN</t>
        </is>
      </c>
      <c r="G158" t="inlineStr">
        <is>
          <t>KRISTINEHAMN</t>
        </is>
      </c>
      <c r="I158" t="n">
        <v>2.5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24655-2025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45798</v>
      </c>
      <c r="E159" s="1" t="n">
        <v>46308</v>
      </c>
      <c r="F159" t="inlineStr">
        <is>
          <t>VÄRMLANDS LÄN</t>
        </is>
      </c>
      <c r="G159" t="inlineStr">
        <is>
          <t>KRISTINEHAMN</t>
        </is>
      </c>
      <c r="I159" t="n">
        <v>5.2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60363-2025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45995</v>
      </c>
      <c r="E160" s="1" t="n">
        <v>46308</v>
      </c>
      <c r="F160" t="inlineStr">
        <is>
          <t>VÄRMLANDS LÄN</t>
        </is>
      </c>
      <c r="G160" t="inlineStr">
        <is>
          <t>KRISTINEHAMN</t>
        </is>
      </c>
      <c r="I160" t="n">
        <v>3.1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25484-2025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45802</v>
      </c>
      <c r="E161" s="1" t="n">
        <v>46308</v>
      </c>
      <c r="F161" t="inlineStr">
        <is>
          <t>VÄRMLANDS LÄN</t>
        </is>
      </c>
      <c r="G161" t="inlineStr">
        <is>
          <t>KRISTINEHAMN</t>
        </is>
      </c>
      <c r="H161" t="inlineStr">
        <is>
          <t>Naturvårdsverket</t>
        </is>
      </c>
      <c r="I161" t="n">
        <v>4.5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60381-2025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45995</v>
      </c>
      <c r="E162" s="1" t="n">
        <v>46308</v>
      </c>
      <c r="F162" t="inlineStr">
        <is>
          <t>VÄRMLANDS LÄN</t>
        </is>
      </c>
      <c r="G162" t="inlineStr">
        <is>
          <t>KRISTINEHAMN</t>
        </is>
      </c>
      <c r="I162" t="n">
        <v>1.2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56875-2022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44894</v>
      </c>
      <c r="E163" s="1" t="n">
        <v>46308</v>
      </c>
      <c r="F163" t="inlineStr">
        <is>
          <t>VÄRMLANDS LÄN</t>
        </is>
      </c>
      <c r="G163" t="inlineStr">
        <is>
          <t>KRISTINEHAMN</t>
        </is>
      </c>
      <c r="I163" t="n">
        <v>3.8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60791-2025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45999</v>
      </c>
      <c r="E164" s="1" t="n">
        <v>46308</v>
      </c>
      <c r="F164" t="inlineStr">
        <is>
          <t>VÄRMLANDS LÄN</t>
        </is>
      </c>
      <c r="G164" t="inlineStr">
        <is>
          <t>KRISTINEHAMN</t>
        </is>
      </c>
      <c r="H164" t="inlineStr">
        <is>
          <t>Naturvårdsverket</t>
        </is>
      </c>
      <c r="I164" t="n">
        <v>0.4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60942-2025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45999</v>
      </c>
      <c r="E165" s="1" t="n">
        <v>46308</v>
      </c>
      <c r="F165" t="inlineStr">
        <is>
          <t>VÄRMLANDS LÄN</t>
        </is>
      </c>
      <c r="G165" t="inlineStr">
        <is>
          <t>KRISTINEHAMN</t>
        </is>
      </c>
      <c r="H165" t="inlineStr">
        <is>
          <t>Bergvik skog väst AB</t>
        </is>
      </c>
      <c r="I165" t="n">
        <v>2.2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26192-2025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45805</v>
      </c>
      <c r="E166" s="1" t="n">
        <v>46308</v>
      </c>
      <c r="F166" t="inlineStr">
        <is>
          <t>VÄRMLANDS LÄN</t>
        </is>
      </c>
      <c r="G166" t="inlineStr">
        <is>
          <t>KRISTINEHAMN</t>
        </is>
      </c>
      <c r="H166" t="inlineStr">
        <is>
          <t>Sveaskog</t>
        </is>
      </c>
      <c r="I166" t="n">
        <v>3.3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60915-2025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45999</v>
      </c>
      <c r="E167" s="1" t="n">
        <v>46308</v>
      </c>
      <c r="F167" t="inlineStr">
        <is>
          <t>VÄRMLANDS LÄN</t>
        </is>
      </c>
      <c r="G167" t="inlineStr">
        <is>
          <t>KRISTINEHAMN</t>
        </is>
      </c>
      <c r="H167" t="inlineStr">
        <is>
          <t>Bergvik skog väst AB</t>
        </is>
      </c>
      <c r="I167" t="n">
        <v>2.5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60902-2025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45999</v>
      </c>
      <c r="E168" s="1" t="n">
        <v>46308</v>
      </c>
      <c r="F168" t="inlineStr">
        <is>
          <t>VÄRMLANDS LÄN</t>
        </is>
      </c>
      <c r="G168" t="inlineStr">
        <is>
          <t>KRISTINEHAMN</t>
        </is>
      </c>
      <c r="H168" t="inlineStr">
        <is>
          <t>Bergvik skog väst AB</t>
        </is>
      </c>
      <c r="I168" t="n">
        <v>3.3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55363-2023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45238</v>
      </c>
      <c r="E169" s="1" t="n">
        <v>46308</v>
      </c>
      <c r="F169" t="inlineStr">
        <is>
          <t>VÄRMLANDS LÄN</t>
        </is>
      </c>
      <c r="G169" t="inlineStr">
        <is>
          <t>KRISTINEHAMN</t>
        </is>
      </c>
      <c r="H169" t="inlineStr">
        <is>
          <t>Kommuner</t>
        </is>
      </c>
      <c r="I169" t="n">
        <v>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26181-2025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45805</v>
      </c>
      <c r="E170" s="1" t="n">
        <v>46308</v>
      </c>
      <c r="F170" t="inlineStr">
        <is>
          <t>VÄRMLANDS LÄN</t>
        </is>
      </c>
      <c r="G170" t="inlineStr">
        <is>
          <t>KRISTINEHAMN</t>
        </is>
      </c>
      <c r="H170" t="inlineStr">
        <is>
          <t>Sveaskog</t>
        </is>
      </c>
      <c r="I170" t="n">
        <v>2.2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61479-2025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46001</v>
      </c>
      <c r="E171" s="1" t="n">
        <v>46308</v>
      </c>
      <c r="F171" t="inlineStr">
        <is>
          <t>VÄRMLANDS LÄN</t>
        </is>
      </c>
      <c r="G171" t="inlineStr">
        <is>
          <t>KRISTINEHAMN</t>
        </is>
      </c>
      <c r="I171" t="n">
        <v>3.9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61081-2025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46000</v>
      </c>
      <c r="E172" s="1" t="n">
        <v>46308</v>
      </c>
      <c r="F172" t="inlineStr">
        <is>
          <t>VÄRMLANDS LÄN</t>
        </is>
      </c>
      <c r="G172" t="inlineStr">
        <is>
          <t>KRISTINEHAMN</t>
        </is>
      </c>
      <c r="H172" t="inlineStr">
        <is>
          <t>Naturvårdsverket</t>
        </is>
      </c>
      <c r="I172" t="n">
        <v>5.8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26623-2025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45810</v>
      </c>
      <c r="E173" s="1" t="n">
        <v>46308</v>
      </c>
      <c r="F173" t="inlineStr">
        <is>
          <t>VÄRMLANDS LÄN</t>
        </is>
      </c>
      <c r="G173" t="inlineStr">
        <is>
          <t>KRISTINEHAMN</t>
        </is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61048-2025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46000</v>
      </c>
      <c r="E174" s="1" t="n">
        <v>46308</v>
      </c>
      <c r="F174" t="inlineStr">
        <is>
          <t>VÄRMLANDS LÄN</t>
        </is>
      </c>
      <c r="G174" t="inlineStr">
        <is>
          <t>KRISTINEHAMN</t>
        </is>
      </c>
      <c r="H174" t="inlineStr">
        <is>
          <t>Bergvik skog väst AB</t>
        </is>
      </c>
      <c r="I174" t="n">
        <v>6.5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61891-2025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46003</v>
      </c>
      <c r="E175" s="1" t="n">
        <v>46308</v>
      </c>
      <c r="F175" t="inlineStr">
        <is>
          <t>VÄRMLANDS LÄN</t>
        </is>
      </c>
      <c r="G175" t="inlineStr">
        <is>
          <t>KRISTINEHAMN</t>
        </is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61888-2025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46003</v>
      </c>
      <c r="E176" s="1" t="n">
        <v>46308</v>
      </c>
      <c r="F176" t="inlineStr">
        <is>
          <t>VÄRMLANDS LÄN</t>
        </is>
      </c>
      <c r="G176" t="inlineStr">
        <is>
          <t>KRISTINEHAMN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26871-2025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45810</v>
      </c>
      <c r="E177" s="1" t="n">
        <v>46308</v>
      </c>
      <c r="F177" t="inlineStr">
        <is>
          <t>VÄRMLANDS LÄN</t>
        </is>
      </c>
      <c r="G177" t="inlineStr">
        <is>
          <t>KRISTINEHAMN</t>
        </is>
      </c>
      <c r="I177" t="n">
        <v>0.4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31829-2026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46230</v>
      </c>
      <c r="E178" s="1" t="n">
        <v>46308</v>
      </c>
      <c r="F178" t="inlineStr">
        <is>
          <t>VÄRMLANDS LÄN</t>
        </is>
      </c>
      <c r="G178" t="inlineStr">
        <is>
          <t>KRISTINEHAMN</t>
        </is>
      </c>
      <c r="I178" t="n">
        <v>2.5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62349-2025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46006</v>
      </c>
      <c r="E179" s="1" t="n">
        <v>46308</v>
      </c>
      <c r="F179" t="inlineStr">
        <is>
          <t>VÄRMLANDS LÄN</t>
        </is>
      </c>
      <c r="G179" t="inlineStr">
        <is>
          <t>KRISTINEHAMN</t>
        </is>
      </c>
      <c r="I179" t="n">
        <v>3.5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27139-2025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45812</v>
      </c>
      <c r="E180" s="1" t="n">
        <v>46308</v>
      </c>
      <c r="F180" t="inlineStr">
        <is>
          <t>VÄRMLANDS LÄN</t>
        </is>
      </c>
      <c r="G180" t="inlineStr">
        <is>
          <t>KRISTINEHAMN</t>
        </is>
      </c>
      <c r="H180" t="inlineStr">
        <is>
          <t>Sveaskog</t>
        </is>
      </c>
      <c r="I180" t="n">
        <v>2.5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27140-2025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45812</v>
      </c>
      <c r="E181" s="1" t="n">
        <v>46308</v>
      </c>
      <c r="F181" t="inlineStr">
        <is>
          <t>VÄRMLANDS LÄN</t>
        </is>
      </c>
      <c r="G181" t="inlineStr">
        <is>
          <t>KRISTINEHAMN</t>
        </is>
      </c>
      <c r="H181" t="inlineStr">
        <is>
          <t>Sveaskog</t>
        </is>
      </c>
      <c r="I181" t="n">
        <v>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63016-2025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46009</v>
      </c>
      <c r="E182" s="1" t="n">
        <v>46308</v>
      </c>
      <c r="F182" t="inlineStr">
        <is>
          <t>VÄRMLANDS LÄN</t>
        </is>
      </c>
      <c r="G182" t="inlineStr">
        <is>
          <t>KRISTINEHAMN</t>
        </is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37180-2026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46274</v>
      </c>
      <c r="E183" s="1" t="n">
        <v>46308</v>
      </c>
      <c r="F183" t="inlineStr">
        <is>
          <t>VÄRMLANDS LÄN</t>
        </is>
      </c>
      <c r="G183" t="inlineStr">
        <is>
          <t>KRISTINEHAMN</t>
        </is>
      </c>
      <c r="I183" t="n">
        <v>1.7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37185-2026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46274</v>
      </c>
      <c r="E184" s="1" t="n">
        <v>46308</v>
      </c>
      <c r="F184" t="inlineStr">
        <is>
          <t>VÄRMLANDS LÄN</t>
        </is>
      </c>
      <c r="G184" t="inlineStr">
        <is>
          <t>KRISTINEHAMN</t>
        </is>
      </c>
      <c r="I184" t="n">
        <v>1.2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63018-2025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46009</v>
      </c>
      <c r="E185" s="1" t="n">
        <v>46308</v>
      </c>
      <c r="F185" t="inlineStr">
        <is>
          <t>VÄRMLANDS LÄN</t>
        </is>
      </c>
      <c r="G185" t="inlineStr">
        <is>
          <t>KRISTINEHAMN</t>
        </is>
      </c>
      <c r="I185" t="n">
        <v>0.8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28731-2025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45820</v>
      </c>
      <c r="E186" s="1" t="n">
        <v>46308</v>
      </c>
      <c r="F186" t="inlineStr">
        <is>
          <t>VÄRMLANDS LÄN</t>
        </is>
      </c>
      <c r="G186" t="inlineStr">
        <is>
          <t>KRISTINEHAMN</t>
        </is>
      </c>
      <c r="I186" t="n">
        <v>1.4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10124-2024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45364</v>
      </c>
      <c r="E187" s="1" t="n">
        <v>46308</v>
      </c>
      <c r="F187" t="inlineStr">
        <is>
          <t>VÄRMLANDS LÄN</t>
        </is>
      </c>
      <c r="G187" t="inlineStr">
        <is>
          <t>KRISTINEHAMN</t>
        </is>
      </c>
      <c r="I187" t="n">
        <v>2.7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13032-2024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45385</v>
      </c>
      <c r="E188" s="1" t="n">
        <v>46308</v>
      </c>
      <c r="F188" t="inlineStr">
        <is>
          <t>VÄRMLANDS LÄN</t>
        </is>
      </c>
      <c r="G188" t="inlineStr">
        <is>
          <t>KRISTINEHAMN</t>
        </is>
      </c>
      <c r="I188" t="n">
        <v>1.5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30221-2025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45827</v>
      </c>
      <c r="E189" s="1" t="n">
        <v>46308</v>
      </c>
      <c r="F189" t="inlineStr">
        <is>
          <t>VÄRMLANDS LÄN</t>
        </is>
      </c>
      <c r="G189" t="inlineStr">
        <is>
          <t>KRISTINEHAMN</t>
        </is>
      </c>
      <c r="I189" t="n">
        <v>0.5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38080-2026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46281</v>
      </c>
      <c r="E190" s="1" t="n">
        <v>46308</v>
      </c>
      <c r="F190" t="inlineStr">
        <is>
          <t>VÄRMLANDS LÄN</t>
        </is>
      </c>
      <c r="G190" t="inlineStr">
        <is>
          <t>KRISTINEHAMN</t>
        </is>
      </c>
      <c r="I190" t="n">
        <v>6.4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12261-2024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45378</v>
      </c>
      <c r="E191" s="1" t="n">
        <v>46308</v>
      </c>
      <c r="F191" t="inlineStr">
        <is>
          <t>VÄRMLANDS LÄN</t>
        </is>
      </c>
      <c r="G191" t="inlineStr">
        <is>
          <t>KRISTINEHAMN</t>
        </is>
      </c>
      <c r="I191" t="n">
        <v>0.7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10116-2024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45364</v>
      </c>
      <c r="E192" s="1" t="n">
        <v>46308</v>
      </c>
      <c r="F192" t="inlineStr">
        <is>
          <t>VÄRMLANDS LÄN</t>
        </is>
      </c>
      <c r="G192" t="inlineStr">
        <is>
          <t>KRISTINEHAMN</t>
        </is>
      </c>
      <c r="I192" t="n">
        <v>4.3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10106-2024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45364</v>
      </c>
      <c r="E193" s="1" t="n">
        <v>46308</v>
      </c>
      <c r="F193" t="inlineStr">
        <is>
          <t>VÄRMLANDS LÄN</t>
        </is>
      </c>
      <c r="G193" t="inlineStr">
        <is>
          <t>KRISTINEHAMN</t>
        </is>
      </c>
      <c r="I193" t="n">
        <v>3.9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23948-2022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44722</v>
      </c>
      <c r="E194" s="1" t="n">
        <v>46308</v>
      </c>
      <c r="F194" t="inlineStr">
        <is>
          <t>VÄRMLANDS LÄN</t>
        </is>
      </c>
      <c r="G194" t="inlineStr">
        <is>
          <t>KRISTINEHAMN</t>
        </is>
      </c>
      <c r="I194" t="n">
        <v>3.7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31528-2025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45833</v>
      </c>
      <c r="E195" s="1" t="n">
        <v>46308</v>
      </c>
      <c r="F195" t="inlineStr">
        <is>
          <t>VÄRMLANDS LÄN</t>
        </is>
      </c>
      <c r="G195" t="inlineStr">
        <is>
          <t>KRISTINEHAMN</t>
        </is>
      </c>
      <c r="I195" t="n">
        <v>2.8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38128-2026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46281</v>
      </c>
      <c r="E196" s="1" t="n">
        <v>46308</v>
      </c>
      <c r="F196" t="inlineStr">
        <is>
          <t>VÄRMLANDS LÄN</t>
        </is>
      </c>
      <c r="G196" t="inlineStr">
        <is>
          <t>KRISTINEHAMN</t>
        </is>
      </c>
      <c r="H196" t="inlineStr">
        <is>
          <t>Sveaskog</t>
        </is>
      </c>
      <c r="I196" t="n">
        <v>14.1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31250-2025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45832</v>
      </c>
      <c r="E197" s="1" t="n">
        <v>46308</v>
      </c>
      <c r="F197" t="inlineStr">
        <is>
          <t>VÄRMLANDS LÄN</t>
        </is>
      </c>
      <c r="G197" t="inlineStr">
        <is>
          <t>KRISTINEHAMN</t>
        </is>
      </c>
      <c r="I197" t="n">
        <v>6.4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31449-2025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45833</v>
      </c>
      <c r="E198" s="1" t="n">
        <v>46308</v>
      </c>
      <c r="F198" t="inlineStr">
        <is>
          <t>VÄRMLANDS LÄN</t>
        </is>
      </c>
      <c r="G198" t="inlineStr">
        <is>
          <t>KRISTINEHAMN</t>
        </is>
      </c>
      <c r="I198" t="n">
        <v>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31327-2025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45833</v>
      </c>
      <c r="E199" s="1" t="n">
        <v>46308</v>
      </c>
      <c r="F199" t="inlineStr">
        <is>
          <t>VÄRMLANDS LÄN</t>
        </is>
      </c>
      <c r="G199" t="inlineStr">
        <is>
          <t>KRISTINEHAMN</t>
        </is>
      </c>
      <c r="I199" t="n">
        <v>20.1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670-2025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45664</v>
      </c>
      <c r="E200" s="1" t="n">
        <v>46308</v>
      </c>
      <c r="F200" t="inlineStr">
        <is>
          <t>VÄRMLANDS LÄN</t>
        </is>
      </c>
      <c r="G200" t="inlineStr">
        <is>
          <t>KRISTINEHAMN</t>
        </is>
      </c>
      <c r="I200" t="n">
        <v>1.5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1756-2026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46034</v>
      </c>
      <c r="E201" s="1" t="n">
        <v>46308</v>
      </c>
      <c r="F201" t="inlineStr">
        <is>
          <t>VÄRMLANDS LÄN</t>
        </is>
      </c>
      <c r="G201" t="inlineStr">
        <is>
          <t>KRISTINEHAMN</t>
        </is>
      </c>
      <c r="I201" t="n">
        <v>0.4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1740-2026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46034</v>
      </c>
      <c r="E202" s="1" t="n">
        <v>46308</v>
      </c>
      <c r="F202" t="inlineStr">
        <is>
          <t>VÄRMLANDS LÄN</t>
        </is>
      </c>
      <c r="G202" t="inlineStr">
        <is>
          <t>KRISTINEHAMN</t>
        </is>
      </c>
      <c r="I202" t="n">
        <v>2.4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2077-2026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46036</v>
      </c>
      <c r="E203" s="1" t="n">
        <v>46308</v>
      </c>
      <c r="F203" t="inlineStr">
        <is>
          <t>VÄRMLANDS LÄN</t>
        </is>
      </c>
      <c r="G203" t="inlineStr">
        <is>
          <t>KRISTINEHAMN</t>
        </is>
      </c>
      <c r="I203" t="n">
        <v>5.2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38487-2026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46282</v>
      </c>
      <c r="E204" s="1" t="n">
        <v>46308</v>
      </c>
      <c r="F204" t="inlineStr">
        <is>
          <t>VÄRMLANDS LÄN</t>
        </is>
      </c>
      <c r="G204" t="inlineStr">
        <is>
          <t>KRISTINEHAMN</t>
        </is>
      </c>
      <c r="I204" t="n">
        <v>1.4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3038-2026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46038</v>
      </c>
      <c r="E205" s="1" t="n">
        <v>46308</v>
      </c>
      <c r="F205" t="inlineStr">
        <is>
          <t>VÄRMLANDS LÄN</t>
        </is>
      </c>
      <c r="G205" t="inlineStr">
        <is>
          <t>KRISTINEHAMN</t>
        </is>
      </c>
      <c r="I205" t="n">
        <v>2.9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3030-2026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46038</v>
      </c>
      <c r="E206" s="1" t="n">
        <v>46308</v>
      </c>
      <c r="F206" t="inlineStr">
        <is>
          <t>VÄRMLANDS LÄN</t>
        </is>
      </c>
      <c r="G206" t="inlineStr">
        <is>
          <t>KRISTINEHAMN</t>
        </is>
      </c>
      <c r="I206" t="n">
        <v>3.3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3034-2026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46038</v>
      </c>
      <c r="E207" s="1" t="n">
        <v>46308</v>
      </c>
      <c r="F207" t="inlineStr">
        <is>
          <t>VÄRMLANDS LÄN</t>
        </is>
      </c>
      <c r="G207" t="inlineStr">
        <is>
          <t>KRISTINEHAMN</t>
        </is>
      </c>
      <c r="I207" t="n">
        <v>2.9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38486-2026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46282</v>
      </c>
      <c r="E208" s="1" t="n">
        <v>46308</v>
      </c>
      <c r="F208" t="inlineStr">
        <is>
          <t>VÄRMLANDS LÄN</t>
        </is>
      </c>
      <c r="G208" t="inlineStr">
        <is>
          <t>KRISTINEHAMN</t>
        </is>
      </c>
      <c r="I208" t="n">
        <v>2.1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38485-2026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46282</v>
      </c>
      <c r="E209" s="1" t="n">
        <v>46308</v>
      </c>
      <c r="F209" t="inlineStr">
        <is>
          <t>VÄRMLANDS LÄN</t>
        </is>
      </c>
      <c r="G209" t="inlineStr">
        <is>
          <t>KRISTINEHAMN</t>
        </is>
      </c>
      <c r="I209" t="n">
        <v>5.8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4963-2026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46049</v>
      </c>
      <c r="E210" s="1" t="n">
        <v>46308</v>
      </c>
      <c r="F210" t="inlineStr">
        <is>
          <t>VÄRMLANDS LÄN</t>
        </is>
      </c>
      <c r="G210" t="inlineStr">
        <is>
          <t>KRISTINEHAMN</t>
        </is>
      </c>
      <c r="I210" t="n">
        <v>3.3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4580-2026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46048</v>
      </c>
      <c r="E211" s="1" t="n">
        <v>46308</v>
      </c>
      <c r="F211" t="inlineStr">
        <is>
          <t>VÄRMLANDS LÄN</t>
        </is>
      </c>
      <c r="G211" t="inlineStr">
        <is>
          <t>KRISTINEHAMN</t>
        </is>
      </c>
      <c r="I211" t="n">
        <v>3.6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38840-2026</t>
        </is>
      </c>
      <c r="B212" t="inlineStr">
        <is>
          <t>avverkningsanmälan</t>
        </is>
      </c>
      <c r="C212" t="inlineStr">
        <is>
          <t>Avverkning för annat ändamål</t>
        </is>
      </c>
      <c r="D212" s="1" t="n">
        <v>46286</v>
      </c>
      <c r="E212" s="1" t="n">
        <v>46308</v>
      </c>
      <c r="F212" t="inlineStr">
        <is>
          <t>VÄRMLANDS LÄN</t>
        </is>
      </c>
      <c r="G212" t="inlineStr">
        <is>
          <t>KRISTINEHAMN</t>
        </is>
      </c>
      <c r="H212" t="inlineStr">
        <is>
          <t>Sveaskog</t>
        </is>
      </c>
      <c r="I212" t="n">
        <v>0.6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51616-2023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45222</v>
      </c>
      <c r="E213" s="1" t="n">
        <v>46308</v>
      </c>
      <c r="F213" t="inlineStr">
        <is>
          <t>VÄRMLANDS LÄN</t>
        </is>
      </c>
      <c r="G213" t="inlineStr">
        <is>
          <t>KRISTINEHAMN</t>
        </is>
      </c>
      <c r="I213" t="n">
        <v>1.1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24118-2024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45456</v>
      </c>
      <c r="E214" s="1" t="n">
        <v>46308</v>
      </c>
      <c r="F214" t="inlineStr">
        <is>
          <t>VÄRMLANDS LÄN</t>
        </is>
      </c>
      <c r="G214" t="inlineStr">
        <is>
          <t>KRISTINEHAMN</t>
        </is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6259-2026</t>
        </is>
      </c>
      <c r="B215" t="inlineStr">
        <is>
          <t>avverkningsanmälan</t>
        </is>
      </c>
      <c r="C215" t="inlineStr">
        <is>
          <t>Avverkning för att bevara och utveckla /försöksver</t>
        </is>
      </c>
      <c r="D215" s="1" t="n">
        <v>46051</v>
      </c>
      <c r="E215" s="1" t="n">
        <v>46308</v>
      </c>
      <c r="F215" t="inlineStr">
        <is>
          <t>VÄRMLANDS LÄN</t>
        </is>
      </c>
      <c r="G215" t="inlineStr">
        <is>
          <t>KRISTINEHAMN</t>
        </is>
      </c>
      <c r="I215" t="n">
        <v>1.1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50159-2024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45600</v>
      </c>
      <c r="E216" s="1" t="n">
        <v>46308</v>
      </c>
      <c r="F216" t="inlineStr">
        <is>
          <t>VÄRMLANDS LÄN</t>
        </is>
      </c>
      <c r="G216" t="inlineStr">
        <is>
          <t>KRISTINEHAMN</t>
        </is>
      </c>
      <c r="I216" t="n">
        <v>0.5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21384-2025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45782</v>
      </c>
      <c r="E217" s="1" t="n">
        <v>46308</v>
      </c>
      <c r="F217" t="inlineStr">
        <is>
          <t>VÄRMLANDS LÄN</t>
        </is>
      </c>
      <c r="G217" t="inlineStr">
        <is>
          <t>KRISTINEHAMN</t>
        </is>
      </c>
      <c r="I217" t="n">
        <v>1.7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47465-2023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45202</v>
      </c>
      <c r="E218" s="1" t="n">
        <v>46308</v>
      </c>
      <c r="F218" t="inlineStr">
        <is>
          <t>VÄRMLANDS LÄN</t>
        </is>
      </c>
      <c r="G218" t="inlineStr">
        <is>
          <t>KRISTINEHAMN</t>
        </is>
      </c>
      <c r="I218" t="n">
        <v>10.4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6278-2023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44965</v>
      </c>
      <c r="E219" s="1" t="n">
        <v>46308</v>
      </c>
      <c r="F219" t="inlineStr">
        <is>
          <t>VÄRMLANDS LÄN</t>
        </is>
      </c>
      <c r="G219" t="inlineStr">
        <is>
          <t>KRISTINEHAMN</t>
        </is>
      </c>
      <c r="I219" t="n">
        <v>5.7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37267-2025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45876</v>
      </c>
      <c r="E220" s="1" t="n">
        <v>46308</v>
      </c>
      <c r="F220" t="inlineStr">
        <is>
          <t>VÄRMLANDS LÄN</t>
        </is>
      </c>
      <c r="G220" t="inlineStr">
        <is>
          <t>KRISTINEHAMN</t>
        </is>
      </c>
      <c r="H220" t="inlineStr">
        <is>
          <t>Sveaskog</t>
        </is>
      </c>
      <c r="I220" t="n">
        <v>3.7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37266-2025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45876</v>
      </c>
      <c r="E221" s="1" t="n">
        <v>46308</v>
      </c>
      <c r="F221" t="inlineStr">
        <is>
          <t>VÄRMLANDS LÄN</t>
        </is>
      </c>
      <c r="G221" t="inlineStr">
        <is>
          <t>KRISTINEHAMN</t>
        </is>
      </c>
      <c r="H221" t="inlineStr">
        <is>
          <t>Sveaskog</t>
        </is>
      </c>
      <c r="I221" t="n">
        <v>1.4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40141-2026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46293</v>
      </c>
      <c r="E222" s="1" t="n">
        <v>46308</v>
      </c>
      <c r="F222" t="inlineStr">
        <is>
          <t>VÄRMLANDS LÄN</t>
        </is>
      </c>
      <c r="G222" t="inlineStr">
        <is>
          <t>KRISTINEHAMN</t>
        </is>
      </c>
      <c r="I222" t="n">
        <v>3.5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11463-2026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46083</v>
      </c>
      <c r="E223" s="1" t="n">
        <v>46308</v>
      </c>
      <c r="F223" t="inlineStr">
        <is>
          <t>VÄRMLANDS LÄN</t>
        </is>
      </c>
      <c r="G223" t="inlineStr">
        <is>
          <t>KRISTINEHAMN</t>
        </is>
      </c>
      <c r="H223" t="inlineStr">
        <is>
          <t>Bergvik skog väst AB</t>
        </is>
      </c>
      <c r="I223" t="n">
        <v>1.2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5250-2023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44959</v>
      </c>
      <c r="E224" s="1" t="n">
        <v>46308</v>
      </c>
      <c r="F224" t="inlineStr">
        <is>
          <t>VÄRMLANDS LÄN</t>
        </is>
      </c>
      <c r="G224" t="inlineStr">
        <is>
          <t>KRISTINEHAMN</t>
        </is>
      </c>
      <c r="I224" t="n">
        <v>1.2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39187-2026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46287</v>
      </c>
      <c r="E225" s="1" t="n">
        <v>46308</v>
      </c>
      <c r="F225" t="inlineStr">
        <is>
          <t>VÄRMLANDS LÄN</t>
        </is>
      </c>
      <c r="G225" t="inlineStr">
        <is>
          <t>KRISTINEHAMN</t>
        </is>
      </c>
      <c r="I225" t="n">
        <v>10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12934-2026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46092</v>
      </c>
      <c r="E226" s="1" t="n">
        <v>46308</v>
      </c>
      <c r="F226" t="inlineStr">
        <is>
          <t>VÄRMLANDS LÄN</t>
        </is>
      </c>
      <c r="G226" t="inlineStr">
        <is>
          <t>KRISTINEHAMN</t>
        </is>
      </c>
      <c r="H226" t="inlineStr">
        <is>
          <t>Sveaskog</t>
        </is>
      </c>
      <c r="I226" t="n">
        <v>1.2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12930-2026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46092</v>
      </c>
      <c r="E227" s="1" t="n">
        <v>46308</v>
      </c>
      <c r="F227" t="inlineStr">
        <is>
          <t>VÄRMLANDS LÄN</t>
        </is>
      </c>
      <c r="G227" t="inlineStr">
        <is>
          <t>KRISTINEHAMN</t>
        </is>
      </c>
      <c r="H227" t="inlineStr">
        <is>
          <t>Sveaskog</t>
        </is>
      </c>
      <c r="I227" t="n">
        <v>1.5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12932-2026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46092</v>
      </c>
      <c r="E228" s="1" t="n">
        <v>46308</v>
      </c>
      <c r="F228" t="inlineStr">
        <is>
          <t>VÄRMLANDS LÄN</t>
        </is>
      </c>
      <c r="G228" t="inlineStr">
        <is>
          <t>KRISTINEHAMN</t>
        </is>
      </c>
      <c r="H228" t="inlineStr">
        <is>
          <t>Sveaskog</t>
        </is>
      </c>
      <c r="I228" t="n">
        <v>1.4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13461-2026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46094</v>
      </c>
      <c r="E229" s="1" t="n">
        <v>46308</v>
      </c>
      <c r="F229" t="inlineStr">
        <is>
          <t>VÄRMLANDS LÄN</t>
        </is>
      </c>
      <c r="G229" t="inlineStr">
        <is>
          <t>KRISTINEHAMN</t>
        </is>
      </c>
      <c r="H229" t="inlineStr">
        <is>
          <t>Sveaskog</t>
        </is>
      </c>
      <c r="I229" t="n">
        <v>0.8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13462-2026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46094</v>
      </c>
      <c r="E230" s="1" t="n">
        <v>46308</v>
      </c>
      <c r="F230" t="inlineStr">
        <is>
          <t>VÄRMLANDS LÄN</t>
        </is>
      </c>
      <c r="G230" t="inlineStr">
        <is>
          <t>KRISTINEHAMN</t>
        </is>
      </c>
      <c r="H230" t="inlineStr">
        <is>
          <t>Sveaskog</t>
        </is>
      </c>
      <c r="I230" t="n">
        <v>5.9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13464-2026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46094</v>
      </c>
      <c r="E231" s="1" t="n">
        <v>46308</v>
      </c>
      <c r="F231" t="inlineStr">
        <is>
          <t>VÄRMLANDS LÄN</t>
        </is>
      </c>
      <c r="G231" t="inlineStr">
        <is>
          <t>KRISTINEHAMN</t>
        </is>
      </c>
      <c r="H231" t="inlineStr">
        <is>
          <t>Sveaskog</t>
        </is>
      </c>
      <c r="I231" t="n">
        <v>3.5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51700-2023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45222</v>
      </c>
      <c r="E232" s="1" t="n">
        <v>46308</v>
      </c>
      <c r="F232" t="inlineStr">
        <is>
          <t>VÄRMLANDS LÄN</t>
        </is>
      </c>
      <c r="G232" t="inlineStr">
        <is>
          <t>KRISTINEHAMN</t>
        </is>
      </c>
      <c r="H232" t="inlineStr">
        <is>
          <t>Bergvik skog väst AB</t>
        </is>
      </c>
      <c r="I232" t="n">
        <v>6.8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30986-2026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46213</v>
      </c>
      <c r="E233" s="1" t="n">
        <v>46308</v>
      </c>
      <c r="F233" t="inlineStr">
        <is>
          <t>VÄRMLANDS LÄN</t>
        </is>
      </c>
      <c r="G233" t="inlineStr">
        <is>
          <t>KRISTINEHAMN</t>
        </is>
      </c>
      <c r="I233" t="n">
        <v>5.5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22637-2024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45447</v>
      </c>
      <c r="E234" s="1" t="n">
        <v>46308</v>
      </c>
      <c r="F234" t="inlineStr">
        <is>
          <t>VÄRMLANDS LÄN</t>
        </is>
      </c>
      <c r="G234" t="inlineStr">
        <is>
          <t>KRISTINEHAMN</t>
        </is>
      </c>
      <c r="I234" t="n">
        <v>1.9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14757-2026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46101</v>
      </c>
      <c r="E235" s="1" t="n">
        <v>46308</v>
      </c>
      <c r="F235" t="inlineStr">
        <is>
          <t>VÄRMLANDS LÄN</t>
        </is>
      </c>
      <c r="G235" t="inlineStr">
        <is>
          <t>KRISTINEHAMN</t>
        </is>
      </c>
      <c r="H235" t="inlineStr">
        <is>
          <t>Sveaskog</t>
        </is>
      </c>
      <c r="I235" t="n">
        <v>5.6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14759-2026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46101</v>
      </c>
      <c r="E236" s="1" t="n">
        <v>46308</v>
      </c>
      <c r="F236" t="inlineStr">
        <is>
          <t>VÄRMLANDS LÄN</t>
        </is>
      </c>
      <c r="G236" t="inlineStr">
        <is>
          <t>KRISTINEHAMN</t>
        </is>
      </c>
      <c r="H236" t="inlineStr">
        <is>
          <t>Sveaskog</t>
        </is>
      </c>
      <c r="I236" t="n">
        <v>4.2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386-2025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45662</v>
      </c>
      <c r="E237" s="1" t="n">
        <v>46308</v>
      </c>
      <c r="F237" t="inlineStr">
        <is>
          <t>VÄRMLANDS LÄN</t>
        </is>
      </c>
      <c r="G237" t="inlineStr">
        <is>
          <t>KRISTINEHAMN</t>
        </is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15646-2026</t>
        </is>
      </c>
      <c r="B238" t="inlineStr">
        <is>
          <t>avverkningsanmälan</t>
        </is>
      </c>
      <c r="C238" t="inlineStr">
        <is>
          <t>Avverkning för att bevara och utveckla /försöksver</t>
        </is>
      </c>
      <c r="D238" s="1" t="n">
        <v>46106</v>
      </c>
      <c r="E238" s="1" t="n">
        <v>46308</v>
      </c>
      <c r="F238" t="inlineStr">
        <is>
          <t>VÄRMLANDS LÄN</t>
        </is>
      </c>
      <c r="G238" t="inlineStr">
        <is>
          <t>KRISTINEHAMN</t>
        </is>
      </c>
      <c r="H238" t="inlineStr">
        <is>
          <t>Sveaskog</t>
        </is>
      </c>
      <c r="I238" t="n">
        <v>4.6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32404-2023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45110</v>
      </c>
      <c r="E239" s="1" t="n">
        <v>46308</v>
      </c>
      <c r="F239" t="inlineStr">
        <is>
          <t>VÄRMLANDS LÄN</t>
        </is>
      </c>
      <c r="G239" t="inlineStr">
        <is>
          <t>KRISTINEHAMN</t>
        </is>
      </c>
      <c r="I239" t="n">
        <v>1.4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15827-2026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46107</v>
      </c>
      <c r="E240" s="1" t="n">
        <v>46308</v>
      </c>
      <c r="F240" t="inlineStr">
        <is>
          <t>VÄRMLANDS LÄN</t>
        </is>
      </c>
      <c r="G240" t="inlineStr">
        <is>
          <t>KRISTINEHAMN</t>
        </is>
      </c>
      <c r="I240" t="n">
        <v>3.5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41778-2026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46302</v>
      </c>
      <c r="E241" s="1" t="n">
        <v>46308</v>
      </c>
      <c r="F241" t="inlineStr">
        <is>
          <t>VÄRMLANDS LÄN</t>
        </is>
      </c>
      <c r="G241" t="inlineStr">
        <is>
          <t>KRISTINEHAMN</t>
        </is>
      </c>
      <c r="I241" t="n">
        <v>12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32821-2023</t>
        </is>
      </c>
      <c r="B242" t="inlineStr">
        <is>
          <t>avverkningsanmälan</t>
        </is>
      </c>
      <c r="C242" t="inlineStr">
        <is>
          <t>Avverkning för annat ändamål</t>
        </is>
      </c>
      <c r="D242" s="1" t="n">
        <v>45112</v>
      </c>
      <c r="E242" s="1" t="n">
        <v>46308</v>
      </c>
      <c r="F242" t="inlineStr">
        <is>
          <t>VÄRMLANDS LÄN</t>
        </is>
      </c>
      <c r="G242" t="inlineStr">
        <is>
          <t>KRISTINEHAMN</t>
        </is>
      </c>
      <c r="H242" t="inlineStr">
        <is>
          <t>Kommuner</t>
        </is>
      </c>
      <c r="I242" t="n">
        <v>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18909-2026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46129</v>
      </c>
      <c r="E243" s="1" t="n">
        <v>46308</v>
      </c>
      <c r="F243" t="inlineStr">
        <is>
          <t>VÄRMLANDS LÄN</t>
        </is>
      </c>
      <c r="G243" t="inlineStr">
        <is>
          <t>KRISTINEHAMN</t>
        </is>
      </c>
      <c r="H243" t="inlineStr">
        <is>
          <t>Sveaskog</t>
        </is>
      </c>
      <c r="I243" t="n">
        <v>1.4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4304-2022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44588</v>
      </c>
      <c r="E244" s="1" t="n">
        <v>46308</v>
      </c>
      <c r="F244" t="inlineStr">
        <is>
          <t>VÄRMLANDS LÄN</t>
        </is>
      </c>
      <c r="G244" t="inlineStr">
        <is>
          <t>KRISTINEHAMN</t>
        </is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32821-2023</t>
        </is>
      </c>
      <c r="B245" t="inlineStr">
        <is>
          <t>avverkningsanmälan</t>
        </is>
      </c>
      <c r="C245" t="inlineStr">
        <is>
          <t>Avverkning för annat ändamål</t>
        </is>
      </c>
      <c r="D245" s="1" t="n">
        <v>45112</v>
      </c>
      <c r="E245" s="1" t="n">
        <v>46308</v>
      </c>
      <c r="F245" t="inlineStr">
        <is>
          <t>VÄRMLANDS LÄN</t>
        </is>
      </c>
      <c r="G245" t="inlineStr">
        <is>
          <t>KRISTINEHAMN</t>
        </is>
      </c>
      <c r="H245" t="inlineStr">
        <is>
          <t>Kommuner</t>
        </is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6927-2025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45701</v>
      </c>
      <c r="E246" s="1" t="n">
        <v>46308</v>
      </c>
      <c r="F246" t="inlineStr">
        <is>
          <t>VÄRMLANDS LÄN</t>
        </is>
      </c>
      <c r="G246" t="inlineStr">
        <is>
          <t>KRISTINEHAMN</t>
        </is>
      </c>
      <c r="H246" t="inlineStr">
        <is>
          <t>Naturvårdsverket</t>
        </is>
      </c>
      <c r="I246" t="n">
        <v>1.7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19226-2026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46132</v>
      </c>
      <c r="E247" s="1" t="n">
        <v>46308</v>
      </c>
      <c r="F247" t="inlineStr">
        <is>
          <t>VÄRMLANDS LÄN</t>
        </is>
      </c>
      <c r="G247" t="inlineStr">
        <is>
          <t>KRISTINEHAMN</t>
        </is>
      </c>
      <c r="I247" t="n">
        <v>2.8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42402-2026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46307</v>
      </c>
      <c r="E248" s="1" t="n">
        <v>46308</v>
      </c>
      <c r="F248" t="inlineStr">
        <is>
          <t>VÄRMLANDS LÄN</t>
        </is>
      </c>
      <c r="G248" t="inlineStr">
        <is>
          <t>KRISTINEHAMN</t>
        </is>
      </c>
      <c r="I248" t="n">
        <v>1.2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18954-2023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45044</v>
      </c>
      <c r="E249" s="1" t="n">
        <v>46308</v>
      </c>
      <c r="F249" t="inlineStr">
        <is>
          <t>VÄRMLANDS LÄN</t>
        </is>
      </c>
      <c r="G249" t="inlineStr">
        <is>
          <t>KRISTINEHAMN</t>
        </is>
      </c>
      <c r="I249" t="n">
        <v>1.3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62767-2023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45268</v>
      </c>
      <c r="E250" s="1" t="n">
        <v>46308</v>
      </c>
      <c r="F250" t="inlineStr">
        <is>
          <t>VÄRMLANDS LÄN</t>
        </is>
      </c>
      <c r="G250" t="inlineStr">
        <is>
          <t>KRISTINEHAMN</t>
        </is>
      </c>
      <c r="I250" t="n">
        <v>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26028-2025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45804</v>
      </c>
      <c r="E251" s="1" t="n">
        <v>46308</v>
      </c>
      <c r="F251" t="inlineStr">
        <is>
          <t>VÄRMLANDS LÄN</t>
        </is>
      </c>
      <c r="G251" t="inlineStr">
        <is>
          <t>KRISTINEHAMN</t>
        </is>
      </c>
      <c r="I251" t="n">
        <v>2.6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56930-2023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45244</v>
      </c>
      <c r="E252" s="1" t="n">
        <v>46308</v>
      </c>
      <c r="F252" t="inlineStr">
        <is>
          <t>VÄRMLANDS LÄN</t>
        </is>
      </c>
      <c r="G252" t="inlineStr">
        <is>
          <t>KRISTINEHAMN</t>
        </is>
      </c>
      <c r="I252" t="n">
        <v>0.6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39159-2025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45888</v>
      </c>
      <c r="E253" s="1" t="n">
        <v>46308</v>
      </c>
      <c r="F253" t="inlineStr">
        <is>
          <t>VÄRMLANDS LÄN</t>
        </is>
      </c>
      <c r="G253" t="inlineStr">
        <is>
          <t>KRISTINEHAMN</t>
        </is>
      </c>
      <c r="I253" t="n">
        <v>1.4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38404-2022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44812</v>
      </c>
      <c r="E254" s="1" t="n">
        <v>46308</v>
      </c>
      <c r="F254" t="inlineStr">
        <is>
          <t>VÄRMLANDS LÄN</t>
        </is>
      </c>
      <c r="G254" t="inlineStr">
        <is>
          <t>KRISTINEHAMN</t>
        </is>
      </c>
      <c r="I254" t="n">
        <v>1.1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20102-2026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46136</v>
      </c>
      <c r="E255" s="1" t="n">
        <v>46308</v>
      </c>
      <c r="F255" t="inlineStr">
        <is>
          <t>VÄRMLANDS LÄN</t>
        </is>
      </c>
      <c r="G255" t="inlineStr">
        <is>
          <t>KRISTINEHAMN</t>
        </is>
      </c>
      <c r="I255" t="n">
        <v>0.3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1399-2024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45303</v>
      </c>
      <c r="E256" s="1" t="n">
        <v>46308</v>
      </c>
      <c r="F256" t="inlineStr">
        <is>
          <t>VÄRMLANDS LÄN</t>
        </is>
      </c>
      <c r="G256" t="inlineStr">
        <is>
          <t>KRISTINEHAMN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27077-2025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45811</v>
      </c>
      <c r="E257" s="1" t="n">
        <v>46308</v>
      </c>
      <c r="F257" t="inlineStr">
        <is>
          <t>VÄRMLANDS LÄN</t>
        </is>
      </c>
      <c r="G257" t="inlineStr">
        <is>
          <t>KRISTINEHAMN</t>
        </is>
      </c>
      <c r="I257" t="n">
        <v>2.8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60805-2025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45999</v>
      </c>
      <c r="E258" s="1" t="n">
        <v>46308</v>
      </c>
      <c r="F258" t="inlineStr">
        <is>
          <t>VÄRMLANDS LÄN</t>
        </is>
      </c>
      <c r="G258" t="inlineStr">
        <is>
          <t>KRISTINEHAMN</t>
        </is>
      </c>
      <c r="H258" t="inlineStr">
        <is>
          <t>Naturvårdsverket</t>
        </is>
      </c>
      <c r="I258" t="n">
        <v>3.2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62498-2022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44917</v>
      </c>
      <c r="E259" s="1" t="n">
        <v>46308</v>
      </c>
      <c r="F259" t="inlineStr">
        <is>
          <t>VÄRMLANDS LÄN</t>
        </is>
      </c>
      <c r="G259" t="inlineStr">
        <is>
          <t>KRISTINEHAMN</t>
        </is>
      </c>
      <c r="I259" t="n">
        <v>3.3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48128-2025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45933</v>
      </c>
      <c r="E260" s="1" t="n">
        <v>46308</v>
      </c>
      <c r="F260" t="inlineStr">
        <is>
          <t>VÄRMLANDS LÄN</t>
        </is>
      </c>
      <c r="G260" t="inlineStr">
        <is>
          <t>KRISTINEHAMN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17245-2025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45756</v>
      </c>
      <c r="E261" s="1" t="n">
        <v>46308</v>
      </c>
      <c r="F261" t="inlineStr">
        <is>
          <t>VÄRMLANDS LÄN</t>
        </is>
      </c>
      <c r="G261" t="inlineStr">
        <is>
          <t>KRISTINEHAMN</t>
        </is>
      </c>
      <c r="H261" t="inlineStr">
        <is>
          <t>Sveaskog</t>
        </is>
      </c>
      <c r="I261" t="n">
        <v>2.2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27210-2022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44741</v>
      </c>
      <c r="E262" s="1" t="n">
        <v>46308</v>
      </c>
      <c r="F262" t="inlineStr">
        <is>
          <t>VÄRMLANDS LÄN</t>
        </is>
      </c>
      <c r="G262" t="inlineStr">
        <is>
          <t>KRISTINEHAMN</t>
        </is>
      </c>
      <c r="H262" t="inlineStr">
        <is>
          <t>Bergvik skog väst AB</t>
        </is>
      </c>
      <c r="I262" t="n">
        <v>1.6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59854-2023</t>
        </is>
      </c>
      <c r="B263" t="inlineStr">
        <is>
          <t>avverkningsanmälan</t>
        </is>
      </c>
      <c r="C263" t="inlineStr">
        <is>
          <t>Föryngringsavverkning</t>
        </is>
      </c>
      <c r="D263" s="1" t="n">
        <v>45253</v>
      </c>
      <c r="E263" s="1" t="n">
        <v>46308</v>
      </c>
      <c r="F263" t="inlineStr">
        <is>
          <t>VÄRMLANDS LÄN</t>
        </is>
      </c>
      <c r="G263" t="inlineStr">
        <is>
          <t>KRISTINEHAMN</t>
        </is>
      </c>
      <c r="I263" t="n">
        <v>8.199999999999999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38946-2025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45887</v>
      </c>
      <c r="E264" s="1" t="n">
        <v>46308</v>
      </c>
      <c r="F264" t="inlineStr">
        <is>
          <t>VÄRMLANDS LÄN</t>
        </is>
      </c>
      <c r="G264" t="inlineStr">
        <is>
          <t>KRISTINEHAMN</t>
        </is>
      </c>
      <c r="I264" t="n">
        <v>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62517-2022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44917</v>
      </c>
      <c r="E265" s="1" t="n">
        <v>46308</v>
      </c>
      <c r="F265" t="inlineStr">
        <is>
          <t>VÄRMLANDS LÄN</t>
        </is>
      </c>
      <c r="G265" t="inlineStr">
        <is>
          <t>KRISTINEHAMN</t>
        </is>
      </c>
      <c r="I265" t="n">
        <v>2.5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57565-2023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45246</v>
      </c>
      <c r="E266" s="1" t="n">
        <v>46308</v>
      </c>
      <c r="F266" t="inlineStr">
        <is>
          <t>VÄRMLANDS LÄN</t>
        </is>
      </c>
      <c r="G266" t="inlineStr">
        <is>
          <t>KRISTINEHAMN</t>
        </is>
      </c>
      <c r="I266" t="n">
        <v>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20168-2026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46139</v>
      </c>
      <c r="E267" s="1" t="n">
        <v>46308</v>
      </c>
      <c r="F267" t="inlineStr">
        <is>
          <t>VÄRMLANDS LÄN</t>
        </is>
      </c>
      <c r="G267" t="inlineStr">
        <is>
          <t>KRISTINEHAMN</t>
        </is>
      </c>
      <c r="I267" t="n">
        <v>5.7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47424-2023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45202</v>
      </c>
      <c r="E268" s="1" t="n">
        <v>46308</v>
      </c>
      <c r="F268" t="inlineStr">
        <is>
          <t>VÄRMLANDS LÄN</t>
        </is>
      </c>
      <c r="G268" t="inlineStr">
        <is>
          <t>KRISTINEHAMN</t>
        </is>
      </c>
      <c r="I268" t="n">
        <v>4.7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42177-2025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45904</v>
      </c>
      <c r="E269" s="1" t="n">
        <v>46308</v>
      </c>
      <c r="F269" t="inlineStr">
        <is>
          <t>VÄRMLANDS LÄN</t>
        </is>
      </c>
      <c r="G269" t="inlineStr">
        <is>
          <t>KRISTINEHAMN</t>
        </is>
      </c>
      <c r="I269" t="n">
        <v>2.4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27525-2022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44742</v>
      </c>
      <c r="E270" s="1" t="n">
        <v>46308</v>
      </c>
      <c r="F270" t="inlineStr">
        <is>
          <t>VÄRMLANDS LÄN</t>
        </is>
      </c>
      <c r="G270" t="inlineStr">
        <is>
          <t>KRISTINEHAMN</t>
        </is>
      </c>
      <c r="I270" t="n">
        <v>2.7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27531-2022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44742</v>
      </c>
      <c r="E271" s="1" t="n">
        <v>46308</v>
      </c>
      <c r="F271" t="inlineStr">
        <is>
          <t>VÄRMLANDS LÄN</t>
        </is>
      </c>
      <c r="G271" t="inlineStr">
        <is>
          <t>KRISTINEHAMN</t>
        </is>
      </c>
      <c r="I271" t="n">
        <v>1.6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47371-2023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45202</v>
      </c>
      <c r="E272" s="1" t="n">
        <v>46308</v>
      </c>
      <c r="F272" t="inlineStr">
        <is>
          <t>VÄRMLANDS LÄN</t>
        </is>
      </c>
      <c r="G272" t="inlineStr">
        <is>
          <t>KRISTINEHAMN</t>
        </is>
      </c>
      <c r="I272" t="n">
        <v>10.1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20484-2026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46140</v>
      </c>
      <c r="E273" s="1" t="n">
        <v>46308</v>
      </c>
      <c r="F273" t="inlineStr">
        <is>
          <t>VÄRMLANDS LÄN</t>
        </is>
      </c>
      <c r="G273" t="inlineStr">
        <is>
          <t>KRISTINEHAMN</t>
        </is>
      </c>
      <c r="H273" t="inlineStr">
        <is>
          <t>Bergvik skog väst AB</t>
        </is>
      </c>
      <c r="I273" t="n">
        <v>7.7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10999-2024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45370</v>
      </c>
      <c r="E274" s="1" t="n">
        <v>46308</v>
      </c>
      <c r="F274" t="inlineStr">
        <is>
          <t>VÄRMLANDS LÄN</t>
        </is>
      </c>
      <c r="G274" t="inlineStr">
        <is>
          <t>KRISTINEHAMN</t>
        </is>
      </c>
      <c r="I274" t="n">
        <v>2.2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20654-2026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46141</v>
      </c>
      <c r="E275" s="1" t="n">
        <v>46308</v>
      </c>
      <c r="F275" t="inlineStr">
        <is>
          <t>VÄRMLANDS LÄN</t>
        </is>
      </c>
      <c r="G275" t="inlineStr">
        <is>
          <t>KRISTINEHAMN</t>
        </is>
      </c>
      <c r="H275" t="inlineStr">
        <is>
          <t>Naturvårdsverket</t>
        </is>
      </c>
      <c r="I275" t="n">
        <v>3.6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20686-2026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46141</v>
      </c>
      <c r="E276" s="1" t="n">
        <v>46308</v>
      </c>
      <c r="F276" t="inlineStr">
        <is>
          <t>VÄRMLANDS LÄN</t>
        </is>
      </c>
      <c r="G276" t="inlineStr">
        <is>
          <t>KRISTINEHAMN</t>
        </is>
      </c>
      <c r="H276" t="inlineStr">
        <is>
          <t>Naturvårdsverket</t>
        </is>
      </c>
      <c r="I276" t="n">
        <v>1.2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20672-2026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46141</v>
      </c>
      <c r="E277" s="1" t="n">
        <v>46308</v>
      </c>
      <c r="F277" t="inlineStr">
        <is>
          <t>VÄRMLANDS LÄN</t>
        </is>
      </c>
      <c r="G277" t="inlineStr">
        <is>
          <t>KRISTINEHAMN</t>
        </is>
      </c>
      <c r="H277" t="inlineStr">
        <is>
          <t>Naturvårdsverket</t>
        </is>
      </c>
      <c r="I277" t="n">
        <v>2.4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12568-2023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45000</v>
      </c>
      <c r="E278" s="1" t="n">
        <v>46308</v>
      </c>
      <c r="F278" t="inlineStr">
        <is>
          <t>VÄRMLANDS LÄN</t>
        </is>
      </c>
      <c r="G278" t="inlineStr">
        <is>
          <t>KRISTINEHAMN</t>
        </is>
      </c>
      <c r="I278" t="n">
        <v>0.6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20570-2026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46140</v>
      </c>
      <c r="E279" s="1" t="n">
        <v>46308</v>
      </c>
      <c r="F279" t="inlineStr">
        <is>
          <t>VÄRMLANDS LÄN</t>
        </is>
      </c>
      <c r="G279" t="inlineStr">
        <is>
          <t>KRISTINEHAMN</t>
        </is>
      </c>
      <c r="H279" t="inlineStr">
        <is>
          <t>Sveaskog</t>
        </is>
      </c>
      <c r="I279" t="n">
        <v>14.2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34230-2023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45127</v>
      </c>
      <c r="E280" s="1" t="n">
        <v>46308</v>
      </c>
      <c r="F280" t="inlineStr">
        <is>
          <t>VÄRMLANDS LÄN</t>
        </is>
      </c>
      <c r="G280" t="inlineStr">
        <is>
          <t>KRISTINEHAMN</t>
        </is>
      </c>
      <c r="I280" t="n">
        <v>3.4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30218-2025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45827</v>
      </c>
      <c r="E281" s="1" t="n">
        <v>46308</v>
      </c>
      <c r="F281" t="inlineStr">
        <is>
          <t>VÄRMLANDS LÄN</t>
        </is>
      </c>
      <c r="G281" t="inlineStr">
        <is>
          <t>KRISTINEHAMN</t>
        </is>
      </c>
      <c r="I281" t="n">
        <v>1.8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39157-2025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45888</v>
      </c>
      <c r="E282" s="1" t="n">
        <v>46308</v>
      </c>
      <c r="F282" t="inlineStr">
        <is>
          <t>VÄRMLANDS LÄN</t>
        </is>
      </c>
      <c r="G282" t="inlineStr">
        <is>
          <t>KRISTINEHAMN</t>
        </is>
      </c>
      <c r="I282" t="n">
        <v>7.1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18319-2023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45041</v>
      </c>
      <c r="E283" s="1" t="n">
        <v>46308</v>
      </c>
      <c r="F283" t="inlineStr">
        <is>
          <t>VÄRMLANDS LÄN</t>
        </is>
      </c>
      <c r="G283" t="inlineStr">
        <is>
          <t>KRISTINEHAMN</t>
        </is>
      </c>
      <c r="I283" t="n">
        <v>0.8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19447-2024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45429</v>
      </c>
      <c r="E284" s="1" t="n">
        <v>46308</v>
      </c>
      <c r="F284" t="inlineStr">
        <is>
          <t>VÄRMLANDS LÄN</t>
        </is>
      </c>
      <c r="G284" t="inlineStr">
        <is>
          <t>KRISTINEHAMN</t>
        </is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2927-2025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45678</v>
      </c>
      <c r="E285" s="1" t="n">
        <v>46308</v>
      </c>
      <c r="F285" t="inlineStr">
        <is>
          <t>VÄRMLANDS LÄN</t>
        </is>
      </c>
      <c r="G285" t="inlineStr">
        <is>
          <t>KRISTINEHAMN</t>
        </is>
      </c>
      <c r="I285" t="n">
        <v>3.3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56671-2023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45243</v>
      </c>
      <c r="E286" s="1" t="n">
        <v>46308</v>
      </c>
      <c r="F286" t="inlineStr">
        <is>
          <t>VÄRMLANDS LÄN</t>
        </is>
      </c>
      <c r="G286" t="inlineStr">
        <is>
          <t>KRISTINEHAMN</t>
        </is>
      </c>
      <c r="I286" t="n">
        <v>8.699999999999999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24117-2024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45456</v>
      </c>
      <c r="E287" s="1" t="n">
        <v>46308</v>
      </c>
      <c r="F287" t="inlineStr">
        <is>
          <t>VÄRMLANDS LÄN</t>
        </is>
      </c>
      <c r="G287" t="inlineStr">
        <is>
          <t>KRISTINEHAMN</t>
        </is>
      </c>
      <c r="I287" t="n">
        <v>1.5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22060-2026</t>
        </is>
      </c>
      <c r="B288" t="inlineStr">
        <is>
          <t>avverkningsanmälan</t>
        </is>
      </c>
      <c r="C288" t="inlineStr">
        <is>
          <t>Avverkning för annat ändamål</t>
        </is>
      </c>
      <c r="D288" s="1" t="n">
        <v>46149</v>
      </c>
      <c r="E288" s="1" t="n">
        <v>46308</v>
      </c>
      <c r="F288" t="inlineStr">
        <is>
          <t>VÄRMLANDS LÄN</t>
        </is>
      </c>
      <c r="G288" t="inlineStr">
        <is>
          <t>KRISTINEHAMN</t>
        </is>
      </c>
      <c r="I288" t="n">
        <v>0.8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21844-2026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46150</v>
      </c>
      <c r="E289" s="1" t="n">
        <v>46308</v>
      </c>
      <c r="F289" t="inlineStr">
        <is>
          <t>VÄRMLANDS LÄN</t>
        </is>
      </c>
      <c r="G289" t="inlineStr">
        <is>
          <t>KRISTINEHAMN</t>
        </is>
      </c>
      <c r="H289" t="inlineStr">
        <is>
          <t>Sveaskog</t>
        </is>
      </c>
      <c r="I289" t="n">
        <v>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21842-2026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46150</v>
      </c>
      <c r="E290" s="1" t="n">
        <v>46308</v>
      </c>
      <c r="F290" t="inlineStr">
        <is>
          <t>VÄRMLANDS LÄN</t>
        </is>
      </c>
      <c r="G290" t="inlineStr">
        <is>
          <t>KRISTINEHAMN</t>
        </is>
      </c>
      <c r="H290" t="inlineStr">
        <is>
          <t>Sveaskog</t>
        </is>
      </c>
      <c r="I290" t="n">
        <v>1.2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1090-2025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45666</v>
      </c>
      <c r="E291" s="1" t="n">
        <v>46308</v>
      </c>
      <c r="F291" t="inlineStr">
        <is>
          <t>VÄRMLANDS LÄN</t>
        </is>
      </c>
      <c r="G291" t="inlineStr">
        <is>
          <t>KRISTINEHAMN</t>
        </is>
      </c>
      <c r="I291" t="n">
        <v>9.300000000000001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39778-2023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45167</v>
      </c>
      <c r="E292" s="1" t="n">
        <v>46308</v>
      </c>
      <c r="F292" t="inlineStr">
        <is>
          <t>VÄRMLANDS LÄN</t>
        </is>
      </c>
      <c r="G292" t="inlineStr">
        <is>
          <t>KRISTINEHAMN</t>
        </is>
      </c>
      <c r="I292" t="n">
        <v>1.8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4284-2022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44588</v>
      </c>
      <c r="E293" s="1" t="n">
        <v>46308</v>
      </c>
      <c r="F293" t="inlineStr">
        <is>
          <t>VÄRMLANDS LÄN</t>
        </is>
      </c>
      <c r="G293" t="inlineStr">
        <is>
          <t>KRISTINEHAMN</t>
        </is>
      </c>
      <c r="H293" t="inlineStr">
        <is>
          <t>Sveaskog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39779-2023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45167</v>
      </c>
      <c r="E294" s="1" t="n">
        <v>46308</v>
      </c>
      <c r="F294" t="inlineStr">
        <is>
          <t>VÄRMLANDS LÄN</t>
        </is>
      </c>
      <c r="G294" t="inlineStr">
        <is>
          <t>KRISTINEHAMN</t>
        </is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22255-2026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46154</v>
      </c>
      <c r="E295" s="1" t="n">
        <v>46308</v>
      </c>
      <c r="F295" t="inlineStr">
        <is>
          <t>VÄRMLANDS LÄN</t>
        </is>
      </c>
      <c r="G295" t="inlineStr">
        <is>
          <t>KRISTINEHAMN</t>
        </is>
      </c>
      <c r="I295" t="n">
        <v>0.9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6640-2024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45341</v>
      </c>
      <c r="E296" s="1" t="n">
        <v>46308</v>
      </c>
      <c r="F296" t="inlineStr">
        <is>
          <t>VÄRMLANDS LÄN</t>
        </is>
      </c>
      <c r="G296" t="inlineStr">
        <is>
          <t>KRISTINEHAMN</t>
        </is>
      </c>
      <c r="I296" t="n">
        <v>2.6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56668-2023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45243</v>
      </c>
      <c r="E297" s="1" t="n">
        <v>46308</v>
      </c>
      <c r="F297" t="inlineStr">
        <is>
          <t>VÄRMLANDS LÄN</t>
        </is>
      </c>
      <c r="G297" t="inlineStr">
        <is>
          <t>KRISTINEHAMN</t>
        </is>
      </c>
      <c r="I297" t="n">
        <v>0.9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43654-2024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45569</v>
      </c>
      <c r="E298" s="1" t="n">
        <v>46308</v>
      </c>
      <c r="F298" t="inlineStr">
        <is>
          <t>VÄRMLANDS LÄN</t>
        </is>
      </c>
      <c r="G298" t="inlineStr">
        <is>
          <t>KRISTINEHAMN</t>
        </is>
      </c>
      <c r="I298" t="n">
        <v>2.1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15860-2023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45022</v>
      </c>
      <c r="E299" s="1" t="n">
        <v>46308</v>
      </c>
      <c r="F299" t="inlineStr">
        <is>
          <t>VÄRMLANDS LÄN</t>
        </is>
      </c>
      <c r="G299" t="inlineStr">
        <is>
          <t>KRISTINEHAMN</t>
        </is>
      </c>
      <c r="I299" t="n">
        <v>1.4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6644-2024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45341</v>
      </c>
      <c r="E300" s="1" t="n">
        <v>46308</v>
      </c>
      <c r="F300" t="inlineStr">
        <is>
          <t>VÄRMLANDS LÄN</t>
        </is>
      </c>
      <c r="G300" t="inlineStr">
        <is>
          <t>KRISTINEHAMN</t>
        </is>
      </c>
      <c r="I300" t="n">
        <v>4.2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46333-2023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45191</v>
      </c>
      <c r="E301" s="1" t="n">
        <v>46308</v>
      </c>
      <c r="F301" t="inlineStr">
        <is>
          <t>VÄRMLANDS LÄN</t>
        </is>
      </c>
      <c r="G301" t="inlineStr">
        <is>
          <t>KRISTINEHAMN</t>
        </is>
      </c>
      <c r="I301" t="n">
        <v>7.5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26042-2022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44734</v>
      </c>
      <c r="E302" s="1" t="n">
        <v>46308</v>
      </c>
      <c r="F302" t="inlineStr">
        <is>
          <t>VÄRMLANDS LÄN</t>
        </is>
      </c>
      <c r="G302" t="inlineStr">
        <is>
          <t>KRISTINEHAMN</t>
        </is>
      </c>
      <c r="I302" t="n">
        <v>1.8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2524-2024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45313</v>
      </c>
      <c r="E303" s="1" t="n">
        <v>46308</v>
      </c>
      <c r="F303" t="inlineStr">
        <is>
          <t>VÄRMLANDS LÄN</t>
        </is>
      </c>
      <c r="G303" t="inlineStr">
        <is>
          <t>KRISTINEHAMN</t>
        </is>
      </c>
      <c r="I303" t="n">
        <v>5.7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61675-2024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45647</v>
      </c>
      <c r="E304" s="1" t="n">
        <v>46308</v>
      </c>
      <c r="F304" t="inlineStr">
        <is>
          <t>VÄRMLANDS LÄN</t>
        </is>
      </c>
      <c r="G304" t="inlineStr">
        <is>
          <t>KRISTINEHAMN</t>
        </is>
      </c>
      <c r="I304" t="n">
        <v>0.7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23147-2026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46161</v>
      </c>
      <c r="E305" s="1" t="n">
        <v>46308</v>
      </c>
      <c r="F305" t="inlineStr">
        <is>
          <t>VÄRMLANDS LÄN</t>
        </is>
      </c>
      <c r="G305" t="inlineStr">
        <is>
          <t>KRISTINEHAMN</t>
        </is>
      </c>
      <c r="H305" t="inlineStr">
        <is>
          <t>Sveaskog</t>
        </is>
      </c>
      <c r="I305" t="n">
        <v>0.8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47368-2023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45202</v>
      </c>
      <c r="E306" s="1" t="n">
        <v>46308</v>
      </c>
      <c r="F306" t="inlineStr">
        <is>
          <t>VÄRMLANDS LÄN</t>
        </is>
      </c>
      <c r="G306" t="inlineStr">
        <is>
          <t>KRISTINEHAMN</t>
        </is>
      </c>
      <c r="I306" t="n">
        <v>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23294-2026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46162</v>
      </c>
      <c r="E307" s="1" t="n">
        <v>46308</v>
      </c>
      <c r="F307" t="inlineStr">
        <is>
          <t>VÄRMLANDS LÄN</t>
        </is>
      </c>
      <c r="G307" t="inlineStr">
        <is>
          <t>KRISTINEHAMN</t>
        </is>
      </c>
      <c r="H307" t="inlineStr">
        <is>
          <t>Sveaskog</t>
        </is>
      </c>
      <c r="I307" t="n">
        <v>1.8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62495-2022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44917</v>
      </c>
      <c r="E308" s="1" t="n">
        <v>46308</v>
      </c>
      <c r="F308" t="inlineStr">
        <is>
          <t>VÄRMLANDS LÄN</t>
        </is>
      </c>
      <c r="G308" t="inlineStr">
        <is>
          <t>KRISTINEHAMN</t>
        </is>
      </c>
      <c r="I308" t="n">
        <v>3.2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13459-2024</t>
        </is>
      </c>
      <c r="B309" t="inlineStr">
        <is>
          <t>avverkningsanmälan</t>
        </is>
      </c>
      <c r="C309" t="inlineStr">
        <is>
          <t>Avverkning för annat ändamål</t>
        </is>
      </c>
      <c r="D309" s="1" t="n">
        <v>45387</v>
      </c>
      <c r="E309" s="1" t="n">
        <v>46308</v>
      </c>
      <c r="F309" t="inlineStr">
        <is>
          <t>VÄRMLANDS LÄN</t>
        </is>
      </c>
      <c r="G309" t="inlineStr">
        <is>
          <t>KRISTINEHAMN</t>
        </is>
      </c>
      <c r="H309" t="inlineStr">
        <is>
          <t>Naturvårdsverket</t>
        </is>
      </c>
      <c r="I309" t="n">
        <v>0.6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19638-2025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45770</v>
      </c>
      <c r="E310" s="1" t="n">
        <v>46308</v>
      </c>
      <c r="F310" t="inlineStr">
        <is>
          <t>VÄRMLANDS LÄN</t>
        </is>
      </c>
      <c r="G310" t="inlineStr">
        <is>
          <t>KRISTINEHAMN</t>
        </is>
      </c>
      <c r="I310" t="n">
        <v>6.4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24570-2026</t>
        </is>
      </c>
      <c r="B311" t="inlineStr">
        <is>
          <t>avverkningsanmälan</t>
        </is>
      </c>
      <c r="C311" t="inlineStr">
        <is>
          <t>Avverkning för annat ändamål</t>
        </is>
      </c>
      <c r="D311" s="1" t="n">
        <v>46170</v>
      </c>
      <c r="E311" s="1" t="n">
        <v>46308</v>
      </c>
      <c r="F311" t="inlineStr">
        <is>
          <t>VÄRMLANDS LÄN</t>
        </is>
      </c>
      <c r="G311" t="inlineStr">
        <is>
          <t>KRISTINEHAMN</t>
        </is>
      </c>
      <c r="I311" t="n">
        <v>0.4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58893-2023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45252</v>
      </c>
      <c r="E312" s="1" t="n">
        <v>46308</v>
      </c>
      <c r="F312" t="inlineStr">
        <is>
          <t>VÄRMLANDS LÄN</t>
        </is>
      </c>
      <c r="G312" t="inlineStr">
        <is>
          <t>KRISTINEHAMN</t>
        </is>
      </c>
      <c r="I312" t="n">
        <v>19.4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50103-2023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45208</v>
      </c>
      <c r="E313" s="1" t="n">
        <v>46308</v>
      </c>
      <c r="F313" t="inlineStr">
        <is>
          <t>VÄRMLANDS LÄN</t>
        </is>
      </c>
      <c r="G313" t="inlineStr">
        <is>
          <t>KRISTINEHAMN</t>
        </is>
      </c>
      <c r="I313" t="n">
        <v>3.5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14772-2022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44656</v>
      </c>
      <c r="E314" s="1" t="n">
        <v>46308</v>
      </c>
      <c r="F314" t="inlineStr">
        <is>
          <t>VÄRMLANDS LÄN</t>
        </is>
      </c>
      <c r="G314" t="inlineStr">
        <is>
          <t>KRISTINEHAMN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47770-2023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45203</v>
      </c>
      <c r="E315" s="1" t="n">
        <v>46308</v>
      </c>
      <c r="F315" t="inlineStr">
        <is>
          <t>VÄRMLANDS LÄN</t>
        </is>
      </c>
      <c r="G315" t="inlineStr">
        <is>
          <t>KRISTINEHAMN</t>
        </is>
      </c>
      <c r="I315" t="n">
        <v>9.300000000000001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24385-2023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45076</v>
      </c>
      <c r="E316" s="1" t="n">
        <v>46308</v>
      </c>
      <c r="F316" t="inlineStr">
        <is>
          <t>VÄRMLANDS LÄN</t>
        </is>
      </c>
      <c r="G316" t="inlineStr">
        <is>
          <t>KRISTINEHAMN</t>
        </is>
      </c>
      <c r="I316" t="n">
        <v>15.9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24146-2023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45079</v>
      </c>
      <c r="E317" s="1" t="n">
        <v>46308</v>
      </c>
      <c r="F317" t="inlineStr">
        <is>
          <t>VÄRMLANDS LÄN</t>
        </is>
      </c>
      <c r="G317" t="inlineStr">
        <is>
          <t>KRISTINEHAMN</t>
        </is>
      </c>
      <c r="I317" t="n">
        <v>0.2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3790-2025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45681</v>
      </c>
      <c r="E318" s="1" t="n">
        <v>46308</v>
      </c>
      <c r="F318" t="inlineStr">
        <is>
          <t>VÄRMLANDS LÄN</t>
        </is>
      </c>
      <c r="G318" t="inlineStr">
        <is>
          <t>KRISTINEHAMN</t>
        </is>
      </c>
      <c r="H318" t="inlineStr">
        <is>
          <t>Kommuner</t>
        </is>
      </c>
      <c r="I318" t="n">
        <v>0.7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10548-2024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45366</v>
      </c>
      <c r="E319" s="1" t="n">
        <v>46308</v>
      </c>
      <c r="F319" t="inlineStr">
        <is>
          <t>VÄRMLANDS LÄN</t>
        </is>
      </c>
      <c r="G319" t="inlineStr">
        <is>
          <t>KRISTINEHAMN</t>
        </is>
      </c>
      <c r="I319" t="n">
        <v>0.7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13505-2022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44648</v>
      </c>
      <c r="E320" s="1" t="n">
        <v>46308</v>
      </c>
      <c r="F320" t="inlineStr">
        <is>
          <t>VÄRMLANDS LÄN</t>
        </is>
      </c>
      <c r="G320" t="inlineStr">
        <is>
          <t>KRISTINEHAMN</t>
        </is>
      </c>
      <c r="I320" t="n">
        <v>0.5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3793-2025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45681</v>
      </c>
      <c r="E321" s="1" t="n">
        <v>46308</v>
      </c>
      <c r="F321" t="inlineStr">
        <is>
          <t>VÄRMLANDS LÄN</t>
        </is>
      </c>
      <c r="G321" t="inlineStr">
        <is>
          <t>KRISTINEHAMN</t>
        </is>
      </c>
      <c r="H321" t="inlineStr">
        <is>
          <t>Kommuner</t>
        </is>
      </c>
      <c r="I321" t="n">
        <v>0.8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61719-2023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45265</v>
      </c>
      <c r="E322" s="1" t="n">
        <v>46308</v>
      </c>
      <c r="F322" t="inlineStr">
        <is>
          <t>VÄRMLANDS LÄN</t>
        </is>
      </c>
      <c r="G322" t="inlineStr">
        <is>
          <t>KRISTINEHAMN</t>
        </is>
      </c>
      <c r="H322" t="inlineStr">
        <is>
          <t>Naturvårdsverket</t>
        </is>
      </c>
      <c r="I322" t="n">
        <v>6.4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12458-2024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45379</v>
      </c>
      <c r="E323" s="1" t="n">
        <v>46308</v>
      </c>
      <c r="F323" t="inlineStr">
        <is>
          <t>VÄRMLANDS LÄN</t>
        </is>
      </c>
      <c r="G323" t="inlineStr">
        <is>
          <t>KRISTINEHAMN</t>
        </is>
      </c>
      <c r="I323" t="n">
        <v>1.5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8758-2023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44978</v>
      </c>
      <c r="E324" s="1" t="n">
        <v>46308</v>
      </c>
      <c r="F324" t="inlineStr">
        <is>
          <t>VÄRMLANDS LÄN</t>
        </is>
      </c>
      <c r="G324" t="inlineStr">
        <is>
          <t>KRISTINEHAMN</t>
        </is>
      </c>
      <c r="I324" t="n">
        <v>1.3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9606-2024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45361</v>
      </c>
      <c r="E325" s="1" t="n">
        <v>46308</v>
      </c>
      <c r="F325" t="inlineStr">
        <is>
          <t>VÄRMLANDS LÄN</t>
        </is>
      </c>
      <c r="G325" t="inlineStr">
        <is>
          <t>KRISTINEHAMN</t>
        </is>
      </c>
      <c r="I325" t="n">
        <v>8.9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27961-2023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45098</v>
      </c>
      <c r="E326" s="1" t="n">
        <v>46308</v>
      </c>
      <c r="F326" t="inlineStr">
        <is>
          <t>VÄRMLANDS LÄN</t>
        </is>
      </c>
      <c r="G326" t="inlineStr">
        <is>
          <t>KRISTINEHAMN</t>
        </is>
      </c>
      <c r="I326" t="n">
        <v>0.9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14014-2024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45392</v>
      </c>
      <c r="E327" s="1" t="n">
        <v>46308</v>
      </c>
      <c r="F327" t="inlineStr">
        <is>
          <t>VÄRMLANDS LÄN</t>
        </is>
      </c>
      <c r="G327" t="inlineStr">
        <is>
          <t>KRISTINEHAMN</t>
        </is>
      </c>
      <c r="I327" t="n">
        <v>2.6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3332-2025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45679</v>
      </c>
      <c r="E328" s="1" t="n">
        <v>46308</v>
      </c>
      <c r="F328" t="inlineStr">
        <is>
          <t>VÄRMLANDS LÄN</t>
        </is>
      </c>
      <c r="G328" t="inlineStr">
        <is>
          <t>KRISTINEHAMN</t>
        </is>
      </c>
      <c r="I328" t="n">
        <v>3.6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23270-2024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45450</v>
      </c>
      <c r="E329" s="1" t="n">
        <v>46308</v>
      </c>
      <c r="F329" t="inlineStr">
        <is>
          <t>VÄRMLANDS LÄN</t>
        </is>
      </c>
      <c r="G329" t="inlineStr">
        <is>
          <t>KRISTINEHAMN</t>
        </is>
      </c>
      <c r="H329" t="inlineStr">
        <is>
          <t>Kommuner</t>
        </is>
      </c>
      <c r="I329" t="n">
        <v>2.8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68526-2021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44526</v>
      </c>
      <c r="E330" s="1" t="n">
        <v>46308</v>
      </c>
      <c r="F330" t="inlineStr">
        <is>
          <t>VÄRMLANDS LÄN</t>
        </is>
      </c>
      <c r="G330" t="inlineStr">
        <is>
          <t>KRISTINEHAMN</t>
        </is>
      </c>
      <c r="I330" t="n">
        <v>1.7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68530-2021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44526</v>
      </c>
      <c r="E331" s="1" t="n">
        <v>46308</v>
      </c>
      <c r="F331" t="inlineStr">
        <is>
          <t>VÄRMLANDS LÄN</t>
        </is>
      </c>
      <c r="G331" t="inlineStr">
        <is>
          <t>KRISTINEHAMN</t>
        </is>
      </c>
      <c r="I331" t="n">
        <v>1.9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22201-2022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44712</v>
      </c>
      <c r="E332" s="1" t="n">
        <v>46308</v>
      </c>
      <c r="F332" t="inlineStr">
        <is>
          <t>VÄRMLANDS LÄN</t>
        </is>
      </c>
      <c r="G332" t="inlineStr">
        <is>
          <t>KRISTINEHAMN</t>
        </is>
      </c>
      <c r="I332" t="n">
        <v>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59862-2024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45639</v>
      </c>
      <c r="E333" s="1" t="n">
        <v>46308</v>
      </c>
      <c r="F333" t="inlineStr">
        <is>
          <t>VÄRMLANDS LÄN</t>
        </is>
      </c>
      <c r="G333" t="inlineStr">
        <is>
          <t>KRISTINEHAMN</t>
        </is>
      </c>
      <c r="I333" t="n">
        <v>1.6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21861-2023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45068</v>
      </c>
      <c r="E334" s="1" t="n">
        <v>46308</v>
      </c>
      <c r="F334" t="inlineStr">
        <is>
          <t>VÄRMLANDS LÄN</t>
        </is>
      </c>
      <c r="G334" t="inlineStr">
        <is>
          <t>KRISTINEHAMN</t>
        </is>
      </c>
      <c r="I334" t="n">
        <v>1.3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58284-2024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45631</v>
      </c>
      <c r="E335" s="1" t="n">
        <v>46308</v>
      </c>
      <c r="F335" t="inlineStr">
        <is>
          <t>VÄRMLANDS LÄN</t>
        </is>
      </c>
      <c r="G335" t="inlineStr">
        <is>
          <t>KRISTINEHAMN</t>
        </is>
      </c>
      <c r="I335" t="n">
        <v>1.1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29526-2022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44753</v>
      </c>
      <c r="E336" s="1" t="n">
        <v>46308</v>
      </c>
      <c r="F336" t="inlineStr">
        <is>
          <t>VÄRMLANDS LÄN</t>
        </is>
      </c>
      <c r="G336" t="inlineStr">
        <is>
          <t>KRISTINEHAMN</t>
        </is>
      </c>
      <c r="I336" t="n">
        <v>2.4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28472-2024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45477</v>
      </c>
      <c r="E337" s="1" t="n">
        <v>46308</v>
      </c>
      <c r="F337" t="inlineStr">
        <is>
          <t>VÄRMLANDS LÄN</t>
        </is>
      </c>
      <c r="G337" t="inlineStr">
        <is>
          <t>KRISTINEHAMN</t>
        </is>
      </c>
      <c r="I337" t="n">
        <v>6.8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359-2023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44923</v>
      </c>
      <c r="E338" s="1" t="n">
        <v>46308</v>
      </c>
      <c r="F338" t="inlineStr">
        <is>
          <t>VÄRMLANDS LÄN</t>
        </is>
      </c>
      <c r="G338" t="inlineStr">
        <is>
          <t>KRISTINEHAMN</t>
        </is>
      </c>
      <c r="I338" t="n">
        <v>1.5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8557-2023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44972</v>
      </c>
      <c r="E339" s="1" t="n">
        <v>46308</v>
      </c>
      <c r="F339" t="inlineStr">
        <is>
          <t>VÄRMLANDS LÄN</t>
        </is>
      </c>
      <c r="G339" t="inlineStr">
        <is>
          <t>KRISTINEHAMN</t>
        </is>
      </c>
      <c r="I339" t="n">
        <v>4.7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62770-2023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45268</v>
      </c>
      <c r="E340" s="1" t="n">
        <v>46308</v>
      </c>
      <c r="F340" t="inlineStr">
        <is>
          <t>VÄRMLANDS LÄN</t>
        </is>
      </c>
      <c r="G340" t="inlineStr">
        <is>
          <t>KRISTINEHAMN</t>
        </is>
      </c>
      <c r="I340" t="n">
        <v>5.8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9394-2024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45359</v>
      </c>
      <c r="E341" s="1" t="n">
        <v>46308</v>
      </c>
      <c r="F341" t="inlineStr">
        <is>
          <t>VÄRMLANDS LÄN</t>
        </is>
      </c>
      <c r="G341" t="inlineStr">
        <is>
          <t>KRISTINEHAMN</t>
        </is>
      </c>
      <c r="I341" t="n">
        <v>0.9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56656-2024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45625</v>
      </c>
      <c r="E342" s="1" t="n">
        <v>46308</v>
      </c>
      <c r="F342" t="inlineStr">
        <is>
          <t>VÄRMLANDS LÄN</t>
        </is>
      </c>
      <c r="G342" t="inlineStr">
        <is>
          <t>KRISTINEHAMN</t>
        </is>
      </c>
      <c r="I342" t="n">
        <v>8.800000000000001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39781-2023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45167</v>
      </c>
      <c r="E343" s="1" t="n">
        <v>46308</v>
      </c>
      <c r="F343" t="inlineStr">
        <is>
          <t>VÄRMLANDS LÄN</t>
        </is>
      </c>
      <c r="G343" t="inlineStr">
        <is>
          <t>KRISTINEHAMN</t>
        </is>
      </c>
      <c r="I343" t="n">
        <v>8.4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58616-2021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44489</v>
      </c>
      <c r="E344" s="1" t="n">
        <v>46308</v>
      </c>
      <c r="F344" t="inlineStr">
        <is>
          <t>VÄRMLANDS LÄN</t>
        </is>
      </c>
      <c r="G344" t="inlineStr">
        <is>
          <t>KRISTINEHAMN</t>
        </is>
      </c>
      <c r="I344" t="n">
        <v>6.8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23332-2024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45453</v>
      </c>
      <c r="E345" s="1" t="n">
        <v>46308</v>
      </c>
      <c r="F345" t="inlineStr">
        <is>
          <t>VÄRMLANDS LÄN</t>
        </is>
      </c>
      <c r="G345" t="inlineStr">
        <is>
          <t>KRISTINEHAMN</t>
        </is>
      </c>
      <c r="I345" t="n">
        <v>0.6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1099-2025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45666</v>
      </c>
      <c r="E346" s="1" t="n">
        <v>46308</v>
      </c>
      <c r="F346" t="inlineStr">
        <is>
          <t>VÄRMLANDS LÄN</t>
        </is>
      </c>
      <c r="G346" t="inlineStr">
        <is>
          <t>KRISTINEHAMN</t>
        </is>
      </c>
      <c r="I346" t="n">
        <v>8.699999999999999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3932-2024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45322</v>
      </c>
      <c r="E347" s="1" t="n">
        <v>46308</v>
      </c>
      <c r="F347" t="inlineStr">
        <is>
          <t>VÄRMLANDS LÄN</t>
        </is>
      </c>
      <c r="G347" t="inlineStr">
        <is>
          <t>KRISTINEHAMN</t>
        </is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62777-2023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45268</v>
      </c>
      <c r="E348" s="1" t="n">
        <v>46308</v>
      </c>
      <c r="F348" t="inlineStr">
        <is>
          <t>VÄRMLANDS LÄN</t>
        </is>
      </c>
      <c r="G348" t="inlineStr">
        <is>
          <t>KRISTINEHAMN</t>
        </is>
      </c>
      <c r="I348" t="n">
        <v>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24883-2024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45461</v>
      </c>
      <c r="E349" s="1" t="n">
        <v>46308</v>
      </c>
      <c r="F349" t="inlineStr">
        <is>
          <t>VÄRMLANDS LÄN</t>
        </is>
      </c>
      <c r="G349" t="inlineStr">
        <is>
          <t>KRISTINEHAMN</t>
        </is>
      </c>
      <c r="I349" t="n">
        <v>4.2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2522-2024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45313</v>
      </c>
      <c r="E350" s="1" t="n">
        <v>46308</v>
      </c>
      <c r="F350" t="inlineStr">
        <is>
          <t>VÄRMLANDS LÄN</t>
        </is>
      </c>
      <c r="G350" t="inlineStr">
        <is>
          <t>KRISTINEHAMN</t>
        </is>
      </c>
      <c r="I350" t="n">
        <v>11.2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5505-2022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44595</v>
      </c>
      <c r="E351" s="1" t="n">
        <v>46308</v>
      </c>
      <c r="F351" t="inlineStr">
        <is>
          <t>VÄRMLANDS LÄN</t>
        </is>
      </c>
      <c r="G351" t="inlineStr">
        <is>
          <t>KRISTINEHAMN</t>
        </is>
      </c>
      <c r="H351" t="inlineStr">
        <is>
          <t>Kommuner</t>
        </is>
      </c>
      <c r="I351" t="n">
        <v>1.7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5507-2022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44595</v>
      </c>
      <c r="E352" s="1" t="n">
        <v>46308</v>
      </c>
      <c r="F352" t="inlineStr">
        <is>
          <t>VÄRMLANDS LÄN</t>
        </is>
      </c>
      <c r="G352" t="inlineStr">
        <is>
          <t>KRISTINEHAMN</t>
        </is>
      </c>
      <c r="H352" t="inlineStr">
        <is>
          <t>Kommuner</t>
        </is>
      </c>
      <c r="I352" t="n">
        <v>0.7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1265-2024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45302</v>
      </c>
      <c r="E353" s="1" t="n">
        <v>46308</v>
      </c>
      <c r="F353" t="inlineStr">
        <is>
          <t>VÄRMLANDS LÄN</t>
        </is>
      </c>
      <c r="G353" t="inlineStr">
        <is>
          <t>KRISTINEHAMN</t>
        </is>
      </c>
      <c r="I353" t="n">
        <v>0.5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47915-2022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44855</v>
      </c>
      <c r="E354" s="1" t="n">
        <v>46308</v>
      </c>
      <c r="F354" t="inlineStr">
        <is>
          <t>VÄRMLANDS LÄN</t>
        </is>
      </c>
      <c r="G354" t="inlineStr">
        <is>
          <t>KRISTINEHAMN</t>
        </is>
      </c>
      <c r="I354" t="n">
        <v>1.4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59203-2024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45636</v>
      </c>
      <c r="E355" s="1" t="n">
        <v>46308</v>
      </c>
      <c r="F355" t="inlineStr">
        <is>
          <t>VÄRMLANDS LÄN</t>
        </is>
      </c>
      <c r="G355" t="inlineStr">
        <is>
          <t>KRISTINEHAMN</t>
        </is>
      </c>
      <c r="I355" t="n">
        <v>2.2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28827-2024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45478</v>
      </c>
      <c r="E356" s="1" t="n">
        <v>46308</v>
      </c>
      <c r="F356" t="inlineStr">
        <is>
          <t>VÄRMLANDS LÄN</t>
        </is>
      </c>
      <c r="G356" t="inlineStr">
        <is>
          <t>KRISTINEHAMN</t>
        </is>
      </c>
      <c r="I356" t="n">
        <v>2.8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28836-2024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45478</v>
      </c>
      <c r="E357" s="1" t="n">
        <v>46308</v>
      </c>
      <c r="F357" t="inlineStr">
        <is>
          <t>VÄRMLANDS LÄN</t>
        </is>
      </c>
      <c r="G357" t="inlineStr">
        <is>
          <t>KRISTINEHAMN</t>
        </is>
      </c>
      <c r="I357" t="n">
        <v>0.6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2963-2024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45315</v>
      </c>
      <c r="E358" s="1" t="n">
        <v>46308</v>
      </c>
      <c r="F358" t="inlineStr">
        <is>
          <t>VÄRMLANDS LÄN</t>
        </is>
      </c>
      <c r="G358" t="inlineStr">
        <is>
          <t>KRISTINEHAMN</t>
        </is>
      </c>
      <c r="I358" t="n">
        <v>2.1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55719-2024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45622</v>
      </c>
      <c r="E359" s="1" t="n">
        <v>46308</v>
      </c>
      <c r="F359" t="inlineStr">
        <is>
          <t>VÄRMLANDS LÄN</t>
        </is>
      </c>
      <c r="G359" t="inlineStr">
        <is>
          <t>KRISTINEHAMN</t>
        </is>
      </c>
      <c r="I359" t="n">
        <v>1.2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28152-2022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44746</v>
      </c>
      <c r="E360" s="1" t="n">
        <v>46308</v>
      </c>
      <c r="F360" t="inlineStr">
        <is>
          <t>VÄRMLANDS LÄN</t>
        </is>
      </c>
      <c r="G360" t="inlineStr">
        <is>
          <t>KRISTINEHAMN</t>
        </is>
      </c>
      <c r="I360" t="n">
        <v>7.2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50174-2024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45600</v>
      </c>
      <c r="E361" s="1" t="n">
        <v>46308</v>
      </c>
      <c r="F361" t="inlineStr">
        <is>
          <t>VÄRMLANDS LÄN</t>
        </is>
      </c>
      <c r="G361" t="inlineStr">
        <is>
          <t>KRISTINEHAMN</t>
        </is>
      </c>
      <c r="I361" t="n">
        <v>1.6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2160-2023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44941</v>
      </c>
      <c r="E362" s="1" t="n">
        <v>46308</v>
      </c>
      <c r="F362" t="inlineStr">
        <is>
          <t>VÄRMLANDS LÄN</t>
        </is>
      </c>
      <c r="G362" t="inlineStr">
        <is>
          <t>KRISTINEHAMN</t>
        </is>
      </c>
      <c r="I362" t="n">
        <v>0.2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32569-2023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45121</v>
      </c>
      <c r="E363" s="1" t="n">
        <v>46308</v>
      </c>
      <c r="F363" t="inlineStr">
        <is>
          <t>VÄRMLANDS LÄN</t>
        </is>
      </c>
      <c r="G363" t="inlineStr">
        <is>
          <t>KRISTINEHAMN</t>
        </is>
      </c>
      <c r="I363" t="n">
        <v>0.6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47648-2023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45198</v>
      </c>
      <c r="E364" s="1" t="n">
        <v>46308</v>
      </c>
      <c r="F364" t="inlineStr">
        <is>
          <t>VÄRMLANDS LÄN</t>
        </is>
      </c>
      <c r="G364" t="inlineStr">
        <is>
          <t>KRISTINEHAMN</t>
        </is>
      </c>
      <c r="I364" t="n">
        <v>1.6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56572-2024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45625</v>
      </c>
      <c r="E365" s="1" t="n">
        <v>46308</v>
      </c>
      <c r="F365" t="inlineStr">
        <is>
          <t>VÄRMLANDS LÄN</t>
        </is>
      </c>
      <c r="G365" t="inlineStr">
        <is>
          <t>KRISTINEHAMN</t>
        </is>
      </c>
      <c r="I365" t="n">
        <v>2.7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23246-2024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45450</v>
      </c>
      <c r="E366" s="1" t="n">
        <v>46308</v>
      </c>
      <c r="F366" t="inlineStr">
        <is>
          <t>VÄRMLANDS LÄN</t>
        </is>
      </c>
      <c r="G366" t="inlineStr">
        <is>
          <t>KRISTINEHAMN</t>
        </is>
      </c>
      <c r="H366" t="inlineStr">
        <is>
          <t>Kommuner</t>
        </is>
      </c>
      <c r="I366" t="n">
        <v>1.6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48573-2024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45593</v>
      </c>
      <c r="E367" s="1" t="n">
        <v>46308</v>
      </c>
      <c r="F367" t="inlineStr">
        <is>
          <t>VÄRMLANDS LÄN</t>
        </is>
      </c>
      <c r="G367" t="inlineStr">
        <is>
          <t>KRISTINEHAMN</t>
        </is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15942-2025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45749</v>
      </c>
      <c r="E368" s="1" t="n">
        <v>46308</v>
      </c>
      <c r="F368" t="inlineStr">
        <is>
          <t>VÄRMLANDS LÄN</t>
        </is>
      </c>
      <c r="G368" t="inlineStr">
        <is>
          <t>KRISTINEHAMN</t>
        </is>
      </c>
      <c r="I368" t="n">
        <v>7.6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32409-2023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45110</v>
      </c>
      <c r="E369" s="1" t="n">
        <v>46308</v>
      </c>
      <c r="F369" t="inlineStr">
        <is>
          <t>VÄRMLANDS LÄN</t>
        </is>
      </c>
      <c r="G369" t="inlineStr">
        <is>
          <t>KRISTINEHAMN</t>
        </is>
      </c>
      <c r="I369" t="n">
        <v>0.9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42408-2022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44831</v>
      </c>
      <c r="E370" s="1" t="n">
        <v>46308</v>
      </c>
      <c r="F370" t="inlineStr">
        <is>
          <t>VÄRMLANDS LÄN</t>
        </is>
      </c>
      <c r="G370" t="inlineStr">
        <is>
          <t>KRISTINEHAMN</t>
        </is>
      </c>
      <c r="I370" t="n">
        <v>0.9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24710-2024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45460</v>
      </c>
      <c r="E371" s="1" t="n">
        <v>46308</v>
      </c>
      <c r="F371" t="inlineStr">
        <is>
          <t>VÄRMLANDS LÄN</t>
        </is>
      </c>
      <c r="G371" t="inlineStr">
        <is>
          <t>KRISTINEHAMN</t>
        </is>
      </c>
      <c r="I371" t="n">
        <v>1.2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15406-2024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45401</v>
      </c>
      <c r="E372" s="1" t="n">
        <v>46308</v>
      </c>
      <c r="F372" t="inlineStr">
        <is>
          <t>VÄRMLANDS LÄN</t>
        </is>
      </c>
      <c r="G372" t="inlineStr">
        <is>
          <t>KRISTINEHAMN</t>
        </is>
      </c>
      <c r="I372" t="n">
        <v>1.6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61942-2022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44918</v>
      </c>
      <c r="E373" s="1" t="n">
        <v>46308</v>
      </c>
      <c r="F373" t="inlineStr">
        <is>
          <t>VÄRMLANDS LÄN</t>
        </is>
      </c>
      <c r="G373" t="inlineStr">
        <is>
          <t>KRISTINEHAMN</t>
        </is>
      </c>
      <c r="H373" t="inlineStr">
        <is>
          <t>Kommuner</t>
        </is>
      </c>
      <c r="I373" t="n">
        <v>0.2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41857-2023</t>
        </is>
      </c>
      <c r="B374" t="inlineStr">
        <is>
          <t>avverkningsanmälan</t>
        </is>
      </c>
      <c r="C374" t="inlineStr">
        <is>
          <t>Avverkning för annat ändamål</t>
        </is>
      </c>
      <c r="D374" s="1" t="n">
        <v>45176</v>
      </c>
      <c r="E374" s="1" t="n">
        <v>46308</v>
      </c>
      <c r="F374" t="inlineStr">
        <is>
          <t>VÄRMLANDS LÄN</t>
        </is>
      </c>
      <c r="G374" t="inlineStr">
        <is>
          <t>KRISTINEHAMN</t>
        </is>
      </c>
      <c r="H374" t="inlineStr">
        <is>
          <t>Naturvårdsverket</t>
        </is>
      </c>
      <c r="I374" t="n">
        <v>1.8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56666-2023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45243</v>
      </c>
      <c r="E375" s="1" t="n">
        <v>46308</v>
      </c>
      <c r="F375" t="inlineStr">
        <is>
          <t>VÄRMLANDS LÄN</t>
        </is>
      </c>
      <c r="G375" t="inlineStr">
        <is>
          <t>KRISTINEHAMN</t>
        </is>
      </c>
      <c r="I375" t="n">
        <v>0.9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56667-2023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45243</v>
      </c>
      <c r="E376" s="1" t="n">
        <v>46308</v>
      </c>
      <c r="F376" t="inlineStr">
        <is>
          <t>VÄRMLANDS LÄN</t>
        </is>
      </c>
      <c r="G376" t="inlineStr">
        <is>
          <t>KRISTINEHAMN</t>
        </is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56673-2023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45243</v>
      </c>
      <c r="E377" s="1" t="n">
        <v>46308</v>
      </c>
      <c r="F377" t="inlineStr">
        <is>
          <t>VÄRMLANDS LÄN</t>
        </is>
      </c>
      <c r="G377" t="inlineStr">
        <is>
          <t>KRISTINEHAMN</t>
        </is>
      </c>
      <c r="I377" t="n">
        <v>1.8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4495-2025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45686</v>
      </c>
      <c r="E378" s="1" t="n">
        <v>46308</v>
      </c>
      <c r="F378" t="inlineStr">
        <is>
          <t>VÄRMLANDS LÄN</t>
        </is>
      </c>
      <c r="G378" t="inlineStr">
        <is>
          <t>KRISTINEHAMN</t>
        </is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1266-2024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45302</v>
      </c>
      <c r="E379" s="1" t="n">
        <v>46308</v>
      </c>
      <c r="F379" t="inlineStr">
        <is>
          <t>VÄRMLANDS LÄN</t>
        </is>
      </c>
      <c r="G379" t="inlineStr">
        <is>
          <t>KRISTINEHAMN</t>
        </is>
      </c>
      <c r="I379" t="n">
        <v>2.4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23704-2022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44722</v>
      </c>
      <c r="E380" s="1" t="n">
        <v>46308</v>
      </c>
      <c r="F380" t="inlineStr">
        <is>
          <t>VÄRMLANDS LÄN</t>
        </is>
      </c>
      <c r="G380" t="inlineStr">
        <is>
          <t>KRISTINEHAMN</t>
        </is>
      </c>
      <c r="I380" t="n">
        <v>1.1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23706-2022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44722</v>
      </c>
      <c r="E381" s="1" t="n">
        <v>46308</v>
      </c>
      <c r="F381" t="inlineStr">
        <is>
          <t>VÄRMLANDS LÄN</t>
        </is>
      </c>
      <c r="G381" t="inlineStr">
        <is>
          <t>KRISTINEHAMN</t>
        </is>
      </c>
      <c r="I381" t="n">
        <v>0.2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13021-2023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45002</v>
      </c>
      <c r="E382" s="1" t="n">
        <v>46308</v>
      </c>
      <c r="F382" t="inlineStr">
        <is>
          <t>VÄRMLANDS LÄN</t>
        </is>
      </c>
      <c r="G382" t="inlineStr">
        <is>
          <t>KRISTINEHAMN</t>
        </is>
      </c>
      <c r="I382" t="n">
        <v>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17110-2022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44677</v>
      </c>
      <c r="E383" s="1" t="n">
        <v>46308</v>
      </c>
      <c r="F383" t="inlineStr">
        <is>
          <t>VÄRMLANDS LÄN</t>
        </is>
      </c>
      <c r="G383" t="inlineStr">
        <is>
          <t>KRISTINEHAMN</t>
        </is>
      </c>
      <c r="I383" t="n">
        <v>5.6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47398-2023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45202</v>
      </c>
      <c r="E384" s="1" t="n">
        <v>46308</v>
      </c>
      <c r="F384" t="inlineStr">
        <is>
          <t>VÄRMLANDS LÄN</t>
        </is>
      </c>
      <c r="G384" t="inlineStr">
        <is>
          <t>KRISTINEHAMN</t>
        </is>
      </c>
      <c r="I384" t="n">
        <v>2.8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27515-2023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45097</v>
      </c>
      <c r="E385" s="1" t="n">
        <v>46308</v>
      </c>
      <c r="F385" t="inlineStr">
        <is>
          <t>VÄRMLANDS LÄN</t>
        </is>
      </c>
      <c r="G385" t="inlineStr">
        <is>
          <t>KRISTINEHAMN</t>
        </is>
      </c>
      <c r="I385" t="n">
        <v>2.7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1150-2024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45302</v>
      </c>
      <c r="E386" s="1" t="n">
        <v>46308</v>
      </c>
      <c r="F386" t="inlineStr">
        <is>
          <t>VÄRMLANDS LÄN</t>
        </is>
      </c>
      <c r="G386" t="inlineStr">
        <is>
          <t>KRISTINEHAMN</t>
        </is>
      </c>
      <c r="I386" t="n">
        <v>2.6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14340-2024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45393</v>
      </c>
      <c r="E387" s="1" t="n">
        <v>46308</v>
      </c>
      <c r="F387" t="inlineStr">
        <is>
          <t>VÄRMLANDS LÄN</t>
        </is>
      </c>
      <c r="G387" t="inlineStr">
        <is>
          <t>KRISTINEHAMN</t>
        </is>
      </c>
      <c r="I387" t="n">
        <v>1.8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55890-2023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45239</v>
      </c>
      <c r="E388" s="1" t="n">
        <v>46308</v>
      </c>
      <c r="F388" t="inlineStr">
        <is>
          <t>VÄRMLANDS LÄN</t>
        </is>
      </c>
      <c r="G388" t="inlineStr">
        <is>
          <t>KRISTINEHAMN</t>
        </is>
      </c>
      <c r="I388" t="n">
        <v>8.199999999999999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20696-2023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45058</v>
      </c>
      <c r="E389" s="1" t="n">
        <v>46308</v>
      </c>
      <c r="F389" t="inlineStr">
        <is>
          <t>VÄRMLANDS LÄN</t>
        </is>
      </c>
      <c r="G389" t="inlineStr">
        <is>
          <t>KRISTINEHAMN</t>
        </is>
      </c>
      <c r="H389" t="inlineStr">
        <is>
          <t>Kommuner</t>
        </is>
      </c>
      <c r="I389" t="n">
        <v>7.4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21688-2024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45442</v>
      </c>
      <c r="E390" s="1" t="n">
        <v>46308</v>
      </c>
      <c r="F390" t="inlineStr">
        <is>
          <t>VÄRMLANDS LÄN</t>
        </is>
      </c>
      <c r="G390" t="inlineStr">
        <is>
          <t>KRISTINEHAMN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54548-2023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45226</v>
      </c>
      <c r="E391" s="1" t="n">
        <v>46308</v>
      </c>
      <c r="F391" t="inlineStr">
        <is>
          <t>VÄRMLANDS LÄN</t>
        </is>
      </c>
      <c r="G391" t="inlineStr">
        <is>
          <t>KRISTINEHAMN</t>
        </is>
      </c>
      <c r="I391" t="n">
        <v>1.2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54552-2023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45226</v>
      </c>
      <c r="E392" s="1" t="n">
        <v>46308</v>
      </c>
      <c r="F392" t="inlineStr">
        <is>
          <t>VÄRMLANDS LÄN</t>
        </is>
      </c>
      <c r="G392" t="inlineStr">
        <is>
          <t>KRISTINEHAMN</t>
        </is>
      </c>
      <c r="I392" t="n">
        <v>0.5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60738-2023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45260</v>
      </c>
      <c r="E393" s="1" t="n">
        <v>46308</v>
      </c>
      <c r="F393" t="inlineStr">
        <is>
          <t>VÄRMLANDS LÄN</t>
        </is>
      </c>
      <c r="G393" t="inlineStr">
        <is>
          <t>KRISTINEHAMN</t>
        </is>
      </c>
      <c r="I393" t="n">
        <v>0.8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3316-2025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45679</v>
      </c>
      <c r="E394" s="1" t="n">
        <v>46308</v>
      </c>
      <c r="F394" t="inlineStr">
        <is>
          <t>VÄRMLANDS LÄN</t>
        </is>
      </c>
      <c r="G394" t="inlineStr">
        <is>
          <t>KRISTINEHAMN</t>
        </is>
      </c>
      <c r="I394" t="n">
        <v>2.7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12416-2024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45379</v>
      </c>
      <c r="E395" s="1" t="n">
        <v>46308</v>
      </c>
      <c r="F395" t="inlineStr">
        <is>
          <t>VÄRMLANDS LÄN</t>
        </is>
      </c>
      <c r="G395" t="inlineStr">
        <is>
          <t>KRISTINEHAMN</t>
        </is>
      </c>
      <c r="I395" t="n">
        <v>0.7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12423-2024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45379</v>
      </c>
      <c r="E396" s="1" t="n">
        <v>46308</v>
      </c>
      <c r="F396" t="inlineStr">
        <is>
          <t>VÄRMLANDS LÄN</t>
        </is>
      </c>
      <c r="G396" t="inlineStr">
        <is>
          <t>KRISTINEHAMN</t>
        </is>
      </c>
      <c r="I396" t="n">
        <v>12.6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54690-2022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44883</v>
      </c>
      <c r="E397" s="1" t="n">
        <v>46308</v>
      </c>
      <c r="F397" t="inlineStr">
        <is>
          <t>VÄRMLANDS LÄN</t>
        </is>
      </c>
      <c r="G397" t="inlineStr">
        <is>
          <t>KRISTINEHAMN</t>
        </is>
      </c>
      <c r="I397" t="n">
        <v>11.1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44085-2023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45188</v>
      </c>
      <c r="E398" s="1" t="n">
        <v>46308</v>
      </c>
      <c r="F398" t="inlineStr">
        <is>
          <t>VÄRMLANDS LÄN</t>
        </is>
      </c>
      <c r="G398" t="inlineStr">
        <is>
          <t>KRISTINEHAMN</t>
        </is>
      </c>
      <c r="I398" t="n">
        <v>1.8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22896-2023</t>
        </is>
      </c>
      <c r="B399" t="inlineStr">
        <is>
          <t>avverkningsanmälan</t>
        </is>
      </c>
      <c r="C399" t="inlineStr">
        <is>
          <t>Avverkning för annat ändamål</t>
        </is>
      </c>
      <c r="D399" s="1" t="n">
        <v>45072</v>
      </c>
      <c r="E399" s="1" t="n">
        <v>46308</v>
      </c>
      <c r="F399" t="inlineStr">
        <is>
          <t>VÄRMLANDS LÄN</t>
        </is>
      </c>
      <c r="G399" t="inlineStr">
        <is>
          <t>KRISTINEHAMN</t>
        </is>
      </c>
      <c r="H399" t="inlineStr">
        <is>
          <t>Bergvik skog väst AB</t>
        </is>
      </c>
      <c r="I399" t="n">
        <v>0.7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10032-2023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44985</v>
      </c>
      <c r="E400" s="1" t="n">
        <v>46308</v>
      </c>
      <c r="F400" t="inlineStr">
        <is>
          <t>VÄRMLANDS LÄN</t>
        </is>
      </c>
      <c r="G400" t="inlineStr">
        <is>
          <t>KRISTINEHAMN</t>
        </is>
      </c>
      <c r="I400" t="n">
        <v>4.9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47467-2023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45202</v>
      </c>
      <c r="E401" s="1" t="n">
        <v>46308</v>
      </c>
      <c r="F401" t="inlineStr">
        <is>
          <t>VÄRMLANDS LÄN</t>
        </is>
      </c>
      <c r="G401" t="inlineStr">
        <is>
          <t>KRISTINEHAMN</t>
        </is>
      </c>
      <c r="I401" t="n">
        <v>0.7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47091-2022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44851</v>
      </c>
      <c r="E402" s="1" t="n">
        <v>46308</v>
      </c>
      <c r="F402" t="inlineStr">
        <is>
          <t>VÄRMLANDS LÄN</t>
        </is>
      </c>
      <c r="G402" t="inlineStr">
        <is>
          <t>KRISTINEHAMN</t>
        </is>
      </c>
      <c r="H402" t="inlineStr">
        <is>
          <t>Kommuner</t>
        </is>
      </c>
      <c r="I402" t="n">
        <v>8.6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42597-2023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45181</v>
      </c>
      <c r="E403" s="1" t="n">
        <v>46308</v>
      </c>
      <c r="F403" t="inlineStr">
        <is>
          <t>VÄRMLANDS LÄN</t>
        </is>
      </c>
      <c r="G403" t="inlineStr">
        <is>
          <t>KRISTINEHAMN</t>
        </is>
      </c>
      <c r="H403" t="inlineStr">
        <is>
          <t>Sveaskog</t>
        </is>
      </c>
      <c r="I403" t="n">
        <v>2.1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25570-2023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45082</v>
      </c>
      <c r="E404" s="1" t="n">
        <v>46308</v>
      </c>
      <c r="F404" t="inlineStr">
        <is>
          <t>VÄRMLANDS LÄN</t>
        </is>
      </c>
      <c r="G404" t="inlineStr">
        <is>
          <t>KRISTINEHAMN</t>
        </is>
      </c>
      <c r="I404" t="n">
        <v>1.8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12319-2022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44637</v>
      </c>
      <c r="E405" s="1" t="n">
        <v>46308</v>
      </c>
      <c r="F405" t="inlineStr">
        <is>
          <t>VÄRMLANDS LÄN</t>
        </is>
      </c>
      <c r="G405" t="inlineStr">
        <is>
          <t>KRISTINEHAMN</t>
        </is>
      </c>
      <c r="I405" t="n">
        <v>1.1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32624-2024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45513</v>
      </c>
      <c r="E406" s="1" t="n">
        <v>46308</v>
      </c>
      <c r="F406" t="inlineStr">
        <is>
          <t>VÄRMLANDS LÄN</t>
        </is>
      </c>
      <c r="G406" t="inlineStr">
        <is>
          <t>KRISTINEHAMN</t>
        </is>
      </c>
      <c r="I406" t="n">
        <v>0.7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34893-2023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45141</v>
      </c>
      <c r="E407" s="1" t="n">
        <v>46308</v>
      </c>
      <c r="F407" t="inlineStr">
        <is>
          <t>VÄRMLANDS LÄN</t>
        </is>
      </c>
      <c r="G407" t="inlineStr">
        <is>
          <t>KRISTINEHAMN</t>
        </is>
      </c>
      <c r="I407" t="n">
        <v>1.6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13293-2024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45386</v>
      </c>
      <c r="E408" s="1" t="n">
        <v>46308</v>
      </c>
      <c r="F408" t="inlineStr">
        <is>
          <t>VÄRMLANDS LÄN</t>
        </is>
      </c>
      <c r="G408" t="inlineStr">
        <is>
          <t>KRISTINEHAMN</t>
        </is>
      </c>
      <c r="I408" t="n">
        <v>1.1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28759-2022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44749</v>
      </c>
      <c r="E409" s="1" t="n">
        <v>46308</v>
      </c>
      <c r="F409" t="inlineStr">
        <is>
          <t>VÄRMLANDS LÄN</t>
        </is>
      </c>
      <c r="G409" t="inlineStr">
        <is>
          <t>KRISTINEHAMN</t>
        </is>
      </c>
      <c r="I409" t="n">
        <v>0.8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10030-2023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44985</v>
      </c>
      <c r="E410" s="1" t="n">
        <v>46308</v>
      </c>
      <c r="F410" t="inlineStr">
        <is>
          <t>VÄRMLANDS LÄN</t>
        </is>
      </c>
      <c r="G410" t="inlineStr">
        <is>
          <t>KRISTINEHAMN</t>
        </is>
      </c>
      <c r="I410" t="n">
        <v>3.6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47466-2023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45202</v>
      </c>
      <c r="E411" s="1" t="n">
        <v>46308</v>
      </c>
      <c r="F411" t="inlineStr">
        <is>
          <t>VÄRMLANDS LÄN</t>
        </is>
      </c>
      <c r="G411" t="inlineStr">
        <is>
          <t>KRISTINEHAMN</t>
        </is>
      </c>
      <c r="I411" t="n">
        <v>0.8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10501-2023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44987</v>
      </c>
      <c r="E412" s="1" t="n">
        <v>46308</v>
      </c>
      <c r="F412" t="inlineStr">
        <is>
          <t>VÄRMLANDS LÄN</t>
        </is>
      </c>
      <c r="G412" t="inlineStr">
        <is>
          <t>KRISTINEHAMN</t>
        </is>
      </c>
      <c r="I412" t="n">
        <v>1.1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62453-2022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44924</v>
      </c>
      <c r="E413" s="1" t="n">
        <v>46308</v>
      </c>
      <c r="F413" t="inlineStr">
        <is>
          <t>VÄRMLANDS LÄN</t>
        </is>
      </c>
      <c r="G413" t="inlineStr">
        <is>
          <t>KRISTINEHAMN</t>
        </is>
      </c>
      <c r="I413" t="n">
        <v>4.3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48405-2023</t>
        </is>
      </c>
      <c r="B414" t="inlineStr">
        <is>
          <t>avverkningsanmälan</t>
        </is>
      </c>
      <c r="C414" t="inlineStr">
        <is>
          <t>Avverkning för annat ändamål</t>
        </is>
      </c>
      <c r="D414" s="1" t="n">
        <v>45201</v>
      </c>
      <c r="E414" s="1" t="n">
        <v>46308</v>
      </c>
      <c r="F414" t="inlineStr">
        <is>
          <t>VÄRMLANDS LÄN</t>
        </is>
      </c>
      <c r="G414" t="inlineStr">
        <is>
          <t>KRISTINEHAMN</t>
        </is>
      </c>
      <c r="I414" t="n">
        <v>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27939-2023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45098</v>
      </c>
      <c r="E415" s="1" t="n">
        <v>46308</v>
      </c>
      <c r="F415" t="inlineStr">
        <is>
          <t>VÄRMLANDS LÄN</t>
        </is>
      </c>
      <c r="G415" t="inlineStr">
        <is>
          <t>KRISTINEHAMN</t>
        </is>
      </c>
      <c r="I415" t="n">
        <v>1.8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12041-2024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45377</v>
      </c>
      <c r="E416" s="1" t="n">
        <v>46308</v>
      </c>
      <c r="F416" t="inlineStr">
        <is>
          <t>VÄRMLANDS LÄN</t>
        </is>
      </c>
      <c r="G416" t="inlineStr">
        <is>
          <t>KRISTINEHAMN</t>
        </is>
      </c>
      <c r="I416" t="n">
        <v>13.2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29017-2023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45104</v>
      </c>
      <c r="E417" s="1" t="n">
        <v>46308</v>
      </c>
      <c r="F417" t="inlineStr">
        <is>
          <t>VÄRMLANDS LÄN</t>
        </is>
      </c>
      <c r="G417" t="inlineStr">
        <is>
          <t>KRISTINEHAMN</t>
        </is>
      </c>
      <c r="I417" t="n">
        <v>5.6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10522-2024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45366</v>
      </c>
      <c r="E418" s="1" t="n">
        <v>46308</v>
      </c>
      <c r="F418" t="inlineStr">
        <is>
          <t>VÄRMLANDS LÄN</t>
        </is>
      </c>
      <c r="G418" t="inlineStr">
        <is>
          <t>KRISTINEHAMN</t>
        </is>
      </c>
      <c r="I418" t="n">
        <v>19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62623-2023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45267</v>
      </c>
      <c r="E419" s="1" t="n">
        <v>46308</v>
      </c>
      <c r="F419" t="inlineStr">
        <is>
          <t>VÄRMLANDS LÄN</t>
        </is>
      </c>
      <c r="G419" t="inlineStr">
        <is>
          <t>KRISTINEHAMN</t>
        </is>
      </c>
      <c r="I419" t="n">
        <v>5.7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61988-2023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45266</v>
      </c>
      <c r="E420" s="1" t="n">
        <v>46308</v>
      </c>
      <c r="F420" t="inlineStr">
        <is>
          <t>VÄRMLANDS LÄN</t>
        </is>
      </c>
      <c r="G420" t="inlineStr">
        <is>
          <t>KRISTINEHAMN</t>
        </is>
      </c>
      <c r="I420" t="n">
        <v>2.4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62032-2024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45656</v>
      </c>
      <c r="E421" s="1" t="n">
        <v>46308</v>
      </c>
      <c r="F421" t="inlineStr">
        <is>
          <t>VÄRMLANDS LÄN</t>
        </is>
      </c>
      <c r="G421" t="inlineStr">
        <is>
          <t>KRISTINEHAMN</t>
        </is>
      </c>
      <c r="I421" t="n">
        <v>0.9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59144-2021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44490</v>
      </c>
      <c r="E422" s="1" t="n">
        <v>46308</v>
      </c>
      <c r="F422" t="inlineStr">
        <is>
          <t>VÄRMLANDS LÄN</t>
        </is>
      </c>
      <c r="G422" t="inlineStr">
        <is>
          <t>KRISTINEHAMN</t>
        </is>
      </c>
      <c r="I422" t="n">
        <v>3.3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4180-2024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45323</v>
      </c>
      <c r="E423" s="1" t="n">
        <v>46308</v>
      </c>
      <c r="F423" t="inlineStr">
        <is>
          <t>VÄRMLANDS LÄN</t>
        </is>
      </c>
      <c r="G423" t="inlineStr">
        <is>
          <t>KRISTINEHAMN</t>
        </is>
      </c>
      <c r="I423" t="n">
        <v>0.6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14183-2022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44651</v>
      </c>
      <c r="E424" s="1" t="n">
        <v>46308</v>
      </c>
      <c r="F424" t="inlineStr">
        <is>
          <t>VÄRMLANDS LÄN</t>
        </is>
      </c>
      <c r="G424" t="inlineStr">
        <is>
          <t>KRISTINEHAMN</t>
        </is>
      </c>
      <c r="I424" t="n">
        <v>0.9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12467-2024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45379</v>
      </c>
      <c r="E425" s="1" t="n">
        <v>46308</v>
      </c>
      <c r="F425" t="inlineStr">
        <is>
          <t>VÄRMLANDS LÄN</t>
        </is>
      </c>
      <c r="G425" t="inlineStr">
        <is>
          <t>KRISTINEHAMN</t>
        </is>
      </c>
      <c r="I425" t="n">
        <v>0.6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S 1219-2020</t>
        </is>
      </c>
      <c r="B426" t="inlineStr">
        <is>
          <t>samrådsanmälan</t>
        </is>
      </c>
      <c r="C426" t="n">
        <v/>
      </c>
      <c r="D426" s="1" t="n">
        <v>43980</v>
      </c>
      <c r="E426" s="1" t="n">
        <v>46308</v>
      </c>
      <c r="F426" t="inlineStr">
        <is>
          <t>VÄRMLANDS LÄN</t>
        </is>
      </c>
      <c r="G426" t="inlineStr">
        <is>
          <t>KRISTINEHAMN</t>
        </is>
      </c>
      <c r="I426" t="n">
        <v>0.9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S 4147-2023</t>
        </is>
      </c>
      <c r="B427" t="inlineStr">
        <is>
          <t>samrådsanmälan</t>
        </is>
      </c>
      <c r="C427" t="inlineStr">
        <is>
          <t>Skogsgödsling</t>
        </is>
      </c>
      <c r="D427" s="1" t="n">
        <v>45247</v>
      </c>
      <c r="E427" s="1" t="n">
        <v>46308</v>
      </c>
      <c r="F427" t="inlineStr">
        <is>
          <t>VÄRMLANDS LÄN</t>
        </is>
      </c>
      <c r="G427" t="inlineStr">
        <is>
          <t>KRISTINEHAMN</t>
        </is>
      </c>
      <c r="H427" t="inlineStr">
        <is>
          <t>Naturvårdsverket</t>
        </is>
      </c>
      <c r="I427" t="n">
        <v>13.5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S 4149-2023</t>
        </is>
      </c>
      <c r="B428" t="inlineStr">
        <is>
          <t>samrådsanmälan</t>
        </is>
      </c>
      <c r="C428" t="inlineStr">
        <is>
          <t>Skogsgödsling</t>
        </is>
      </c>
      <c r="D428" s="1" t="n">
        <v>45247</v>
      </c>
      <c r="E428" s="1" t="n">
        <v>46308</v>
      </c>
      <c r="F428" t="inlineStr">
        <is>
          <t>VÄRMLANDS LÄN</t>
        </is>
      </c>
      <c r="G428" t="inlineStr">
        <is>
          <t>KRISTINEHAMN</t>
        </is>
      </c>
      <c r="H428" t="inlineStr">
        <is>
          <t>Naturvårdsverket</t>
        </is>
      </c>
      <c r="I428" t="n">
        <v>9.5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S 1815-2022</t>
        </is>
      </c>
      <c r="B429" t="inlineStr">
        <is>
          <t>samrådsanmälan</t>
        </is>
      </c>
      <c r="C429" t="inlineStr">
        <is>
          <t>Åtgärd i nyckelbiotop</t>
        </is>
      </c>
      <c r="D429" s="1" t="n">
        <v>44657</v>
      </c>
      <c r="E429" s="1" t="n">
        <v>46308</v>
      </c>
      <c r="F429" t="inlineStr">
        <is>
          <t>VÄRMLANDS LÄN</t>
        </is>
      </c>
      <c r="G429" t="inlineStr">
        <is>
          <t>KRISTINEHAMN</t>
        </is>
      </c>
      <c r="I429" t="n">
        <v>1.3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S 2254-2023</t>
        </is>
      </c>
      <c r="B430" t="inlineStr">
        <is>
          <t>samrådsanmälan</t>
        </is>
      </c>
      <c r="C430" t="inlineStr">
        <is>
          <t>Askåterföring</t>
        </is>
      </c>
      <c r="D430" s="1" t="n">
        <v>45103</v>
      </c>
      <c r="E430" s="1" t="n">
        <v>46308</v>
      </c>
      <c r="F430" t="inlineStr">
        <is>
          <t>VÄRMLANDS LÄN</t>
        </is>
      </c>
      <c r="G430" t="inlineStr">
        <is>
          <t>KRISTINEHAMN</t>
        </is>
      </c>
      <c r="I430" t="n">
        <v>51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S 2879-2022</t>
        </is>
      </c>
      <c r="B431" t="inlineStr">
        <is>
          <t>samrådsanmälan</t>
        </is>
      </c>
      <c r="C431" t="inlineStr">
        <is>
          <t>Askåterföring</t>
        </is>
      </c>
      <c r="D431" s="1" t="n">
        <v>44711</v>
      </c>
      <c r="E431" s="1" t="n">
        <v>46308</v>
      </c>
      <c r="F431" t="inlineStr">
        <is>
          <t>VÄRMLANDS LÄN</t>
        </is>
      </c>
      <c r="G431" t="inlineStr">
        <is>
          <t>KRISTINEHAMN</t>
        </is>
      </c>
      <c r="I431" t="n">
        <v>25.9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S 1899-2024</t>
        </is>
      </c>
      <c r="B432" t="inlineStr">
        <is>
          <t>samrådsanmälan</t>
        </is>
      </c>
      <c r="C432" t="inlineStr">
        <is>
          <t>Askåterföring</t>
        </is>
      </c>
      <c r="D432" s="1" t="n">
        <v>45442</v>
      </c>
      <c r="E432" s="1" t="n">
        <v>46308</v>
      </c>
      <c r="F432" t="inlineStr">
        <is>
          <t>VÄRMLANDS LÄN</t>
        </is>
      </c>
      <c r="G432" t="inlineStr">
        <is>
          <t>KRISTINEHAMN</t>
        </is>
      </c>
      <c r="I432" t="n">
        <v>21.4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S 2301-2024</t>
        </is>
      </c>
      <c r="B433" t="inlineStr">
        <is>
          <t>samrådsanmälan</t>
        </is>
      </c>
      <c r="C433" t="inlineStr">
        <is>
          <t>Askåterföring</t>
        </is>
      </c>
      <c r="D433" s="1" t="n">
        <v>45463</v>
      </c>
      <c r="E433" s="1" t="n">
        <v>46308</v>
      </c>
      <c r="F433" t="inlineStr">
        <is>
          <t>VÄRMLANDS LÄN</t>
        </is>
      </c>
      <c r="G433" t="inlineStr">
        <is>
          <t>KRISTINEHAMN</t>
        </is>
      </c>
      <c r="H433" t="inlineStr">
        <is>
          <t>Bergvik skog väst AB</t>
        </is>
      </c>
      <c r="I433" t="n">
        <v>28.1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S 2553-2024</t>
        </is>
      </c>
      <c r="B434" t="inlineStr">
        <is>
          <t>samrådsanmälan</t>
        </is>
      </c>
      <c r="C434" t="inlineStr">
        <is>
          <t>Annan skogsbruksåtgärd</t>
        </is>
      </c>
      <c r="D434" s="1" t="n">
        <v>45475</v>
      </c>
      <c r="E434" s="1" t="n">
        <v>46308</v>
      </c>
      <c r="F434" t="inlineStr">
        <is>
          <t>VÄRMLANDS LÄN</t>
        </is>
      </c>
      <c r="G434" t="inlineStr">
        <is>
          <t>KRISTINEHAMN</t>
        </is>
      </c>
      <c r="I434" t="n">
        <v>1.1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S 3378-2024</t>
        </is>
      </c>
      <c r="B435" t="inlineStr">
        <is>
          <t>samrådsanmälan</t>
        </is>
      </c>
      <c r="C435" t="inlineStr">
        <is>
          <t>Askåterföring</t>
        </is>
      </c>
      <c r="D435" s="1" t="n">
        <v>45533</v>
      </c>
      <c r="E435" s="1" t="n">
        <v>46308</v>
      </c>
      <c r="F435" t="inlineStr">
        <is>
          <t>VÄRMLANDS LÄN</t>
        </is>
      </c>
      <c r="G435" t="inlineStr">
        <is>
          <t>KRISTINEHAMN</t>
        </is>
      </c>
      <c r="I435" t="n">
        <v>53.7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S 2393-2022</t>
        </is>
      </c>
      <c r="B436" t="inlineStr">
        <is>
          <t>samrådsanmälan</t>
        </is>
      </c>
      <c r="C436" t="inlineStr">
        <is>
          <t>Askåterföring</t>
        </is>
      </c>
      <c r="D436" s="1" t="n">
        <v>44690</v>
      </c>
      <c r="E436" s="1" t="n">
        <v>46308</v>
      </c>
      <c r="F436" t="inlineStr">
        <is>
          <t>VÄRMLANDS LÄN</t>
        </is>
      </c>
      <c r="G436" t="inlineStr">
        <is>
          <t>KRISTINEHAMN</t>
        </is>
      </c>
      <c r="I436" t="n">
        <v>51.7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S 1903-2024</t>
        </is>
      </c>
      <c r="B437" t="inlineStr">
        <is>
          <t>samrådsanmälan</t>
        </is>
      </c>
      <c r="C437" t="inlineStr">
        <is>
          <t>Askåterföring</t>
        </is>
      </c>
      <c r="D437" s="1" t="n">
        <v>45442</v>
      </c>
      <c r="E437" s="1" t="n">
        <v>46308</v>
      </c>
      <c r="F437" t="inlineStr">
        <is>
          <t>VÄRMLANDS LÄN</t>
        </is>
      </c>
      <c r="G437" t="inlineStr">
        <is>
          <t>KRISTINEHAMN</t>
        </is>
      </c>
      <c r="I437" t="n">
        <v>104.3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S 717-2023</t>
        </is>
      </c>
      <c r="B438" t="inlineStr">
        <is>
          <t>samrådsanmälan</t>
        </is>
      </c>
      <c r="C438" t="inlineStr">
        <is>
          <t>Annan skogsbruksåtgärd</t>
        </is>
      </c>
      <c r="D438" s="1" t="n">
        <v>44985</v>
      </c>
      <c r="E438" s="1" t="n">
        <v>46308</v>
      </c>
      <c r="F438" t="inlineStr">
        <is>
          <t>VÄRMLANDS LÄN</t>
        </is>
      </c>
      <c r="G438" t="inlineStr">
        <is>
          <t>KRISTINEHAMN</t>
        </is>
      </c>
      <c r="I438" t="n">
        <v>0.8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S 1412-2024</t>
        </is>
      </c>
      <c r="B439" t="inlineStr">
        <is>
          <t>samrådsanmälan</t>
        </is>
      </c>
      <c r="C439" t="inlineStr">
        <is>
          <t>Askåterföring</t>
        </is>
      </c>
      <c r="D439" s="1" t="n">
        <v>45414</v>
      </c>
      <c r="E439" s="1" t="n">
        <v>46308</v>
      </c>
      <c r="F439" t="inlineStr">
        <is>
          <t>VÄRMLANDS LÄN</t>
        </is>
      </c>
      <c r="G439" t="inlineStr">
        <is>
          <t>KRISTINEHAMN</t>
        </is>
      </c>
      <c r="I439" t="n">
        <v>42.9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S 1900-2024</t>
        </is>
      </c>
      <c r="B440" t="inlineStr">
        <is>
          <t>samrådsanmälan</t>
        </is>
      </c>
      <c r="C440" t="inlineStr">
        <is>
          <t>Askåterföring</t>
        </is>
      </c>
      <c r="D440" s="1" t="n">
        <v>45442</v>
      </c>
      <c r="E440" s="1" t="n">
        <v>46308</v>
      </c>
      <c r="F440" t="inlineStr">
        <is>
          <t>VÄRMLANDS LÄN</t>
        </is>
      </c>
      <c r="G440" t="inlineStr">
        <is>
          <t>KRISTINEHAMN</t>
        </is>
      </c>
      <c r="I440" t="n">
        <v>63.5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S 3374-2024</t>
        </is>
      </c>
      <c r="B441" t="inlineStr">
        <is>
          <t>samrådsanmälan</t>
        </is>
      </c>
      <c r="C441" t="inlineStr">
        <is>
          <t>Askåterföring</t>
        </is>
      </c>
      <c r="D441" s="1" t="n">
        <v>45533</v>
      </c>
      <c r="E441" s="1" t="n">
        <v>46308</v>
      </c>
      <c r="F441" t="inlineStr">
        <is>
          <t>VÄRMLANDS LÄN</t>
        </is>
      </c>
      <c r="G441" t="inlineStr">
        <is>
          <t>KRISTINEHAMN</t>
        </is>
      </c>
      <c r="I441" t="n">
        <v>18.3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S 2464-2023</t>
        </is>
      </c>
      <c r="B442" t="inlineStr">
        <is>
          <t>samrådsanmälan</t>
        </is>
      </c>
      <c r="C442" t="inlineStr">
        <is>
          <t>Askåterföring</t>
        </is>
      </c>
      <c r="D442" s="1" t="n">
        <v>45118</v>
      </c>
      <c r="E442" s="1" t="n">
        <v>46308</v>
      </c>
      <c r="F442" t="inlineStr">
        <is>
          <t>VÄRMLANDS LÄN</t>
        </is>
      </c>
      <c r="G442" t="inlineStr">
        <is>
          <t>KRISTINEHAMN</t>
        </is>
      </c>
      <c r="I442" t="n">
        <v>42.3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S 4146-2023</t>
        </is>
      </c>
      <c r="B443" t="inlineStr">
        <is>
          <t>samrådsanmälan</t>
        </is>
      </c>
      <c r="C443" t="inlineStr">
        <is>
          <t>Skogsgödsling</t>
        </is>
      </c>
      <c r="D443" s="1" t="n">
        <v>45247</v>
      </c>
      <c r="E443" s="1" t="n">
        <v>46308</v>
      </c>
      <c r="F443" t="inlineStr">
        <is>
          <t>VÄRMLANDS LÄN</t>
        </is>
      </c>
      <c r="G443" t="inlineStr">
        <is>
          <t>KRISTINEHAMN</t>
        </is>
      </c>
      <c r="H443" t="inlineStr">
        <is>
          <t>Bergvik skog väst AB</t>
        </is>
      </c>
      <c r="I443" t="n">
        <v>11.6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S 3007-2024</t>
        </is>
      </c>
      <c r="B444" t="inlineStr">
        <is>
          <t>samrådsanmälan</t>
        </is>
      </c>
      <c r="C444" t="inlineStr">
        <is>
          <t>Askåterföring</t>
        </is>
      </c>
      <c r="D444" s="1" t="n">
        <v>45512</v>
      </c>
      <c r="E444" s="1" t="n">
        <v>46308</v>
      </c>
      <c r="F444" t="inlineStr">
        <is>
          <t>VÄRMLANDS LÄN</t>
        </is>
      </c>
      <c r="G444" t="inlineStr">
        <is>
          <t>KRISTINEHAMN</t>
        </is>
      </c>
      <c r="I444" t="n">
        <v>56.9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S 1418-2025</t>
        </is>
      </c>
      <c r="B445" t="inlineStr">
        <is>
          <t>samrådsanmälan</t>
        </is>
      </c>
      <c r="C445" t="inlineStr">
        <is>
          <t>Annan skogsbruksåtgärd</t>
        </is>
      </c>
      <c r="D445" s="1" t="n">
        <v>45783</v>
      </c>
      <c r="E445" s="1" t="n">
        <v>46308</v>
      </c>
      <c r="F445" t="inlineStr">
        <is>
          <t>VÄRMLANDS LÄN</t>
        </is>
      </c>
      <c r="G445" t="inlineStr">
        <is>
          <t>KRISTINEHAMN</t>
        </is>
      </c>
      <c r="H445" t="inlineStr">
        <is>
          <t>Sveaskog</t>
        </is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S 1546-2025</t>
        </is>
      </c>
      <c r="B446" t="inlineStr">
        <is>
          <t>samrådsanmälan</t>
        </is>
      </c>
      <c r="C446" t="inlineStr">
        <is>
          <t>Annan skogsbruksåtgärd</t>
        </is>
      </c>
      <c r="D446" s="1" t="n">
        <v>45792</v>
      </c>
      <c r="E446" s="1" t="n">
        <v>46308</v>
      </c>
      <c r="F446" t="inlineStr">
        <is>
          <t>VÄRMLANDS LÄN</t>
        </is>
      </c>
      <c r="G446" t="inlineStr">
        <is>
          <t>KRISTINEHAMN</t>
        </is>
      </c>
      <c r="H446" t="inlineStr">
        <is>
          <t>Sveaskog</t>
        </is>
      </c>
      <c r="I446" t="n">
        <v>1.9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S 1698-2025</t>
        </is>
      </c>
      <c r="B447" t="inlineStr">
        <is>
          <t>samrådsanmälan</t>
        </is>
      </c>
      <c r="C447" t="inlineStr">
        <is>
          <t>Annan skogsbruksåtgärd</t>
        </is>
      </c>
      <c r="D447" s="1" t="n">
        <v>45805</v>
      </c>
      <c r="E447" s="1" t="n">
        <v>46308</v>
      </c>
      <c r="F447" t="inlineStr">
        <is>
          <t>VÄRMLANDS LÄN</t>
        </is>
      </c>
      <c r="G447" t="inlineStr">
        <is>
          <t>KRISTINEHAMN</t>
        </is>
      </c>
      <c r="H447" t="inlineStr">
        <is>
          <t>Sveaskog</t>
        </is>
      </c>
      <c r="I447" t="n">
        <v>12.6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S 121-2026</t>
        </is>
      </c>
      <c r="B448" t="inlineStr">
        <is>
          <t>samrådsanmälan</t>
        </is>
      </c>
      <c r="C448" t="inlineStr">
        <is>
          <t>Annan skogsbruksåtgärd</t>
        </is>
      </c>
      <c r="D448" s="1" t="n">
        <v>46040</v>
      </c>
      <c r="E448" s="1" t="n">
        <v>46308</v>
      </c>
      <c r="F448" t="inlineStr">
        <is>
          <t>VÄRMLANDS LÄN</t>
        </is>
      </c>
      <c r="G448" t="inlineStr">
        <is>
          <t>KRISTINEHAMN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S 865-2026</t>
        </is>
      </c>
      <c r="B449" t="inlineStr">
        <is>
          <t>samrådsanmälan</t>
        </is>
      </c>
      <c r="C449" t="inlineStr">
        <is>
          <t>Annan skogsbruksåtgärd</t>
        </is>
      </c>
      <c r="D449" s="1" t="n">
        <v>46106</v>
      </c>
      <c r="E449" s="1" t="n">
        <v>46308</v>
      </c>
      <c r="F449" t="inlineStr">
        <is>
          <t>VÄRMLANDS LÄN</t>
        </is>
      </c>
      <c r="G449" t="inlineStr">
        <is>
          <t>KRISTINEHAMN</t>
        </is>
      </c>
      <c r="H449" t="inlineStr">
        <is>
          <t>Sveaskog</t>
        </is>
      </c>
      <c r="I449" t="n">
        <v>4.6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>
      <c r="A450" t="inlineStr">
        <is>
          <t>S 99-2026</t>
        </is>
      </c>
      <c r="B450" t="inlineStr">
        <is>
          <t>samrådsanmälan</t>
        </is>
      </c>
      <c r="C450" t="inlineStr">
        <is>
          <t>Skogsgödsling</t>
        </is>
      </c>
      <c r="D450" s="1" t="n">
        <v>46036</v>
      </c>
      <c r="E450" s="1" t="n">
        <v>46308</v>
      </c>
      <c r="F450" t="inlineStr">
        <is>
          <t>VÄRMLANDS LÄN</t>
        </is>
      </c>
      <c r="G450" t="inlineStr">
        <is>
          <t>KRISTINEHAMN</t>
        </is>
      </c>
      <c r="H450" t="inlineStr">
        <is>
          <t>Naturvårdsverket</t>
        </is>
      </c>
      <c r="I450" t="n">
        <v>80.8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2026-10-13T01:59:55Z</dcterms:created>
  <dcterms:modified xmlns:dcterms="http://purl.org/dc/terms/" xmlns:xsi="http://www.w3.org/2001/XMLSchema-instance" xsi:type="dcterms:W3CDTF">2026-10-13T01:59:55Z</dcterms:modified>
</cp:coreProperties>
</file>