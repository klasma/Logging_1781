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46250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46250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46250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46250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14762-2026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46250</v>
      </c>
      <c r="F20" t="inlineStr">
        <is>
          <t>VÄRMLANDS LÄN</t>
        </is>
      </c>
      <c r="G20" t="inlineStr">
        <is>
          <t>KRISTINEHAMN</t>
        </is>
      </c>
      <c r="H20" t="inlineStr">
        <is>
          <t>Sveaskog</t>
        </is>
      </c>
      <c r="I20" t="n">
        <v>3.2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HYPERLINK("https://klasma.github.io/Logging_1781/artfynd/A 14762-2026 artfynd.xlsx", "A 14762-2026")</f>
        <v/>
      </c>
      <c r="X20">
        <f>HYPERLINK("https://klasma.github.io/Logging_1781/kartor/A 14762-2026 karta.png", "A 14762-2026")</f>
        <v/>
      </c>
      <c r="Y20">
        <f>HYPERLINK("https://klasma.github.io/Logging_1781/kartor_geotiff/A 14762-2026 georefererad karta.tif", "A 14762-2026")</f>
        <v/>
      </c>
      <c r="AA20">
        <f>HYPERLINK("https://klasma.github.io/Logging_1781/klagomål/A 14762-2026 FSC-klagomål.docx", "A 14762-2026")</f>
        <v/>
      </c>
      <c r="AB20">
        <f>HYPERLINK("https://klasma.github.io/Logging_1781/klagomålsmail/A 14762-2026 FSC-klagomål mail.docx", "A 14762-2026")</f>
        <v/>
      </c>
      <c r="AC20">
        <f>HYPERLINK("https://klasma.github.io/Logging_1781/tillsyn/A 14762-2026 tillsynsbegäran.docx", "A 14762-2026")</f>
        <v/>
      </c>
      <c r="AD20">
        <f>HYPERLINK("https://klasma.github.io/Logging_1781/tillsynsmail/A 14762-2026 tillsynsbegäran mail.docx", "A 14762-2026")</f>
        <v/>
      </c>
    </row>
    <row r="21" ht="15" customHeight="1">
      <c r="A21" t="inlineStr">
        <is>
          <t>A 14760-2026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46101</v>
      </c>
      <c r="E21" s="1" t="n">
        <v>46250</v>
      </c>
      <c r="F21" t="inlineStr">
        <is>
          <t>VÄRMLANDS LÄN</t>
        </is>
      </c>
      <c r="G21" t="inlineStr">
        <is>
          <t>KRISTINEHAMN</t>
        </is>
      </c>
      <c r="H21" t="inlineStr">
        <is>
          <t>Sveaskog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Fläcknycklar</t>
        </is>
      </c>
      <c r="W21">
        <f>HYPERLINK("https://klasma.github.io/Logging_1781/artfynd/A 14760-2026 artfynd.xlsx", "A 14760-2026")</f>
        <v/>
      </c>
      <c r="X21">
        <f>HYPERLINK("https://klasma.github.io/Logging_1781/kartor/A 14760-2026 karta.png", "A 14760-2026")</f>
        <v/>
      </c>
      <c r="Y21">
        <f>HYPERLINK("https://klasma.github.io/Logging_1781/kartor_geotiff/A 14760-2026 georefererad karta.tif", "A 14760-2026")</f>
        <v/>
      </c>
      <c r="AA21">
        <f>HYPERLINK("https://klasma.github.io/Logging_1781/klagomål/A 14760-2026 FSC-klagomål.docx", "A 14760-2026")</f>
        <v/>
      </c>
      <c r="AB21">
        <f>HYPERLINK("https://klasma.github.io/Logging_1781/klagomålsmail/A 14760-2026 FSC-klagomål mail.docx", "A 14760-2026")</f>
        <v/>
      </c>
      <c r="AC21">
        <f>HYPERLINK("https://klasma.github.io/Logging_1781/tillsyn/A 14760-2026 tillsynsbegäran.docx", "A 14760-2026")</f>
        <v/>
      </c>
      <c r="AD21">
        <f>HYPERLINK("https://klasma.github.io/Logging_1781/tillsynsmail/A 14760-2026 tillsynsbegäran mail.docx", "A 14760-2026")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46250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46250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46250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46250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46250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46250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46250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46250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Björksplintborre</t>
        </is>
      </c>
      <c r="W29">
        <f>HYPERLINK("https://klasma.github.io/Logging_1781/artfynd/A 60714-2025 artfynd.xlsx", "A 60714-2025")</f>
        <v/>
      </c>
      <c r="X29">
        <f>HYPERLINK("https://klasma.github.io/Logging_1781/kartor/A 60714-2025 karta.png", "A 60714-2025")</f>
        <v/>
      </c>
      <c r="Y29">
        <f>HYPERLINK("https://klasma.github.io/Logging_1781/kartor_geotiff/A 60714-2025 georefererad karta.tif", "A 60714-2025")</f>
        <v/>
      </c>
      <c r="AA29">
        <f>HYPERLINK("https://klasma.github.io/Logging_1781/klagomål/A 60714-2025 FSC-klagomål.docx", "A 60714-2025")</f>
        <v/>
      </c>
      <c r="AB29">
        <f>HYPERLINK("https://klasma.github.io/Logging_1781/klagomålsmail/A 60714-2025 FSC-klagomål mail.docx", "A 60714-2025")</f>
        <v/>
      </c>
      <c r="AC29">
        <f>HYPERLINK("https://klasma.github.io/Logging_1781/tillsyn/A 60714-2025 tillsynsbegäran.docx", "A 60714-2025")</f>
        <v/>
      </c>
      <c r="AD29">
        <f>HYPERLINK("https://klasma.github.io/Logging_1781/tillsynsmail/A 60714-2025 tillsynsbegäran mail.docx", "A 60714-2025")</f>
        <v/>
      </c>
    </row>
    <row r="30" ht="15" customHeight="1">
      <c r="A30" t="inlineStr">
        <is>
          <t>A 20746-2026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46250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6.3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20746-2026 artfynd.xlsx", "A 20746-2026")</f>
        <v/>
      </c>
      <c r="X30">
        <f>HYPERLINK("https://klasma.github.io/Logging_1781/kartor/A 20746-2026 karta.png", "A 20746-2026")</f>
        <v/>
      </c>
      <c r="Y30">
        <f>HYPERLINK("https://klasma.github.io/Logging_1781/kartor_geotiff/A 20746-2026 georefererad karta.tif", "A 20746-2026")</f>
        <v/>
      </c>
      <c r="AA30">
        <f>HYPERLINK("https://klasma.github.io/Logging_1781/klagomål/A 20746-2026 FSC-klagomål.docx", "A 20746-2026")</f>
        <v/>
      </c>
      <c r="AB30">
        <f>HYPERLINK("https://klasma.github.io/Logging_1781/klagomålsmail/A 20746-2026 FSC-klagomål mail.docx", "A 20746-2026")</f>
        <v/>
      </c>
      <c r="AC30">
        <f>HYPERLINK("https://klasma.github.io/Logging_1781/tillsyn/A 20746-2026 tillsynsbegäran.docx", "A 20746-2026")</f>
        <v/>
      </c>
      <c r="AD30">
        <f>HYPERLINK("https://klasma.github.io/Logging_1781/tillsynsmail/A 20746-2026 tillsynsbegäran mail.docx", "A 20746-2026")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46250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46250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25888-2025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46250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Trana</t>
        </is>
      </c>
      <c r="W33">
        <f>HYPERLINK("https://klasma.github.io/Logging_1781/artfynd/A 25888-2025 artfynd.xlsx", "A 25888-2025")</f>
        <v/>
      </c>
      <c r="X33">
        <f>HYPERLINK("https://klasma.github.io/Logging_1781/kartor/A 25888-2025 karta.png", "A 25888-2025")</f>
        <v/>
      </c>
      <c r="Y33">
        <f>HYPERLINK("https://klasma.github.io/Logging_1781/kartor_geotiff/A 25888-2025 georefererad karta.tif", "A 25888-2025")</f>
        <v/>
      </c>
      <c r="AA33">
        <f>HYPERLINK("https://klasma.github.io/Logging_1781/klagomål/A 25888-2025 FSC-klagomål.docx", "A 25888-2025")</f>
        <v/>
      </c>
      <c r="AB33">
        <f>HYPERLINK("https://klasma.github.io/Logging_1781/klagomålsmail/A 25888-2025 FSC-klagomål mail.docx", "A 25888-2025")</f>
        <v/>
      </c>
      <c r="AC33">
        <f>HYPERLINK("https://klasma.github.io/Logging_1781/tillsyn/A 25888-2025 tillsynsbegäran.docx", "A 25888-2025")</f>
        <v/>
      </c>
      <c r="AD33">
        <f>HYPERLINK("https://klasma.github.io/Logging_1781/tillsynsmail/A 25888-2025 tillsynsbegäran mail.docx", "A 25888-2025")</f>
        <v/>
      </c>
      <c r="AE33">
        <f>HYPERLINK("https://klasma.github.io/Logging_1781/fåglar/A 25888-2025 prioriterade fågelarter.docx", "A 25888-2025")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46250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46250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46250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46250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46250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46250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46250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46250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46250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46250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46250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46250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46250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46250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46250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46250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46250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46250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46250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46250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46250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46250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46250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46250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46250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46250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46250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46250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46250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46250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46250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46250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46250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46250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46250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46250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46250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46250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46250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46250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44707</v>
      </c>
      <c r="E75" s="1" t="n">
        <v>46250</v>
      </c>
      <c r="F75" t="inlineStr">
        <is>
          <t>VÄRMLANDS LÄN</t>
        </is>
      </c>
      <c r="G75" t="inlineStr">
        <is>
          <t>KRISTINEHAMN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46250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46250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46250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46250</v>
      </c>
      <c r="F79" t="inlineStr">
        <is>
          <t>VÄRMLANDS LÄN</t>
        </is>
      </c>
      <c r="G79" t="inlineStr">
        <is>
          <t>KRISTINEHAMN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46250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66438-2021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46250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46250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46250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28759-2022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44749</v>
      </c>
      <c r="E84" s="1" t="n">
        <v>46250</v>
      </c>
      <c r="F84" t="inlineStr">
        <is>
          <t>VÄRMLANDS LÄN</t>
        </is>
      </c>
      <c r="G84" t="inlineStr">
        <is>
          <t>KRISTINEHAMN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46250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45701</v>
      </c>
      <c r="E86" s="1" t="n">
        <v>46250</v>
      </c>
      <c r="F86" t="inlineStr">
        <is>
          <t>VÄRMLANDS LÄN</t>
        </is>
      </c>
      <c r="G86" t="inlineStr">
        <is>
          <t>KRISTINEHAMN</t>
        </is>
      </c>
      <c r="H86" t="inlineStr">
        <is>
          <t>Naturvårdsverket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46250</v>
      </c>
      <c r="F87" t="inlineStr">
        <is>
          <t>VÄRMLANDS LÄN</t>
        </is>
      </c>
      <c r="G87" t="inlineStr">
        <is>
          <t>KRISTINEHAMN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46250</v>
      </c>
      <c r="F88" t="inlineStr">
        <is>
          <t>VÄRMLANDS LÄN</t>
        </is>
      </c>
      <c r="G88" t="inlineStr">
        <is>
          <t>KRISTINEHAMN</t>
        </is>
      </c>
      <c r="H88" t="inlineStr">
        <is>
          <t>Naturvårdsverket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45095</v>
      </c>
      <c r="E89" s="1" t="n">
        <v>46250</v>
      </c>
      <c r="F89" t="inlineStr">
        <is>
          <t>VÄRMLANDS LÄN</t>
        </is>
      </c>
      <c r="G89" t="inlineStr">
        <is>
          <t>KRISTINEHAMN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46250</v>
      </c>
      <c r="F90" t="inlineStr">
        <is>
          <t>VÄRMLANDS LÄN</t>
        </is>
      </c>
      <c r="G90" t="inlineStr">
        <is>
          <t>KRISTINEHAMN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46250</v>
      </c>
      <c r="F91" t="inlineStr">
        <is>
          <t>VÄRMLANDS LÄN</t>
        </is>
      </c>
      <c r="G91" t="inlineStr">
        <is>
          <t>KRISTINEHAMN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46250</v>
      </c>
      <c r="F92" t="inlineStr">
        <is>
          <t>VÄRMLANDS LÄN</t>
        </is>
      </c>
      <c r="G92" t="inlineStr">
        <is>
          <t>KRISTINEHAMN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45191</v>
      </c>
      <c r="E93" s="1" t="n">
        <v>46250</v>
      </c>
      <c r="F93" t="inlineStr">
        <is>
          <t>VÄRMLANDS LÄN</t>
        </is>
      </c>
      <c r="G93" t="inlineStr">
        <is>
          <t>KRISTINEHAMN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46250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46250</v>
      </c>
      <c r="F95" t="inlineStr">
        <is>
          <t>VÄRMLANDS LÄN</t>
        </is>
      </c>
      <c r="G95" t="inlineStr">
        <is>
          <t>KRISTINEHAMN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46250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46250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44591</v>
      </c>
      <c r="E98" s="1" t="n">
        <v>46250</v>
      </c>
      <c r="F98" t="inlineStr">
        <is>
          <t>VÄRMLANDS LÄN</t>
        </is>
      </c>
      <c r="G98" t="inlineStr">
        <is>
          <t>KRISTINEHAMN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45201</v>
      </c>
      <c r="E99" s="1" t="n">
        <v>46250</v>
      </c>
      <c r="F99" t="inlineStr">
        <is>
          <t>VÄRMLANDS LÄN</t>
        </is>
      </c>
      <c r="G99" t="inlineStr">
        <is>
          <t>KRISTINEHAMN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41551-2022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46250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46250</v>
      </c>
      <c r="F101" t="inlineStr">
        <is>
          <t>VÄRMLANDS LÄN</t>
        </is>
      </c>
      <c r="G101" t="inlineStr">
        <is>
          <t>KRISTINEHAMN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45393</v>
      </c>
      <c r="E102" s="1" t="n">
        <v>46250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46250</v>
      </c>
      <c r="F103" t="inlineStr">
        <is>
          <t>VÄRMLANDS LÄN</t>
        </is>
      </c>
      <c r="G103" t="inlineStr">
        <is>
          <t>KRISTINEHAMN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55003-2021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46250</v>
      </c>
      <c r="F104" t="inlineStr">
        <is>
          <t>VÄRMLANDS LÄN</t>
        </is>
      </c>
      <c r="G104" t="inlineStr">
        <is>
          <t>KRISTINEHAMN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45302</v>
      </c>
      <c r="E105" s="1" t="n">
        <v>46250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46250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44497</v>
      </c>
      <c r="E107" s="1" t="n">
        <v>46250</v>
      </c>
      <c r="F107" t="inlineStr">
        <is>
          <t>VÄRMLANDS LÄN</t>
        </is>
      </c>
      <c r="G107" t="inlineStr">
        <is>
          <t>KRISTINEHAMN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21549-2022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46250</v>
      </c>
      <c r="F108" t="inlineStr">
        <is>
          <t>VÄRMLANDS LÄN</t>
        </is>
      </c>
      <c r="G108" t="inlineStr">
        <is>
          <t>KRISTINEHAMN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46250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47949-2021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44448</v>
      </c>
      <c r="E110" s="1" t="n">
        <v>46250</v>
      </c>
      <c r="F110" t="inlineStr">
        <is>
          <t>VÄRMLANDS LÄN</t>
        </is>
      </c>
      <c r="G110" t="inlineStr">
        <is>
          <t>KRISTINEHAMN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46250</v>
      </c>
      <c r="F111" t="inlineStr">
        <is>
          <t>VÄRMLANDS LÄN</t>
        </is>
      </c>
      <c r="G111" t="inlineStr">
        <is>
          <t>KRISTINEHAMN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46250</v>
      </c>
      <c r="F112" t="inlineStr">
        <is>
          <t>VÄRMLANDS LÄN</t>
        </is>
      </c>
      <c r="G112" t="inlineStr">
        <is>
          <t>KRISTINEHAMN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44883</v>
      </c>
      <c r="E113" s="1" t="n">
        <v>46250</v>
      </c>
      <c r="F113" t="inlineStr">
        <is>
          <t>VÄRMLANDS LÄN</t>
        </is>
      </c>
      <c r="G113" t="inlineStr">
        <is>
          <t>KRISTINEHAMN</t>
        </is>
      </c>
      <c r="I113" t="n">
        <v>11.1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45344</v>
      </c>
      <c r="E114" s="1" t="n">
        <v>46250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Naturvårdsverket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46250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46250</v>
      </c>
      <c r="F116" t="inlineStr">
        <is>
          <t>VÄRMLANDS LÄN</t>
        </is>
      </c>
      <c r="G116" t="inlineStr">
        <is>
          <t>KRISTINEHAMN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44742</v>
      </c>
      <c r="E117" s="1" t="n">
        <v>46250</v>
      </c>
      <c r="F117" t="inlineStr">
        <is>
          <t>VÄRMLANDS LÄN</t>
        </is>
      </c>
      <c r="G117" t="inlineStr">
        <is>
          <t>KRISTINEHAMN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46250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45477</v>
      </c>
      <c r="E119" s="1" t="n">
        <v>46250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46250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46250</v>
      </c>
      <c r="F121" t="inlineStr">
        <is>
          <t>VÄRMLANDS LÄN</t>
        </is>
      </c>
      <c r="G121" t="inlineStr">
        <is>
          <t>KRISTINEHAMN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46250</v>
      </c>
      <c r="F122" t="inlineStr">
        <is>
          <t>VÄRMLANDS LÄN</t>
        </is>
      </c>
      <c r="G122" t="inlineStr">
        <is>
          <t>KRISTINEHAMN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46250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46250</v>
      </c>
      <c r="F124" t="inlineStr">
        <is>
          <t>VÄRMLANDS LÄN</t>
        </is>
      </c>
      <c r="G124" t="inlineStr">
        <is>
          <t>KRISTINEHAMN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46250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46250</v>
      </c>
      <c r="F126" t="inlineStr">
        <is>
          <t>VÄRMLANDS LÄN</t>
        </is>
      </c>
      <c r="G126" t="inlineStr">
        <is>
          <t>KRISTINEHAMN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46250</v>
      </c>
      <c r="F127" t="inlineStr">
        <is>
          <t>VÄRMLANDS LÄN</t>
        </is>
      </c>
      <c r="G127" t="inlineStr">
        <is>
          <t>KRISTINEHAMN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46250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46250</v>
      </c>
      <c r="F129" t="inlineStr">
        <is>
          <t>VÄRMLANDS LÄN</t>
        </is>
      </c>
      <c r="G129" t="inlineStr">
        <is>
          <t>KRISTINEHAMN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46250</v>
      </c>
      <c r="F130" t="inlineStr">
        <is>
          <t>VÄRMLANDS LÄN</t>
        </is>
      </c>
      <c r="G130" t="inlineStr">
        <is>
          <t>KRISTINEHAMN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46250</v>
      </c>
      <c r="F131" t="inlineStr">
        <is>
          <t>VÄRMLANDS LÄN</t>
        </is>
      </c>
      <c r="G131" t="inlineStr">
        <is>
          <t>KRISTINEHAMN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46250</v>
      </c>
      <c r="F132" t="inlineStr">
        <is>
          <t>VÄRMLANDS LÄN</t>
        </is>
      </c>
      <c r="G132" t="inlineStr">
        <is>
          <t>KRISTINEHAMN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46250</v>
      </c>
      <c r="F133" t="inlineStr">
        <is>
          <t>VÄRMLANDS LÄN</t>
        </is>
      </c>
      <c r="G133" t="inlineStr">
        <is>
          <t>KRISTINEHAMN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46250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46250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Naturvårdsverket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46083</v>
      </c>
      <c r="E136" s="1" t="n">
        <v>46250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46250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46250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45121</v>
      </c>
      <c r="E139" s="1" t="n">
        <v>46250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46250</v>
      </c>
      <c r="F140" t="inlineStr">
        <is>
          <t>VÄRMLANDS LÄN</t>
        </is>
      </c>
      <c r="G140" t="inlineStr">
        <is>
          <t>KRISTINEHAMN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46250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46250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46250</v>
      </c>
      <c r="F143" t="inlineStr">
        <is>
          <t>VÄRMLANDS LÄN</t>
        </is>
      </c>
      <c r="G143" t="inlineStr">
        <is>
          <t>KRISTINEHAMN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48379-2025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46250</v>
      </c>
      <c r="F144" t="inlineStr">
        <is>
          <t>VÄRMLANDS LÄN</t>
        </is>
      </c>
      <c r="G144" t="inlineStr">
        <is>
          <t>KRISTINEHAMN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46250</v>
      </c>
      <c r="F145" t="inlineStr">
        <is>
          <t>VÄRMLANDS LÄN</t>
        </is>
      </c>
      <c r="G145" t="inlineStr">
        <is>
          <t>KRISTINEHAMN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46250</v>
      </c>
      <c r="F146" t="inlineStr">
        <is>
          <t>VÄRMLANDS LÄN</t>
        </is>
      </c>
      <c r="G146" t="inlineStr">
        <is>
          <t>KRISTINEHAMN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46250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46250</v>
      </c>
      <c r="F148" t="inlineStr">
        <is>
          <t>VÄRMLANDS LÄN</t>
        </is>
      </c>
      <c r="G148" t="inlineStr">
        <is>
          <t>KRISTINEHAMN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46250</v>
      </c>
      <c r="F149" t="inlineStr">
        <is>
          <t>VÄRMLANDS LÄN</t>
        </is>
      </c>
      <c r="G149" t="inlineStr">
        <is>
          <t>KRISTINEHAMN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46250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44452</v>
      </c>
      <c r="E151" s="1" t="n">
        <v>46250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45944</v>
      </c>
      <c r="E152" s="1" t="n">
        <v>46250</v>
      </c>
      <c r="F152" t="inlineStr">
        <is>
          <t>VÄRMLANDS LÄN</t>
        </is>
      </c>
      <c r="G152" t="inlineStr">
        <is>
          <t>KRISTINEHAMN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46092</v>
      </c>
      <c r="E153" s="1" t="n">
        <v>46250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46250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46250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46250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46250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46250</v>
      </c>
      <c r="F158" t="inlineStr">
        <is>
          <t>VÄRMLANDS LÄN</t>
        </is>
      </c>
      <c r="G158" t="inlineStr">
        <is>
          <t>KRISTINEHAMN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46250</v>
      </c>
      <c r="F159" t="inlineStr">
        <is>
          <t>VÄRMLANDS LÄN</t>
        </is>
      </c>
      <c r="G159" t="inlineStr">
        <is>
          <t>KRISTINEHAMN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46250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45952</v>
      </c>
      <c r="E161" s="1" t="n">
        <v>46250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45681</v>
      </c>
      <c r="E162" s="1" t="n">
        <v>46250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46250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45678</v>
      </c>
      <c r="E164" s="1" t="n">
        <v>46250</v>
      </c>
      <c r="F164" t="inlineStr">
        <is>
          <t>VÄRMLANDS LÄN</t>
        </is>
      </c>
      <c r="G164" t="inlineStr">
        <is>
          <t>KRISTINEHAMN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46250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52404-2025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46250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46250</v>
      </c>
      <c r="F167" t="inlineStr">
        <is>
          <t>VÄRMLANDS LÄN</t>
        </is>
      </c>
      <c r="G167" t="inlineStr">
        <is>
          <t>KRISTINEHAMN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45370</v>
      </c>
      <c r="E168" s="1" t="n">
        <v>46250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45379</v>
      </c>
      <c r="E169" s="1" t="n">
        <v>46250</v>
      </c>
      <c r="F169" t="inlineStr">
        <is>
          <t>VÄRMLANDS LÄN</t>
        </is>
      </c>
      <c r="G169" t="inlineStr">
        <is>
          <t>KRISTINEHAMN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44448</v>
      </c>
      <c r="E170" s="1" t="n">
        <v>46250</v>
      </c>
      <c r="F170" t="inlineStr">
        <is>
          <t>VÄRMLANDS LÄN</t>
        </is>
      </c>
      <c r="G170" t="inlineStr">
        <is>
          <t>KRISTINEHAMN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46250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46250</v>
      </c>
      <c r="F172" t="inlineStr">
        <is>
          <t>VÄRMLANDS LÄN</t>
        </is>
      </c>
      <c r="G172" t="inlineStr">
        <is>
          <t>KRISTINEHAMN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45302</v>
      </c>
      <c r="E173" s="1" t="n">
        <v>46250</v>
      </c>
      <c r="F173" t="inlineStr">
        <is>
          <t>VÄRMLANDS LÄN</t>
        </is>
      </c>
      <c r="G173" t="inlineStr">
        <is>
          <t>KRISTINEHAMN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46250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46250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15646-2026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46106</v>
      </c>
      <c r="E176" s="1" t="n">
        <v>46250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46250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46250</v>
      </c>
      <c r="F178" t="inlineStr">
        <is>
          <t>VÄRMLANDS LÄN</t>
        </is>
      </c>
      <c r="G178" t="inlineStr">
        <is>
          <t>KRISTINEHAMN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46250</v>
      </c>
      <c r="F179" t="inlineStr">
        <is>
          <t>VÄRMLANDS LÄN</t>
        </is>
      </c>
      <c r="G179" t="inlineStr">
        <is>
          <t>KRISTINEHAMN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46250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Kommuner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23948-2022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46250</v>
      </c>
      <c r="F181" t="inlineStr">
        <is>
          <t>VÄRMLANDS LÄN</t>
        </is>
      </c>
      <c r="G181" t="inlineStr">
        <is>
          <t>KRISTINEHAMN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44637</v>
      </c>
      <c r="E182" s="1" t="n">
        <v>46250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46250</v>
      </c>
      <c r="F183" t="inlineStr">
        <is>
          <t>VÄRMLANDS LÄN</t>
        </is>
      </c>
      <c r="G183" t="inlineStr">
        <is>
          <t>KRISTINEHAMN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44431</v>
      </c>
      <c r="E184" s="1" t="n">
        <v>46250</v>
      </c>
      <c r="F184" t="inlineStr">
        <is>
          <t>VÄRMLANDS LÄN</t>
        </is>
      </c>
      <c r="G184" t="inlineStr">
        <is>
          <t>KRISTINEHAMN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56315-2025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45974</v>
      </c>
      <c r="E185" s="1" t="n">
        <v>46250</v>
      </c>
      <c r="F185" t="inlineStr">
        <is>
          <t>VÄRMLANDS LÄN</t>
        </is>
      </c>
      <c r="G185" t="inlineStr">
        <is>
          <t>KRISTINEHAMN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46250</v>
      </c>
      <c r="F186" t="inlineStr">
        <is>
          <t>VÄRMLANDS LÄN</t>
        </is>
      </c>
      <c r="G186" t="inlineStr">
        <is>
          <t>KRISTINEHAMN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45239</v>
      </c>
      <c r="E187" s="1" t="n">
        <v>46250</v>
      </c>
      <c r="F187" t="inlineStr">
        <is>
          <t>VÄRMLANDS LÄN</t>
        </is>
      </c>
      <c r="G187" t="inlineStr">
        <is>
          <t>KRISTINEHAMN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45268</v>
      </c>
      <c r="E188" s="1" t="n">
        <v>46250</v>
      </c>
      <c r="F188" t="inlineStr">
        <is>
          <t>VÄRMLANDS LÄN</t>
        </is>
      </c>
      <c r="G188" t="inlineStr">
        <is>
          <t>KRISTINEHAMN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46250</v>
      </c>
      <c r="F189" t="inlineStr">
        <is>
          <t>VÄRMLANDS LÄN</t>
        </is>
      </c>
      <c r="G189" t="inlineStr">
        <is>
          <t>KRISTINEHAMN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46250</v>
      </c>
      <c r="F190" t="inlineStr">
        <is>
          <t>VÄRMLANDS LÄN</t>
        </is>
      </c>
      <c r="G190" t="inlineStr">
        <is>
          <t>KRISTINEHAMN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44651</v>
      </c>
      <c r="E191" s="1" t="n">
        <v>46250</v>
      </c>
      <c r="F191" t="inlineStr">
        <is>
          <t>VÄRMLANDS LÄN</t>
        </is>
      </c>
      <c r="G191" t="inlineStr">
        <is>
          <t>KRISTINEHAMN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46250</v>
      </c>
      <c r="F192" t="inlineStr">
        <is>
          <t>VÄRMLANDS LÄN</t>
        </is>
      </c>
      <c r="G192" t="inlineStr">
        <is>
          <t>KRISTINEHAMN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46250</v>
      </c>
      <c r="F193" t="inlineStr">
        <is>
          <t>VÄRMLANDS LÄN</t>
        </is>
      </c>
      <c r="G193" t="inlineStr">
        <is>
          <t>KRISTINEHAMN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46250</v>
      </c>
      <c r="F194" t="inlineStr">
        <is>
          <t>VÄRMLANDS LÄN</t>
        </is>
      </c>
      <c r="G194" t="inlineStr">
        <is>
          <t>KRISTINEHAMN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46250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46250</v>
      </c>
      <c r="F196" t="inlineStr">
        <is>
          <t>VÄRMLANDS LÄN</t>
        </is>
      </c>
      <c r="G196" t="inlineStr">
        <is>
          <t>KRISTINEHAMN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44753</v>
      </c>
      <c r="E197" s="1" t="n">
        <v>46250</v>
      </c>
      <c r="F197" t="inlineStr">
        <is>
          <t>VÄRMLANDS LÄN</t>
        </is>
      </c>
      <c r="G197" t="inlineStr">
        <is>
          <t>KRISTINEHAMN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45361</v>
      </c>
      <c r="E198" s="1" t="n">
        <v>46250</v>
      </c>
      <c r="F198" t="inlineStr">
        <is>
          <t>VÄRMLANDS LÄN</t>
        </is>
      </c>
      <c r="G198" t="inlineStr">
        <is>
          <t>KRISTINEHAMN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46250</v>
      </c>
      <c r="F199" t="inlineStr">
        <is>
          <t>VÄRMLANDS LÄN</t>
        </is>
      </c>
      <c r="G199" t="inlineStr">
        <is>
          <t>KRISTINEHAMN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46250</v>
      </c>
      <c r="F200" t="inlineStr">
        <is>
          <t>VÄRMLANDS LÄN</t>
        </is>
      </c>
      <c r="G200" t="inlineStr">
        <is>
          <t>KRISTINEHAMN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46250</v>
      </c>
      <c r="F201" t="inlineStr">
        <is>
          <t>VÄRMLANDS LÄN</t>
        </is>
      </c>
      <c r="G201" t="inlineStr">
        <is>
          <t>KRISTINEHAMN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44424</v>
      </c>
      <c r="E202" s="1" t="n">
        <v>46250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46250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46250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45112</v>
      </c>
      <c r="E205" s="1" t="n">
        <v>46250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46250</v>
      </c>
      <c r="F206" t="inlineStr">
        <is>
          <t>VÄRMLANDS LÄN</t>
        </is>
      </c>
      <c r="G206" t="inlineStr">
        <is>
          <t>KRISTINEHAMN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46250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Bergvik skog väst AB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46250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46250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46250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Naturvårdsverket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44712</v>
      </c>
      <c r="E211" s="1" t="n">
        <v>46250</v>
      </c>
      <c r="F211" t="inlineStr">
        <is>
          <t>VÄRMLANDS LÄN</t>
        </is>
      </c>
      <c r="G211" t="inlineStr">
        <is>
          <t>KRISTINEHAMN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46250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46250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46250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46250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46250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46250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46250</v>
      </c>
      <c r="F218" t="inlineStr">
        <is>
          <t>VÄRMLANDS LÄN</t>
        </is>
      </c>
      <c r="G218" t="inlineStr">
        <is>
          <t>KRISTINEHAMN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46132</v>
      </c>
      <c r="E219" s="1" t="n">
        <v>46250</v>
      </c>
      <c r="F219" t="inlineStr">
        <is>
          <t>VÄRMLANDS LÄN</t>
        </is>
      </c>
      <c r="G219" t="inlineStr">
        <is>
          <t>KRISTINEHAMN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45662</v>
      </c>
      <c r="E220" s="1" t="n">
        <v>46250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44924</v>
      </c>
      <c r="E221" s="1" t="n">
        <v>46250</v>
      </c>
      <c r="F221" t="inlineStr">
        <is>
          <t>VÄRMLANDS LÄN</t>
        </is>
      </c>
      <c r="G221" t="inlineStr">
        <is>
          <t>KRISTINEHAMN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46250</v>
      </c>
      <c r="F222" t="inlineStr">
        <is>
          <t>VÄRMLANDS LÄN</t>
        </is>
      </c>
      <c r="G222" t="inlineStr">
        <is>
          <t>KRISTINEHAMN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46250</v>
      </c>
      <c r="F223" t="inlineStr">
        <is>
          <t>VÄRMLANDS LÄN</t>
        </is>
      </c>
      <c r="G223" t="inlineStr">
        <is>
          <t>KRISTINEHAMN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45141</v>
      </c>
      <c r="E224" s="1" t="n">
        <v>46250</v>
      </c>
      <c r="F224" t="inlineStr">
        <is>
          <t>VÄRMLANDS LÄN</t>
        </is>
      </c>
      <c r="G224" t="inlineStr">
        <is>
          <t>KRISTINEHAMN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46250</v>
      </c>
      <c r="F225" t="inlineStr">
        <is>
          <t>VÄRMLANDS LÄN</t>
        </is>
      </c>
      <c r="G225" t="inlineStr">
        <is>
          <t>KRISTINEHAMN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46250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46250</v>
      </c>
      <c r="F227" t="inlineStr">
        <is>
          <t>VÄRMLANDS LÄN</t>
        </is>
      </c>
      <c r="G227" t="inlineStr">
        <is>
          <t>KRISTINEHAMN</t>
        </is>
      </c>
      <c r="I227" t="n">
        <v>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46250</v>
      </c>
      <c r="F228" t="inlineStr">
        <is>
          <t>VÄRMLANDS LÄN</t>
        </is>
      </c>
      <c r="G228" t="inlineStr">
        <is>
          <t>KRISTINEHAMN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45460</v>
      </c>
      <c r="E229" s="1" t="n">
        <v>46250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46250</v>
      </c>
      <c r="F230" t="inlineStr">
        <is>
          <t>VÄRMLANDS LÄN</t>
        </is>
      </c>
      <c r="G230" t="inlineStr">
        <is>
          <t>KRISTINEHAMN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46250</v>
      </c>
      <c r="F231" t="inlineStr">
        <is>
          <t>VÄRMLANDS LÄN</t>
        </is>
      </c>
      <c r="G231" t="inlineStr">
        <is>
          <t>KRISTINEHAMN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46250</v>
      </c>
      <c r="F232" t="inlineStr">
        <is>
          <t>VÄRMLANDS LÄN</t>
        </is>
      </c>
      <c r="G232" t="inlineStr">
        <is>
          <t>KRISTINEHAMN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46250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46250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58616-2021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46250</v>
      </c>
      <c r="F235" t="inlineStr">
        <is>
          <t>VÄRMLANDS LÄN</t>
        </is>
      </c>
      <c r="G235" t="inlineStr">
        <is>
          <t>KRISTINEHAMN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45478</v>
      </c>
      <c r="E236" s="1" t="n">
        <v>46250</v>
      </c>
      <c r="F236" t="inlineStr">
        <is>
          <t>VÄRMLANDS LÄN</t>
        </is>
      </c>
      <c r="G236" t="inlineStr">
        <is>
          <t>KRISTINEHAMN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46250</v>
      </c>
      <c r="F237" t="inlineStr">
        <is>
          <t>VÄRMLANDS LÄN</t>
        </is>
      </c>
      <c r="G237" t="inlineStr">
        <is>
          <t>KRISTINEHAMN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45154</v>
      </c>
      <c r="E238" s="1" t="n">
        <v>46250</v>
      </c>
      <c r="F238" t="inlineStr">
        <is>
          <t>VÄRMLANDS LÄN</t>
        </is>
      </c>
      <c r="G238" t="inlineStr">
        <is>
          <t>KRISTINEHAMN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46250</v>
      </c>
      <c r="F239" t="inlineStr">
        <is>
          <t>VÄRMLANDS LÄN</t>
        </is>
      </c>
      <c r="G239" t="inlineStr">
        <is>
          <t>KRISTINEHAMN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46250</v>
      </c>
      <c r="F240" t="inlineStr">
        <is>
          <t>VÄRMLANDS LÄN</t>
        </is>
      </c>
      <c r="G240" t="inlineStr">
        <is>
          <t>KRISTINEHAMN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46250</v>
      </c>
      <c r="F241" t="inlineStr">
        <is>
          <t>VÄRMLANDS LÄN</t>
        </is>
      </c>
      <c r="G241" t="inlineStr">
        <is>
          <t>KRISTINEHAMN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46250</v>
      </c>
      <c r="F242" t="inlineStr">
        <is>
          <t>VÄRMLANDS LÄN</t>
        </is>
      </c>
      <c r="G242" t="inlineStr">
        <is>
          <t>KRISTINEHAMN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46250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46250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46250</v>
      </c>
      <c r="F245" t="inlineStr">
        <is>
          <t>VÄRMLANDS LÄN</t>
        </is>
      </c>
      <c r="G245" t="inlineStr">
        <is>
          <t>KRISTINEHAMN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68526-2021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46250</v>
      </c>
      <c r="F246" t="inlineStr">
        <is>
          <t>VÄRMLANDS LÄN</t>
        </is>
      </c>
      <c r="G246" t="inlineStr">
        <is>
          <t>KRISTINEHAMN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68530-2021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44526</v>
      </c>
      <c r="E247" s="1" t="n">
        <v>46250</v>
      </c>
      <c r="F247" t="inlineStr">
        <is>
          <t>VÄRMLANDS LÄN</t>
        </is>
      </c>
      <c r="G247" t="inlineStr">
        <is>
          <t>KRISTINEHAMN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46250</v>
      </c>
      <c r="F248" t="inlineStr">
        <is>
          <t>VÄRMLANDS LÄN</t>
        </is>
      </c>
      <c r="G248" t="inlineStr">
        <is>
          <t>KRISTINEHAMN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45104</v>
      </c>
      <c r="E249" s="1" t="n">
        <v>46250</v>
      </c>
      <c r="F249" t="inlineStr">
        <is>
          <t>VÄRMLANDS LÄN</t>
        </is>
      </c>
      <c r="G249" t="inlineStr">
        <is>
          <t>KRISTINEHAMN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44595</v>
      </c>
      <c r="E250" s="1" t="n">
        <v>46250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46250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46250</v>
      </c>
      <c r="F252" t="inlineStr">
        <is>
          <t>VÄRMLANDS LÄN</t>
        </is>
      </c>
      <c r="G252" t="inlineStr">
        <is>
          <t>KRISTINEHAMN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46250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46250</v>
      </c>
      <c r="F254" t="inlineStr">
        <is>
          <t>VÄRMLANDS LÄN</t>
        </is>
      </c>
      <c r="G254" t="inlineStr">
        <is>
          <t>KRISTINEHAMN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46250</v>
      </c>
      <c r="F255" t="inlineStr">
        <is>
          <t>VÄRMLANDS LÄN</t>
        </is>
      </c>
      <c r="G255" t="inlineStr">
        <is>
          <t>KRISTINEHAMN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46250</v>
      </c>
      <c r="F256" t="inlineStr">
        <is>
          <t>VÄRMLANDS LÄN</t>
        </is>
      </c>
      <c r="G256" t="inlineStr">
        <is>
          <t>KRISTINEHAMN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46250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46250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46250</v>
      </c>
      <c r="F259" t="inlineStr">
        <is>
          <t>VÄRMLANDS LÄN</t>
        </is>
      </c>
      <c r="G259" t="inlineStr">
        <is>
          <t>KRISTINEHAMN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45647</v>
      </c>
      <c r="E260" s="1" t="n">
        <v>46250</v>
      </c>
      <c r="F260" t="inlineStr">
        <is>
          <t>VÄRMLANDS LÄN</t>
        </is>
      </c>
      <c r="G260" t="inlineStr">
        <is>
          <t>KRISTINEHAMN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46250</v>
      </c>
      <c r="F261" t="inlineStr">
        <is>
          <t>VÄRMLANDS LÄN</t>
        </is>
      </c>
      <c r="G261" t="inlineStr">
        <is>
          <t>KRISTINEHAMN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46250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46250</v>
      </c>
      <c r="F263" t="inlineStr">
        <is>
          <t>VÄRMLANDS LÄN</t>
        </is>
      </c>
      <c r="G263" t="inlineStr">
        <is>
          <t>KRISTINEHAMN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46250</v>
      </c>
      <c r="F264" t="inlineStr">
        <is>
          <t>VÄRMLANDS LÄN</t>
        </is>
      </c>
      <c r="G264" t="inlineStr">
        <is>
          <t>KRISTINEHAMN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46250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45811</v>
      </c>
      <c r="E266" s="1" t="n">
        <v>46250</v>
      </c>
      <c r="F266" t="inlineStr">
        <is>
          <t>VÄRMLANDS LÄN</t>
        </is>
      </c>
      <c r="G266" t="inlineStr">
        <is>
          <t>KRISTINEHAMN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46250</v>
      </c>
      <c r="F267" t="inlineStr">
        <is>
          <t>VÄRMLANDS LÄN</t>
        </is>
      </c>
      <c r="G267" t="inlineStr">
        <is>
          <t>KRISTINEHAMN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46250</v>
      </c>
      <c r="F268" t="inlineStr">
        <is>
          <t>VÄRMLANDS LÄN</t>
        </is>
      </c>
      <c r="G268" t="inlineStr">
        <is>
          <t>KRISTINEHAMN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46250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46250</v>
      </c>
      <c r="F270" t="inlineStr">
        <is>
          <t>VÄRMLANDS LÄN</t>
        </is>
      </c>
      <c r="G270" t="inlineStr">
        <is>
          <t>KRISTINEHAMN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28152-2022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46250</v>
      </c>
      <c r="F271" t="inlineStr">
        <is>
          <t>VÄRMLANDS LÄN</t>
        </is>
      </c>
      <c r="G271" t="inlineStr">
        <is>
          <t>KRISTINEHAMN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46250</v>
      </c>
      <c r="F272" t="inlineStr">
        <is>
          <t>VÄRMLANDS LÄN</t>
        </is>
      </c>
      <c r="G272" t="inlineStr">
        <is>
          <t>KRISTINEHAMN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46140</v>
      </c>
      <c r="E273" s="1" t="n">
        <v>46250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13021-2023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45002</v>
      </c>
      <c r="E274" s="1" t="n">
        <v>46250</v>
      </c>
      <c r="F274" t="inlineStr">
        <is>
          <t>VÄRMLANDS LÄN</t>
        </is>
      </c>
      <c r="G274" t="inlineStr">
        <is>
          <t>KRISTINEHAMN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46250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46250</v>
      </c>
      <c r="F276" t="inlineStr">
        <is>
          <t>VÄRMLANDS LÄN</t>
        </is>
      </c>
      <c r="G276" t="inlineStr">
        <is>
          <t>KRISTINEHAMN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46250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46250</v>
      </c>
      <c r="F278" t="inlineStr">
        <is>
          <t>VÄRMLANDS LÄN</t>
        </is>
      </c>
      <c r="G278" t="inlineStr">
        <is>
          <t>KRISTINEHAMN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23246-2024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46250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44894</v>
      </c>
      <c r="E280" s="1" t="n">
        <v>46250</v>
      </c>
      <c r="F280" t="inlineStr">
        <is>
          <t>VÄRMLANDS LÄN</t>
        </is>
      </c>
      <c r="G280" t="inlineStr">
        <is>
          <t>KRISTINEHAMN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22896-2023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45072</v>
      </c>
      <c r="E281" s="1" t="n">
        <v>46250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46250</v>
      </c>
      <c r="F282" t="inlineStr">
        <is>
          <t>VÄRMLANDS LÄN</t>
        </is>
      </c>
      <c r="G282" t="inlineStr">
        <is>
          <t>KRISTINEHAMN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46049</v>
      </c>
      <c r="E283" s="1" t="n">
        <v>46250</v>
      </c>
      <c r="F283" t="inlineStr">
        <is>
          <t>VÄRMLANDS LÄN</t>
        </is>
      </c>
      <c r="G283" t="inlineStr">
        <is>
          <t>KRISTINEHAMN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46250</v>
      </c>
      <c r="F284" t="inlineStr">
        <is>
          <t>VÄRMLANDS LÄN</t>
        </is>
      </c>
      <c r="G284" t="inlineStr">
        <is>
          <t>KRISTINEHAMN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6259-2026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46051</v>
      </c>
      <c r="E285" s="1" t="n">
        <v>46250</v>
      </c>
      <c r="F285" t="inlineStr">
        <is>
          <t>VÄRMLANDS LÄN</t>
        </is>
      </c>
      <c r="G285" t="inlineStr">
        <is>
          <t>KRISTINEHAMN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45167</v>
      </c>
      <c r="E286" s="1" t="n">
        <v>46250</v>
      </c>
      <c r="F286" t="inlineStr">
        <is>
          <t>VÄRMLANDS LÄN</t>
        </is>
      </c>
      <c r="G286" t="inlineStr">
        <is>
          <t>KRISTINEHAMN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46250</v>
      </c>
      <c r="F287" t="inlineStr">
        <is>
          <t>VÄRMLANDS LÄN</t>
        </is>
      </c>
      <c r="G287" t="inlineStr">
        <is>
          <t>KRISTINEHAMN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46250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46250</v>
      </c>
      <c r="F289" t="inlineStr">
        <is>
          <t>VÄRMLANDS LÄN</t>
        </is>
      </c>
      <c r="G289" t="inlineStr">
        <is>
          <t>KRISTINEHAMN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46250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46250</v>
      </c>
      <c r="F291" t="inlineStr">
        <is>
          <t>VÄRMLANDS LÄN</t>
        </is>
      </c>
      <c r="G291" t="inlineStr">
        <is>
          <t>KRISTINEHAMN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46250</v>
      </c>
      <c r="F292" t="inlineStr">
        <is>
          <t>VÄRMLANDS LÄN</t>
        </is>
      </c>
      <c r="G292" t="inlineStr">
        <is>
          <t>KRISTINEHAMN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46250</v>
      </c>
      <c r="F293" t="inlineStr">
        <is>
          <t>VÄRMLANDS LÄN</t>
        </is>
      </c>
      <c r="G293" t="inlineStr">
        <is>
          <t>KRISTINEHAMN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46250</v>
      </c>
      <c r="F294" t="inlineStr">
        <is>
          <t>VÄRMLANDS LÄN</t>
        </is>
      </c>
      <c r="G294" t="inlineStr">
        <is>
          <t>KRISTINEHAMN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45401</v>
      </c>
      <c r="E295" s="1" t="n">
        <v>46250</v>
      </c>
      <c r="F295" t="inlineStr">
        <is>
          <t>VÄRMLANDS LÄN</t>
        </is>
      </c>
      <c r="G295" t="inlineStr">
        <is>
          <t>KRISTINEHAMN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46140</v>
      </c>
      <c r="E296" s="1" t="n">
        <v>46250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46250</v>
      </c>
      <c r="F297" t="inlineStr">
        <is>
          <t>VÄRMLANDS LÄN</t>
        </is>
      </c>
      <c r="G297" t="inlineStr">
        <is>
          <t>KRISTINEHAMN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46250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45756</v>
      </c>
      <c r="E299" s="1" t="n">
        <v>46250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46526-2022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44847</v>
      </c>
      <c r="E300" s="1" t="n">
        <v>46250</v>
      </c>
      <c r="F300" t="inlineStr">
        <is>
          <t>VÄRMLANDS LÄN</t>
        </is>
      </c>
      <c r="G300" t="inlineStr">
        <is>
          <t>KRISTINEHAMN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46250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46250</v>
      </c>
      <c r="F302" t="inlineStr">
        <is>
          <t>VÄRMLANDS LÄN</t>
        </is>
      </c>
      <c r="G302" t="inlineStr">
        <is>
          <t>KRISTINEHAMN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46250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49335-2021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44454</v>
      </c>
      <c r="E304" s="1" t="n">
        <v>46250</v>
      </c>
      <c r="F304" t="inlineStr">
        <is>
          <t>VÄRMLANDS LÄN</t>
        </is>
      </c>
      <c r="G304" t="inlineStr">
        <is>
          <t>KRISTINEHAMN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46250</v>
      </c>
      <c r="F305" t="inlineStr">
        <is>
          <t>VÄRMLANDS LÄN</t>
        </is>
      </c>
      <c r="G305" t="inlineStr">
        <is>
          <t>KRISTINEHAMN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45226</v>
      </c>
      <c r="E306" s="1" t="n">
        <v>46250</v>
      </c>
      <c r="F306" t="inlineStr">
        <is>
          <t>VÄRMLANDS LÄN</t>
        </is>
      </c>
      <c r="G306" t="inlineStr">
        <is>
          <t>KRISTINEHAMN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45127</v>
      </c>
      <c r="E307" s="1" t="n">
        <v>46250</v>
      </c>
      <c r="F307" t="inlineStr">
        <is>
          <t>VÄRMLANDS LÄN</t>
        </is>
      </c>
      <c r="G307" t="inlineStr">
        <is>
          <t>KRISTINEHAMN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54603-2021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46250</v>
      </c>
      <c r="F308" t="inlineStr">
        <is>
          <t>VÄRMLANDS LÄN</t>
        </is>
      </c>
      <c r="G308" t="inlineStr">
        <is>
          <t>KRISTINEHAMN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46250</v>
      </c>
      <c r="F309" t="inlineStr">
        <is>
          <t>VÄRMLANDS LÄN</t>
        </is>
      </c>
      <c r="G309" t="inlineStr">
        <is>
          <t>KRISTINEHAMN</t>
        </is>
      </c>
      <c r="I309" t="n">
        <v>15.9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68505-2021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46250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46250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Naturvårdsverket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46250</v>
      </c>
      <c r="F312" t="inlineStr">
        <is>
          <t>VÄRMLANDS LÄN</t>
        </is>
      </c>
      <c r="G312" t="inlineStr">
        <is>
          <t>KRISTINEHAMN</t>
        </is>
      </c>
      <c r="I312" t="n">
        <v>19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45315</v>
      </c>
      <c r="E313" s="1" t="n">
        <v>46250</v>
      </c>
      <c r="F313" t="inlineStr">
        <is>
          <t>VÄRMLANDS LÄN</t>
        </is>
      </c>
      <c r="G313" t="inlineStr">
        <is>
          <t>KRISTINEHAMN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46250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46250</v>
      </c>
      <c r="F315" t="inlineStr">
        <is>
          <t>VÄRMLANDS LÄN</t>
        </is>
      </c>
      <c r="G315" t="inlineStr">
        <is>
          <t>KRISTINEHAMN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44923</v>
      </c>
      <c r="E316" s="1" t="n">
        <v>46250</v>
      </c>
      <c r="F316" t="inlineStr">
        <is>
          <t>VÄRMLANDS LÄN</t>
        </is>
      </c>
      <c r="G316" t="inlineStr">
        <is>
          <t>KRISTINEHAMN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62864-2023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45272</v>
      </c>
      <c r="E317" s="1" t="n">
        <v>46250</v>
      </c>
      <c r="F317" t="inlineStr">
        <is>
          <t>VÄRMLANDS LÄN</t>
        </is>
      </c>
      <c r="G317" t="inlineStr">
        <is>
          <t>KRISTINEHAMN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20982-2026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46250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46250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46250</v>
      </c>
      <c r="F320" t="inlineStr">
        <is>
          <t>VÄRMLANDS LÄN</t>
        </is>
      </c>
      <c r="G320" t="inlineStr">
        <is>
          <t>KRISTINEHAMN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45323</v>
      </c>
      <c r="E321" s="1" t="n">
        <v>46250</v>
      </c>
      <c r="F321" t="inlineStr">
        <is>
          <t>VÄRMLANDS LÄN</t>
        </is>
      </c>
      <c r="G321" t="inlineStr">
        <is>
          <t>KRISTINEHAMN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45081</v>
      </c>
      <c r="E322" s="1" t="n">
        <v>46250</v>
      </c>
      <c r="F322" t="inlineStr">
        <is>
          <t>VÄRMLANDS LÄN</t>
        </is>
      </c>
      <c r="G322" t="inlineStr">
        <is>
          <t>KRISTINEHAMN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46250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46250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46250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11020-2023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44991</v>
      </c>
      <c r="E326" s="1" t="n">
        <v>46250</v>
      </c>
      <c r="F326" t="inlineStr">
        <is>
          <t>VÄRMLANDS LÄN</t>
        </is>
      </c>
      <c r="G326" t="inlineStr">
        <is>
          <t>KRISTINEHAMN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46250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46250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44742</v>
      </c>
      <c r="E329" s="1" t="n">
        <v>46250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46250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46250</v>
      </c>
      <c r="F331" t="inlineStr">
        <is>
          <t>VÄRMLANDS LÄN</t>
        </is>
      </c>
      <c r="G331" t="inlineStr">
        <is>
          <t>KRISTINEHAMN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45679</v>
      </c>
      <c r="E332" s="1" t="n">
        <v>46250</v>
      </c>
      <c r="F332" t="inlineStr">
        <is>
          <t>VÄRMLANDS LÄN</t>
        </is>
      </c>
      <c r="G332" t="inlineStr">
        <is>
          <t>KRISTINEHAMN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46250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46149</v>
      </c>
      <c r="E334" s="1" t="n">
        <v>46250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46150</v>
      </c>
      <c r="E335" s="1" t="n">
        <v>46250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46250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46250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46250</v>
      </c>
      <c r="F338" t="inlineStr">
        <is>
          <t>VÄRMLANDS LÄN</t>
        </is>
      </c>
      <c r="G338" t="inlineStr">
        <is>
          <t>KRISTINEHAMN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46250</v>
      </c>
      <c r="F339" t="inlineStr">
        <is>
          <t>VÄRMLANDS LÄN</t>
        </is>
      </c>
      <c r="G339" t="inlineStr">
        <is>
          <t>KRISTINEHAMN</t>
        </is>
      </c>
      <c r="I339" t="n">
        <v>10.4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46250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45081</v>
      </c>
      <c r="E341" s="1" t="n">
        <v>46250</v>
      </c>
      <c r="F341" t="inlineStr">
        <is>
          <t>VÄRMLANDS LÄN</t>
        </is>
      </c>
      <c r="G341" t="inlineStr">
        <is>
          <t>KRISTINEHAMN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45252</v>
      </c>
      <c r="E342" s="1" t="n">
        <v>46250</v>
      </c>
      <c r="F342" t="inlineStr">
        <is>
          <t>VÄRMLANDS LÄN</t>
        </is>
      </c>
      <c r="G342" t="inlineStr">
        <is>
          <t>KRISTINEHAMN</t>
        </is>
      </c>
      <c r="I342" t="n">
        <v>19.4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46250</v>
      </c>
      <c r="F343" t="inlineStr">
        <is>
          <t>VÄRMLANDS LÄN</t>
        </is>
      </c>
      <c r="G343" t="inlineStr">
        <is>
          <t>KRISTINEHAMN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45341</v>
      </c>
      <c r="E344" s="1" t="n">
        <v>46250</v>
      </c>
      <c r="F344" t="inlineStr">
        <is>
          <t>VÄRMLANDS LÄN</t>
        </is>
      </c>
      <c r="G344" t="inlineStr">
        <is>
          <t>KRISTINEHAMN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46250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46250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Bergvik skog väst AB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45379</v>
      </c>
      <c r="E347" s="1" t="n">
        <v>46250</v>
      </c>
      <c r="F347" t="inlineStr">
        <is>
          <t>VÄRMLANDS LÄN</t>
        </is>
      </c>
      <c r="G347" t="inlineStr">
        <is>
          <t>KRISTINEHAMN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45569</v>
      </c>
      <c r="E348" s="1" t="n">
        <v>46250</v>
      </c>
      <c r="F348" t="inlineStr">
        <is>
          <t>VÄRMLANDS LÄN</t>
        </is>
      </c>
      <c r="G348" t="inlineStr">
        <is>
          <t>KRISTINEHAMN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46250</v>
      </c>
      <c r="F349" t="inlineStr">
        <is>
          <t>VÄRMLANDS LÄN</t>
        </is>
      </c>
      <c r="G349" t="inlineStr">
        <is>
          <t>KRISTINEHAMN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55363-2023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46250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45379</v>
      </c>
      <c r="E351" s="1" t="n">
        <v>46250</v>
      </c>
      <c r="F351" t="inlineStr">
        <is>
          <t>VÄRMLANDS LÄN</t>
        </is>
      </c>
      <c r="G351" t="inlineStr">
        <is>
          <t>KRISTINEHAMN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46250</v>
      </c>
      <c r="F352" t="inlineStr">
        <is>
          <t>VÄRMLANDS LÄN</t>
        </is>
      </c>
      <c r="G352" t="inlineStr">
        <is>
          <t>KRISTINEHAMN</t>
        </is>
      </c>
      <c r="I352" t="n">
        <v>12.6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46250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13459-2024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45387</v>
      </c>
      <c r="E354" s="1" t="n">
        <v>46250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Naturvårdsverket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46250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45693</v>
      </c>
      <c r="E356" s="1" t="n">
        <v>46250</v>
      </c>
      <c r="F356" t="inlineStr">
        <is>
          <t>VÄRMLANDS LÄN</t>
        </is>
      </c>
      <c r="G356" t="inlineStr">
        <is>
          <t>KRISTINEHAMN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46250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46250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46250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46250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46250</v>
      </c>
      <c r="F361" t="inlineStr">
        <is>
          <t>VÄRMLANDS LÄN</t>
        </is>
      </c>
      <c r="G361" t="inlineStr">
        <is>
          <t>KRISTINEHAMN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47091-2022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44851</v>
      </c>
      <c r="E362" s="1" t="n">
        <v>46250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21602-2025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45783</v>
      </c>
      <c r="E363" s="1" t="n">
        <v>46250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45392</v>
      </c>
      <c r="E364" s="1" t="n">
        <v>46250</v>
      </c>
      <c r="F364" t="inlineStr">
        <is>
          <t>VÄRMLANDS LÄN</t>
        </is>
      </c>
      <c r="G364" t="inlineStr">
        <is>
          <t>KRISTINEHAMN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46250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45110</v>
      </c>
      <c r="E366" s="1" t="n">
        <v>46250</v>
      </c>
      <c r="F366" t="inlineStr">
        <is>
          <t>VÄRMLANDS LÄN</t>
        </is>
      </c>
      <c r="G366" t="inlineStr">
        <is>
          <t>KRISTINEHAMN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46250</v>
      </c>
      <c r="F367" t="inlineStr">
        <is>
          <t>VÄRMLANDS LÄN</t>
        </is>
      </c>
      <c r="G367" t="inlineStr">
        <is>
          <t>KRISTINEHAMN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46250</v>
      </c>
      <c r="F368" t="inlineStr">
        <is>
          <t>VÄRMLANDS LÄN</t>
        </is>
      </c>
      <c r="G368" t="inlineStr">
        <is>
          <t>KRISTINEHAMN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45456</v>
      </c>
      <c r="E369" s="1" t="n">
        <v>46250</v>
      </c>
      <c r="F369" t="inlineStr">
        <is>
          <t>VÄRMLANDS LÄN</t>
        </is>
      </c>
      <c r="G369" t="inlineStr">
        <is>
          <t>KRISTINEHAMN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45079</v>
      </c>
      <c r="E370" s="1" t="n">
        <v>46250</v>
      </c>
      <c r="F370" t="inlineStr">
        <is>
          <t>VÄRMLANDS LÄN</t>
        </is>
      </c>
      <c r="G370" t="inlineStr">
        <is>
          <t>KRISTINEHAMN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45636</v>
      </c>
      <c r="E371" s="1" t="n">
        <v>46250</v>
      </c>
      <c r="F371" t="inlineStr">
        <is>
          <t>VÄRMLANDS LÄN</t>
        </is>
      </c>
      <c r="G371" t="inlineStr">
        <is>
          <t>KRISTINEHAMN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45792</v>
      </c>
      <c r="E372" s="1" t="n">
        <v>46250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45792</v>
      </c>
      <c r="E373" s="1" t="n">
        <v>46250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45792</v>
      </c>
      <c r="E374" s="1" t="n">
        <v>46250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46250</v>
      </c>
      <c r="F375" t="inlineStr">
        <is>
          <t>VÄRMLANDS LÄN</t>
        </is>
      </c>
      <c r="G375" t="inlineStr">
        <is>
          <t>KRISTINEHAMN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23510-2025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45792</v>
      </c>
      <c r="E376" s="1" t="n">
        <v>46250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46250</v>
      </c>
      <c r="F377" t="inlineStr">
        <is>
          <t>VÄRMLANDS LÄN</t>
        </is>
      </c>
      <c r="G377" t="inlineStr">
        <is>
          <t>KRISTINEHAMN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24570-2026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46170</v>
      </c>
      <c r="E378" s="1" t="n">
        <v>46250</v>
      </c>
      <c r="F378" t="inlineStr">
        <is>
          <t>VÄRMLANDS LÄN</t>
        </is>
      </c>
      <c r="G378" t="inlineStr">
        <is>
          <t>KRISTINEHAMN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21702-2024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45442</v>
      </c>
      <c r="E379" s="1" t="n">
        <v>46250</v>
      </c>
      <c r="F379" t="inlineStr">
        <is>
          <t>VÄRMLANDS LÄN</t>
        </is>
      </c>
      <c r="G379" t="inlineStr">
        <is>
          <t>KRISTINEHAMN</t>
        </is>
      </c>
      <c r="I379" t="n">
        <v>14.9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46250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46250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45686</v>
      </c>
      <c r="E382" s="1" t="n">
        <v>46250</v>
      </c>
      <c r="F382" t="inlineStr">
        <is>
          <t>VÄRMLANDS LÄN</t>
        </is>
      </c>
      <c r="G382" t="inlineStr">
        <is>
          <t>KRISTINEHAMN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45282</v>
      </c>
      <c r="E383" s="1" t="n">
        <v>46250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46250</v>
      </c>
      <c r="F384" t="inlineStr">
        <is>
          <t>VÄRMLANDS LÄN</t>
        </is>
      </c>
      <c r="G384" t="inlineStr">
        <is>
          <t>KRISTINEHAMN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45674</v>
      </c>
      <c r="E385" s="1" t="n">
        <v>46250</v>
      </c>
      <c r="F385" t="inlineStr">
        <is>
          <t>VÄRMLANDS LÄN</t>
        </is>
      </c>
      <c r="G385" t="inlineStr">
        <is>
          <t>KRISTINEHAMN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46250</v>
      </c>
      <c r="F386" t="inlineStr">
        <is>
          <t>VÄRMLANDS LÄN</t>
        </is>
      </c>
      <c r="G386" t="inlineStr">
        <is>
          <t>KRISTINEHAMN</t>
        </is>
      </c>
      <c r="I386" t="n">
        <v>11.2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45622</v>
      </c>
      <c r="E387" s="1" t="n">
        <v>46250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46250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46250</v>
      </c>
      <c r="F389" t="inlineStr">
        <is>
          <t>VÄRMLANDS LÄN</t>
        </is>
      </c>
      <c r="G389" t="inlineStr">
        <is>
          <t>KRISTINEHAMN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39997-2024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46250</v>
      </c>
      <c r="F390" t="inlineStr">
        <is>
          <t>VÄRMLANDS LÄN</t>
        </is>
      </c>
      <c r="G390" t="inlineStr">
        <is>
          <t>KRISTINEHAMN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45575</v>
      </c>
      <c r="E391" s="1" t="n">
        <v>46250</v>
      </c>
      <c r="F391" t="inlineStr">
        <is>
          <t>VÄRMLANDS LÄN</t>
        </is>
      </c>
      <c r="G391" t="inlineStr">
        <is>
          <t>KRISTINEHAMN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25258-2026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46250</v>
      </c>
      <c r="F392" t="inlineStr">
        <is>
          <t>VÄRMLANDS LÄN</t>
        </is>
      </c>
      <c r="G392" t="inlineStr">
        <is>
          <t>KRISTINEHAMN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45600</v>
      </c>
      <c r="E393" s="1" t="n">
        <v>46250</v>
      </c>
      <c r="F393" t="inlineStr">
        <is>
          <t>VÄRMLANDS LÄN</t>
        </is>
      </c>
      <c r="G393" t="inlineStr">
        <is>
          <t>KRISTINEHAMN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46250</v>
      </c>
      <c r="F394" t="inlineStr">
        <is>
          <t>VÄRMLANDS LÄN</t>
        </is>
      </c>
      <c r="G394" t="inlineStr">
        <is>
          <t>KRISTINEHAMN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46250</v>
      </c>
      <c r="F395" t="inlineStr">
        <is>
          <t>VÄRMLANDS LÄN</t>
        </is>
      </c>
      <c r="G395" t="inlineStr">
        <is>
          <t>KRISTINEHAMN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46250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62767-2023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46250</v>
      </c>
      <c r="F397" t="inlineStr">
        <is>
          <t>VÄRMLANDS LÄN</t>
        </is>
      </c>
      <c r="G397" t="inlineStr">
        <is>
          <t>KRISTINEHAMN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28834-2024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45478</v>
      </c>
      <c r="E398" s="1" t="n">
        <v>46250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45802</v>
      </c>
      <c r="E399" s="1" t="n">
        <v>46250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46250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46250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46250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45810</v>
      </c>
      <c r="E403" s="1" t="n">
        <v>46250</v>
      </c>
      <c r="F403" t="inlineStr">
        <is>
          <t>VÄRMLANDS LÄN</t>
        </is>
      </c>
      <c r="G403" t="inlineStr">
        <is>
          <t>KRISTINEHAMN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44648</v>
      </c>
      <c r="E404" s="1" t="n">
        <v>46250</v>
      </c>
      <c r="F404" t="inlineStr">
        <is>
          <t>VÄRMLANDS LÄN</t>
        </is>
      </c>
      <c r="G404" t="inlineStr">
        <is>
          <t>KRISTINEHAMN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46250</v>
      </c>
      <c r="F405" t="inlineStr">
        <is>
          <t>VÄRMLANDS LÄN</t>
        </is>
      </c>
      <c r="G405" t="inlineStr">
        <is>
          <t>KRISTINEHAMN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45198</v>
      </c>
      <c r="E406" s="1" t="n">
        <v>46250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46250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46037</v>
      </c>
      <c r="E408" s="1" t="n">
        <v>46250</v>
      </c>
      <c r="F408" t="inlineStr">
        <is>
          <t>VÄRMLANDS LÄN</t>
        </is>
      </c>
      <c r="G408" t="inlineStr">
        <is>
          <t>KRISTINEHAMN</t>
        </is>
      </c>
      <c r="I408" t="n">
        <v>11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45812</v>
      </c>
      <c r="E409" s="1" t="n">
        <v>46250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46230</v>
      </c>
      <c r="E410" s="1" t="n">
        <v>46250</v>
      </c>
      <c r="F410" t="inlineStr">
        <is>
          <t>VÄRMLANDS LÄN</t>
        </is>
      </c>
      <c r="G410" t="inlineStr">
        <is>
          <t>KRISTINEHAMN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46250</v>
      </c>
      <c r="F411" t="inlineStr">
        <is>
          <t>VÄRMLANDS LÄN</t>
        </is>
      </c>
      <c r="G411" t="inlineStr">
        <is>
          <t>KRISTINEHAMN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46250</v>
      </c>
      <c r="F412" t="inlineStr">
        <is>
          <t>VÄRMLANDS LÄN</t>
        </is>
      </c>
      <c r="G412" t="inlineStr">
        <is>
          <t>KRISTINEHAMN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45313</v>
      </c>
      <c r="E413" s="1" t="n">
        <v>46250</v>
      </c>
      <c r="F413" t="inlineStr">
        <is>
          <t>VÄRMLANDS LÄN</t>
        </is>
      </c>
      <c r="G413" t="inlineStr">
        <is>
          <t>KRISTINEHAMN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45364</v>
      </c>
      <c r="E414" s="1" t="n">
        <v>46250</v>
      </c>
      <c r="F414" t="inlineStr">
        <is>
          <t>VÄRMLANDS LÄN</t>
        </is>
      </c>
      <c r="G414" t="inlineStr">
        <is>
          <t>KRISTINEHAMN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46250</v>
      </c>
      <c r="F415" t="inlineStr">
        <is>
          <t>VÄRMLANDS LÄN</t>
        </is>
      </c>
      <c r="G415" t="inlineStr">
        <is>
          <t>KRISTINEHAMN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46250</v>
      </c>
      <c r="F416" t="inlineStr">
        <is>
          <t>VÄRMLANDS LÄN</t>
        </is>
      </c>
      <c r="G416" t="inlineStr">
        <is>
          <t>KRISTINEHAMN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46250</v>
      </c>
      <c r="F417" t="inlineStr">
        <is>
          <t>VÄRMLANDS LÄN</t>
        </is>
      </c>
      <c r="G417" t="inlineStr">
        <is>
          <t>KRISTINEHAMN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45456</v>
      </c>
      <c r="E418" s="1" t="n">
        <v>46250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10116-2024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46250</v>
      </c>
      <c r="F419" t="inlineStr">
        <is>
          <t>VÄRMLANDS LÄN</t>
        </is>
      </c>
      <c r="G419" t="inlineStr">
        <is>
          <t>KRISTINEHAMN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38404-2022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44812</v>
      </c>
      <c r="E420" s="1" t="n">
        <v>46250</v>
      </c>
      <c r="F420" t="inlineStr">
        <is>
          <t>VÄRMLANDS LÄN</t>
        </is>
      </c>
      <c r="G420" t="inlineStr">
        <is>
          <t>KRISTINEHAMN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46250</v>
      </c>
      <c r="F421" t="inlineStr">
        <is>
          <t>VÄRMLANDS LÄN</t>
        </is>
      </c>
      <c r="G421" t="inlineStr">
        <is>
          <t>KRISTINEHAMN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44734</v>
      </c>
      <c r="E422" s="1" t="n">
        <v>46250</v>
      </c>
      <c r="F422" t="inlineStr">
        <is>
          <t>VÄRMLANDS LÄN</t>
        </is>
      </c>
      <c r="G422" t="inlineStr">
        <is>
          <t>KRISTINEHAMN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44722</v>
      </c>
      <c r="E423" s="1" t="n">
        <v>46250</v>
      </c>
      <c r="F423" t="inlineStr">
        <is>
          <t>VÄRMLANDS LÄN</t>
        </is>
      </c>
      <c r="G423" t="inlineStr">
        <is>
          <t>KRISTINEHAMN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44722</v>
      </c>
      <c r="E424" s="1" t="n">
        <v>46250</v>
      </c>
      <c r="F424" t="inlineStr">
        <is>
          <t>VÄRMLANDS LÄN</t>
        </is>
      </c>
      <c r="G424" t="inlineStr">
        <is>
          <t>KRISTINEHAMN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46250</v>
      </c>
      <c r="F425" t="inlineStr">
        <is>
          <t>VÄRMLANDS LÄN</t>
        </is>
      </c>
      <c r="G425" t="inlineStr">
        <is>
          <t>KRISTINEHAMN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45833</v>
      </c>
      <c r="E426" s="1" t="n">
        <v>46250</v>
      </c>
      <c r="F426" t="inlineStr">
        <is>
          <t>VÄRMLANDS LÄN</t>
        </is>
      </c>
      <c r="G426" t="inlineStr">
        <is>
          <t>KRISTINEHAMN</t>
        </is>
      </c>
      <c r="I426" t="n">
        <v>20.1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45832</v>
      </c>
      <c r="E427" s="1" t="n">
        <v>46250</v>
      </c>
      <c r="F427" t="inlineStr">
        <is>
          <t>VÄRMLANDS LÄN</t>
        </is>
      </c>
      <c r="G427" t="inlineStr">
        <is>
          <t>KRISTINEHAMN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46250</v>
      </c>
      <c r="F428" t="inlineStr">
        <is>
          <t>VÄRMLANDS LÄN</t>
        </is>
      </c>
      <c r="G428" t="inlineStr">
        <is>
          <t>KRISTINEHAMN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46250</v>
      </c>
      <c r="F429" t="inlineStr">
        <is>
          <t>VÄRMLANDS LÄN</t>
        </is>
      </c>
      <c r="G429" t="inlineStr">
        <is>
          <t>KRISTINEHAMN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46250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46250</v>
      </c>
      <c r="F431" t="inlineStr">
        <is>
          <t>VÄRMLANDS LÄN</t>
        </is>
      </c>
      <c r="G431" t="inlineStr">
        <is>
          <t>KRISTINEHAMN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46250</v>
      </c>
      <c r="F432" t="inlineStr">
        <is>
          <t>VÄRMLANDS LÄN</t>
        </is>
      </c>
      <c r="G432" t="inlineStr">
        <is>
          <t>KRISTINEHAMN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46250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47371-2023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46250</v>
      </c>
      <c r="F434" t="inlineStr">
        <is>
          <t>VÄRMLANDS LÄN</t>
        </is>
      </c>
      <c r="G434" t="inlineStr">
        <is>
          <t>KRISTINEHAMN</t>
        </is>
      </c>
      <c r="I434" t="n">
        <v>10.1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46250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45782</v>
      </c>
      <c r="E436" s="1" t="n">
        <v>46250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44965</v>
      </c>
      <c r="E437" s="1" t="n">
        <v>46250</v>
      </c>
      <c r="F437" t="inlineStr">
        <is>
          <t>VÄRMLANDS LÄN</t>
        </is>
      </c>
      <c r="G437" t="inlineStr">
        <is>
          <t>KRISTINEHAMN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45876</v>
      </c>
      <c r="E438" s="1" t="n">
        <v>46250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45876</v>
      </c>
      <c r="E439" s="1" t="n">
        <v>46250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46250</v>
      </c>
      <c r="F440" t="inlineStr">
        <is>
          <t>VÄRMLANDS LÄN</t>
        </is>
      </c>
      <c r="G440" t="inlineStr">
        <is>
          <t>KRISTINEHAMN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46250</v>
      </c>
      <c r="F441" t="inlineStr">
        <is>
          <t>VÄRMLANDS LÄN</t>
        </is>
      </c>
      <c r="G441" t="inlineStr">
        <is>
          <t>KRISTINEHAMN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1219-2020</t>
        </is>
      </c>
      <c r="B442" t="inlineStr">
        <is>
          <t>samrådsanmälan</t>
        </is>
      </c>
      <c r="C442" t="n">
        <v/>
      </c>
      <c r="D442" s="1" t="n">
        <v>43980</v>
      </c>
      <c r="E442" s="1" t="n">
        <v>46250</v>
      </c>
      <c r="F442" t="inlineStr">
        <is>
          <t>VÄRMLANDS LÄN</t>
        </is>
      </c>
      <c r="G442" t="inlineStr">
        <is>
          <t>KRISTINEHAMN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46250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46250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2393-2022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44690</v>
      </c>
      <c r="E445" s="1" t="n">
        <v>46250</v>
      </c>
      <c r="F445" t="inlineStr">
        <is>
          <t>VÄRMLANDS LÄN</t>
        </is>
      </c>
      <c r="G445" t="inlineStr">
        <is>
          <t>KRISTINEHAMN</t>
        </is>
      </c>
      <c r="I445" t="n">
        <v>51.7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4147-2023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45247</v>
      </c>
      <c r="E446" s="1" t="n">
        <v>46250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Naturvårdsverket</t>
        </is>
      </c>
      <c r="I446" t="n">
        <v>13.5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4149-2023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46250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2254-2023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45103</v>
      </c>
      <c r="E448" s="1" t="n">
        <v>46250</v>
      </c>
      <c r="F448" t="inlineStr">
        <is>
          <t>VÄRMLANDS LÄN</t>
        </is>
      </c>
      <c r="G448" t="inlineStr">
        <is>
          <t>KRISTINEHAMN</t>
        </is>
      </c>
      <c r="I448" t="n">
        <v>51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1899-2024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46250</v>
      </c>
      <c r="F449" t="inlineStr">
        <is>
          <t>VÄRMLANDS LÄN</t>
        </is>
      </c>
      <c r="G449" t="inlineStr">
        <is>
          <t>KRISTINEHAMN</t>
        </is>
      </c>
      <c r="I449" t="n">
        <v>21.4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2301-2024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45463</v>
      </c>
      <c r="E450" s="1" t="n">
        <v>46250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28.1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2553-2024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45475</v>
      </c>
      <c r="E451" s="1" t="n">
        <v>46250</v>
      </c>
      <c r="F451" t="inlineStr">
        <is>
          <t>VÄRMLANDS LÄN</t>
        </is>
      </c>
      <c r="G451" t="inlineStr">
        <is>
          <t>KRISTINEHAMN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3378-2024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45533</v>
      </c>
      <c r="E452" s="1" t="n">
        <v>46250</v>
      </c>
      <c r="F452" t="inlineStr">
        <is>
          <t>VÄRMLANDS LÄN</t>
        </is>
      </c>
      <c r="G452" t="inlineStr">
        <is>
          <t>KRISTINEHAMN</t>
        </is>
      </c>
      <c r="I452" t="n">
        <v>53.7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46250</v>
      </c>
      <c r="F453" t="inlineStr">
        <is>
          <t>VÄRMLANDS LÄN</t>
        </is>
      </c>
      <c r="G453" t="inlineStr">
        <is>
          <t>KRISTINEHAMN</t>
        </is>
      </c>
      <c r="I453" t="n">
        <v>104.3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717-2023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44985</v>
      </c>
      <c r="E454" s="1" t="n">
        <v>46250</v>
      </c>
      <c r="F454" t="inlineStr">
        <is>
          <t>VÄRMLANDS LÄN</t>
        </is>
      </c>
      <c r="G454" t="inlineStr">
        <is>
          <t>KRISTINEHAMN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1412-2024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45414</v>
      </c>
      <c r="E455" s="1" t="n">
        <v>46250</v>
      </c>
      <c r="F455" t="inlineStr">
        <is>
          <t>VÄRMLANDS LÄN</t>
        </is>
      </c>
      <c r="G455" t="inlineStr">
        <is>
          <t>KRISTINEHAMN</t>
        </is>
      </c>
      <c r="I455" t="n">
        <v>42.9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1900-2024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45442</v>
      </c>
      <c r="E456" s="1" t="n">
        <v>46250</v>
      </c>
      <c r="F456" t="inlineStr">
        <is>
          <t>VÄRMLANDS LÄN</t>
        </is>
      </c>
      <c r="G456" t="inlineStr">
        <is>
          <t>KRISTINEHAMN</t>
        </is>
      </c>
      <c r="I456" t="n">
        <v>63.5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3374-2024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45533</v>
      </c>
      <c r="E457" s="1" t="n">
        <v>46250</v>
      </c>
      <c r="F457" t="inlineStr">
        <is>
          <t>VÄRMLANDS LÄN</t>
        </is>
      </c>
      <c r="G457" t="inlineStr">
        <is>
          <t>KRISTINEHAMN</t>
        </is>
      </c>
      <c r="I457" t="n">
        <v>18.3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45118</v>
      </c>
      <c r="E458" s="1" t="n">
        <v>46250</v>
      </c>
      <c r="F458" t="inlineStr">
        <is>
          <t>VÄRMLANDS LÄN</t>
        </is>
      </c>
      <c r="G458" t="inlineStr">
        <is>
          <t>KRISTINEHAMN</t>
        </is>
      </c>
      <c r="I458" t="n">
        <v>42.3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4146-2023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45247</v>
      </c>
      <c r="E459" s="1" t="n">
        <v>46250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3007-2024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45512</v>
      </c>
      <c r="E460" s="1" t="n">
        <v>46250</v>
      </c>
      <c r="F460" t="inlineStr">
        <is>
          <t>VÄRMLANDS LÄN</t>
        </is>
      </c>
      <c r="G460" t="inlineStr">
        <is>
          <t>KRISTINEHAMN</t>
        </is>
      </c>
      <c r="I460" t="n">
        <v>56.9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1418-2025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45783</v>
      </c>
      <c r="E461" s="1" t="n">
        <v>46250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1546-2025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45792</v>
      </c>
      <c r="E462" s="1" t="n">
        <v>46250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1698-2025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45805</v>
      </c>
      <c r="E463" s="1" t="n">
        <v>46250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12.6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46040</v>
      </c>
      <c r="E464" s="1" t="n">
        <v>46250</v>
      </c>
      <c r="F464" t="inlineStr">
        <is>
          <t>VÄRMLANDS LÄN</t>
        </is>
      </c>
      <c r="G464" t="inlineStr">
        <is>
          <t>KRISTINEHAMN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46106</v>
      </c>
      <c r="E465" s="1" t="n">
        <v>46250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99-2026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46036</v>
      </c>
      <c r="E466" s="1" t="n">
        <v>46250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Naturvårdsverket</t>
        </is>
      </c>
      <c r="I466" t="n">
        <v>80.8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2026-08-16T01:42:51Z</dcterms:created>
  <dcterms:modified xmlns:dcterms="http://purl.org/dc/terms/" xmlns:xsi="http://www.w3.org/2001/XMLSchema-instance" xsi:type="dcterms:W3CDTF">2026-08-16T01:42:51Z</dcterms:modified>
</cp:coreProperties>
</file>