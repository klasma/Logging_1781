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46302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46302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46302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46302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46302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46302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60714-2025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45996</v>
      </c>
      <c r="E24" s="1" t="n">
        <v>46302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Björksplintborre</t>
        </is>
      </c>
      <c r="W24">
        <f>HYPERLINK("https://klasma.github.io/Logging_1781/artfynd/A 60714-2025 artfynd.xlsx", "A 60714-2025")</f>
        <v/>
      </c>
      <c r="X24">
        <f>HYPERLINK("https://klasma.github.io/Logging_1781/kartor/A 60714-2025 karta.png", "A 60714-2025")</f>
        <v/>
      </c>
      <c r="Y24">
        <f>HYPERLINK("https://klasma.github.io/Logging_1781/kartor_geotiff/A 60714-2025 georefererad karta.tif", "A 60714-2025")</f>
        <v/>
      </c>
      <c r="AA24">
        <f>HYPERLINK("https://klasma.github.io/Logging_1781/klagomål/A 60714-2025 FSC-klagomål.docx", "A 60714-2025")</f>
        <v/>
      </c>
      <c r="AB24">
        <f>HYPERLINK("https://klasma.github.io/Logging_1781/klagomålsmail/A 60714-2025 FSC-klagomål mail.docx", "A 60714-2025")</f>
        <v/>
      </c>
      <c r="AC24">
        <f>HYPERLINK("https://klasma.github.io/Logging_1781/tillsyn/A 60714-2025 tillsynsbegäran.docx", "A 60714-2025")</f>
        <v/>
      </c>
      <c r="AD24">
        <f>HYPERLINK("https://klasma.github.io/Logging_1781/tillsynsmail/A 60714-2025 tillsynsbegäran mail.docx", "A 60714-2025")</f>
        <v/>
      </c>
    </row>
    <row r="25" ht="15" customHeight="1">
      <c r="A25" t="inlineStr">
        <is>
          <t>A 28394-2025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46302</v>
      </c>
      <c r="F25" t="inlineStr">
        <is>
          <t>VÄRMLANDS LÄN</t>
        </is>
      </c>
      <c r="G25" t="inlineStr">
        <is>
          <t>KRISTINEHAMN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vårtrattskivling</t>
        </is>
      </c>
      <c r="W25">
        <f>HYPERLINK("https://klasma.github.io/Logging_1781/artfynd/A 28394-2025 artfynd.xlsx", "A 28394-2025")</f>
        <v/>
      </c>
      <c r="X25">
        <f>HYPERLINK("https://klasma.github.io/Logging_1781/kartor/A 28394-2025 karta.png", "A 28394-2025")</f>
        <v/>
      </c>
      <c r="Y25">
        <f>HYPERLINK("https://klasma.github.io/Logging_1781/kartor_geotiff/A 28394-2025 georefererad karta.tif", "A 28394-2025")</f>
        <v/>
      </c>
      <c r="AA25">
        <f>HYPERLINK("https://klasma.github.io/Logging_1781/klagomål/A 28394-2025 FSC-klagomål.docx", "A 28394-2025")</f>
        <v/>
      </c>
      <c r="AB25">
        <f>HYPERLINK("https://klasma.github.io/Logging_1781/klagomålsmail/A 28394-2025 FSC-klagomål mail.docx", "A 28394-2025")</f>
        <v/>
      </c>
      <c r="AC25">
        <f>HYPERLINK("https://klasma.github.io/Logging_1781/tillsyn/A 28394-2025 tillsynsbegäran.docx", "A 28394-2025")</f>
        <v/>
      </c>
      <c r="AD25">
        <f>HYPERLINK("https://klasma.github.io/Logging_1781/tillsynsmail/A 28394-2025 tillsynsbegäran mail.docx", "A 28394-2025")</f>
        <v/>
      </c>
    </row>
    <row r="26" ht="15" customHeight="1">
      <c r="A26" t="inlineStr">
        <is>
          <t>A 14760-2026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46101</v>
      </c>
      <c r="E26" s="1" t="n">
        <v>46302</v>
      </c>
      <c r="F26" t="inlineStr">
        <is>
          <t>VÄRMLANDS LÄN</t>
        </is>
      </c>
      <c r="G26" t="inlineStr">
        <is>
          <t>KRISTINEHAMN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Fläcknycklar</t>
        </is>
      </c>
      <c r="W26">
        <f>HYPERLINK("https://klasma.github.io/Logging_1781/artfynd/A 14760-2026 artfynd.xlsx", "A 14760-2026")</f>
        <v/>
      </c>
      <c r="X26">
        <f>HYPERLINK("https://klasma.github.io/Logging_1781/kartor/A 14760-2026 karta.png", "A 14760-2026")</f>
        <v/>
      </c>
      <c r="Y26">
        <f>HYPERLINK("https://klasma.github.io/Logging_1781/kartor_geotiff/A 14760-2026 georefererad karta.tif", "A 14760-2026")</f>
        <v/>
      </c>
      <c r="AA26">
        <f>HYPERLINK("https://klasma.github.io/Logging_1781/klagomål/A 14760-2026 FSC-klagomål.docx", "A 14760-2026")</f>
        <v/>
      </c>
      <c r="AB26">
        <f>HYPERLINK("https://klasma.github.io/Logging_1781/klagomålsmail/A 14760-2026 FSC-klagomål mail.docx", "A 14760-2026")</f>
        <v/>
      </c>
      <c r="AC26">
        <f>HYPERLINK("https://klasma.github.io/Logging_1781/tillsyn/A 14760-2026 tillsynsbegäran.docx", "A 14760-2026")</f>
        <v/>
      </c>
      <c r="AD26">
        <f>HYPERLINK("https://klasma.github.io/Logging_1781/tillsynsmail/A 14760-2026 tillsynsbegäran mail.docx", "A 14760-2026")</f>
        <v/>
      </c>
    </row>
    <row r="27" ht="15" customHeight="1">
      <c r="A27" t="inlineStr">
        <is>
          <t>A 14762-2026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46101</v>
      </c>
      <c r="E27" s="1" t="n">
        <v>46302</v>
      </c>
      <c r="F27" t="inlineStr">
        <is>
          <t>VÄRMLANDS LÄN</t>
        </is>
      </c>
      <c r="G27" t="inlineStr">
        <is>
          <t>KRISTINEHAMN</t>
        </is>
      </c>
      <c r="H27" t="inlineStr">
        <is>
          <t>Sveaskog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Fläcknycklar</t>
        </is>
      </c>
      <c r="W27">
        <f>HYPERLINK("https://klasma.github.io/Logging_1781/artfynd/A 14762-2026 artfynd.xlsx", "A 14762-2026")</f>
        <v/>
      </c>
      <c r="X27">
        <f>HYPERLINK("https://klasma.github.io/Logging_1781/kartor/A 14762-2026 karta.png", "A 14762-2026")</f>
        <v/>
      </c>
      <c r="Y27">
        <f>HYPERLINK("https://klasma.github.io/Logging_1781/kartor_geotiff/A 14762-2026 georefererad karta.tif", "A 14762-2026")</f>
        <v/>
      </c>
      <c r="AA27">
        <f>HYPERLINK("https://klasma.github.io/Logging_1781/klagomål/A 14762-2026 FSC-klagomål.docx", "A 14762-2026")</f>
        <v/>
      </c>
      <c r="AB27">
        <f>HYPERLINK("https://klasma.github.io/Logging_1781/klagomålsmail/A 14762-2026 FSC-klagomål mail.docx", "A 14762-2026")</f>
        <v/>
      </c>
      <c r="AC27">
        <f>HYPERLINK("https://klasma.github.io/Logging_1781/tillsyn/A 14762-2026 tillsynsbegäran.docx", "A 14762-2026")</f>
        <v/>
      </c>
      <c r="AD27">
        <f>HYPERLINK("https://klasma.github.io/Logging_1781/tillsynsmail/A 14762-2026 tillsynsbegäran mail.docx", "A 14762-2026")</f>
        <v/>
      </c>
    </row>
    <row r="28" ht="15" customHeight="1">
      <c r="A28" t="inlineStr">
        <is>
          <t>A 8714-2024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45356</v>
      </c>
      <c r="E28" s="1" t="n">
        <v>46302</v>
      </c>
      <c r="F28" t="inlineStr">
        <is>
          <t>VÄRMLANDS LÄN</t>
        </is>
      </c>
      <c r="G28" t="inlineStr">
        <is>
          <t>KRISTINEHAMN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Bombmurkla</t>
        </is>
      </c>
      <c r="W28">
        <f>HYPERLINK("https://klasma.github.io/Logging_1781/artfynd/A 8714-2024 artfynd.xlsx", "A 8714-2024")</f>
        <v/>
      </c>
      <c r="X28">
        <f>HYPERLINK("https://klasma.github.io/Logging_1781/kartor/A 8714-2024 karta.png", "A 8714-2024")</f>
        <v/>
      </c>
      <c r="Y28">
        <f>HYPERLINK("https://klasma.github.io/Logging_1781/kartor_geotiff/A 8714-2024 georefererad karta.tif", "A 8714-2024")</f>
        <v/>
      </c>
      <c r="AA28">
        <f>HYPERLINK("https://klasma.github.io/Logging_1781/klagomål/A 8714-2024 FSC-klagomål.docx", "A 8714-2024")</f>
        <v/>
      </c>
      <c r="AB28">
        <f>HYPERLINK("https://klasma.github.io/Logging_1781/klagomålsmail/A 8714-2024 FSC-klagomål mail.docx", "A 8714-2024")</f>
        <v/>
      </c>
      <c r="AC28">
        <f>HYPERLINK("https://klasma.github.io/Logging_1781/tillsyn/A 8714-2024 tillsynsbegäran.docx", "A 8714-2024")</f>
        <v/>
      </c>
      <c r="AD28">
        <f>HYPERLINK("https://klasma.github.io/Logging_1781/tillsynsmail/A 8714-2024 tillsynsbegäran mail.docx", "A 8714-2024")</f>
        <v/>
      </c>
    </row>
    <row r="29" ht="15" customHeight="1">
      <c r="A29" t="inlineStr">
        <is>
          <t>A 53607-2025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46302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53607-2025 artfynd.xlsx", "A 53607-2025")</f>
        <v/>
      </c>
      <c r="X29">
        <f>HYPERLINK("https://klasma.github.io/Logging_1781/kartor/A 53607-2025 karta.png", "A 53607-2025")</f>
        <v/>
      </c>
      <c r="Y29">
        <f>HYPERLINK("https://klasma.github.io/Logging_1781/kartor_geotiff/A 53607-2025 georefererad karta.tif", "A 53607-2025")</f>
        <v/>
      </c>
      <c r="AA29">
        <f>HYPERLINK("https://klasma.github.io/Logging_1781/klagomål/A 53607-2025 FSC-klagomål.docx", "A 53607-2025")</f>
        <v/>
      </c>
      <c r="AB29">
        <f>HYPERLINK("https://klasma.github.io/Logging_1781/klagomålsmail/A 53607-2025 FSC-klagomål mail.docx", "A 53607-2025")</f>
        <v/>
      </c>
      <c r="AC29">
        <f>HYPERLINK("https://klasma.github.io/Logging_1781/tillsyn/A 53607-2025 tillsynsbegäran.docx", "A 53607-2025")</f>
        <v/>
      </c>
      <c r="AD29">
        <f>HYPERLINK("https://klasma.github.io/Logging_1781/tillsynsmail/A 53607-2025 tillsynsbegäran mail.docx", "A 53607-2025")</f>
        <v/>
      </c>
    </row>
    <row r="30" ht="15" customHeight="1">
      <c r="A30" t="inlineStr">
        <is>
          <t>A 53630-2025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46302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53630-2025 artfynd.xlsx", "A 53630-2025")</f>
        <v/>
      </c>
      <c r="X30">
        <f>HYPERLINK("https://klasma.github.io/Logging_1781/kartor/A 53630-2025 karta.png", "A 53630-2025")</f>
        <v/>
      </c>
      <c r="Y30">
        <f>HYPERLINK("https://klasma.github.io/Logging_1781/kartor_geotiff/A 53630-2025 georefererad karta.tif", "A 53630-2025")</f>
        <v/>
      </c>
      <c r="AA30">
        <f>HYPERLINK("https://klasma.github.io/Logging_1781/klagomål/A 53630-2025 FSC-klagomål.docx", "A 53630-2025")</f>
        <v/>
      </c>
      <c r="AB30">
        <f>HYPERLINK("https://klasma.github.io/Logging_1781/klagomålsmail/A 53630-2025 FSC-klagomål mail.docx", "A 53630-2025")</f>
        <v/>
      </c>
      <c r="AC30">
        <f>HYPERLINK("https://klasma.github.io/Logging_1781/tillsyn/A 53630-2025 tillsynsbegäran.docx", "A 53630-2025")</f>
        <v/>
      </c>
      <c r="AD30">
        <f>HYPERLINK("https://klasma.github.io/Logging_1781/tillsynsmail/A 53630-2025 tillsynsbegäran mail.docx", "A 53630-2025")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46302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46302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46302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46302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46302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46302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45122-2022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44843</v>
      </c>
      <c r="E37" s="1" t="n">
        <v>46302</v>
      </c>
      <c r="F37" t="inlineStr">
        <is>
          <t>VÄRMLANDS LÄN</t>
        </is>
      </c>
      <c r="G37" t="inlineStr">
        <is>
          <t>KRISTINEHAMN</t>
        </is>
      </c>
      <c r="I37" t="n">
        <v>3.3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Dvärglin</t>
        </is>
      </c>
      <c r="W37">
        <f>HYPERLINK("https://klasma.github.io/Logging_1781/artfynd/A 45122-2022 artfynd.xlsx", "A 45122-2022")</f>
        <v/>
      </c>
      <c r="X37">
        <f>HYPERLINK("https://klasma.github.io/Logging_1781/kartor/A 45122-2022 karta.png", "A 45122-2022")</f>
        <v/>
      </c>
      <c r="Y37">
        <f>HYPERLINK("https://klasma.github.io/Logging_1781/kartor_geotiff/A 45122-2022 georefererad karta.tif", "A 45122-2022")</f>
        <v/>
      </c>
      <c r="AA37">
        <f>HYPERLINK("https://klasma.github.io/Logging_1781/klagomål/A 45122-2022 FSC-klagomål.docx", "A 45122-2022")</f>
        <v/>
      </c>
      <c r="AB37">
        <f>HYPERLINK("https://klasma.github.io/Logging_1781/klagomålsmail/A 45122-2022 FSC-klagomål mail.docx", "A 45122-2022")</f>
        <v/>
      </c>
      <c r="AC37">
        <f>HYPERLINK("https://klasma.github.io/Logging_1781/tillsyn/A 45122-2022 tillsynsbegäran.docx", "A 45122-2022")</f>
        <v/>
      </c>
      <c r="AD37">
        <f>HYPERLINK("https://klasma.github.io/Logging_1781/tillsynsmail/A 45122-2022 tillsynsbegäran mail.docx", "A 45122-2022")</f>
        <v/>
      </c>
    </row>
    <row r="38" ht="15" customHeight="1">
      <c r="A38" t="inlineStr">
        <is>
          <t>A 2406-2025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46302</v>
      </c>
      <c r="F38" t="inlineStr">
        <is>
          <t>VÄRMLANDS LÄN</t>
        </is>
      </c>
      <c r="G38" t="inlineStr">
        <is>
          <t>KRISTINEHAMN</t>
        </is>
      </c>
      <c r="I38" t="n">
        <v>9.699999999999999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HYPERLINK("https://klasma.github.io/Logging_1781/artfynd/A 2406-2025 artfynd.xlsx", "A 2406-2025")</f>
        <v/>
      </c>
      <c r="X38">
        <f>HYPERLINK("https://klasma.github.io/Logging_1781/kartor/A 2406-2025 karta.png", "A 2406-2025")</f>
        <v/>
      </c>
      <c r="Y38">
        <f>HYPERLINK("https://klasma.github.io/Logging_1781/kartor_geotiff/A 2406-2025 georefererad karta.tif", "A 2406-2025")</f>
        <v/>
      </c>
      <c r="AA38">
        <f>HYPERLINK("https://klasma.github.io/Logging_1781/klagomål/A 2406-2025 FSC-klagomål.docx", "A 2406-2025")</f>
        <v/>
      </c>
      <c r="AB38">
        <f>HYPERLINK("https://klasma.github.io/Logging_1781/klagomålsmail/A 2406-2025 FSC-klagomål mail.docx", "A 2406-2025")</f>
        <v/>
      </c>
      <c r="AC38">
        <f>HYPERLINK("https://klasma.github.io/Logging_1781/tillsyn/A 2406-2025 tillsynsbegäran.docx", "A 2406-2025")</f>
        <v/>
      </c>
      <c r="AD38">
        <f>HYPERLINK("https://klasma.github.io/Logging_1781/tillsynsmail/A 2406-2025 tillsynsbegäran mail.docx", "A 2406-2025")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46302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46302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46302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46302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46302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46302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46302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46302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46302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46302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46302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46302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46302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46302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46302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46302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46302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46302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46302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46302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46302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46302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46302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46302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46302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46302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46302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46302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46302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46302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46302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46302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46302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46302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46302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46302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46302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46302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46302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46302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46302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46302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46302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46302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46302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46302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46302</v>
      </c>
      <c r="F87" t="inlineStr">
        <is>
          <t>VÄRMLANDS LÄN</t>
        </is>
      </c>
      <c r="G87" t="inlineStr">
        <is>
          <t>KRISTINEHAMN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46302</v>
      </c>
      <c r="F88" t="inlineStr">
        <is>
          <t>VÄRMLANDS LÄN</t>
        </is>
      </c>
      <c r="G88" t="inlineStr">
        <is>
          <t>KRISTINEHAMN</t>
        </is>
      </c>
      <c r="I88" t="n">
        <v>14.9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46302</v>
      </c>
      <c r="F89" t="inlineStr">
        <is>
          <t>VÄRMLANDS LÄN</t>
        </is>
      </c>
      <c r="G89" t="inlineStr">
        <is>
          <t>KRISTINEHAMN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46302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46302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46302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46302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46302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46302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46302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46302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46302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46302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46302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46302</v>
      </c>
      <c r="F101" t="inlineStr">
        <is>
          <t>VÄRMLANDS LÄN</t>
        </is>
      </c>
      <c r="G101" t="inlineStr">
        <is>
          <t>KRISTINEHAMN</t>
        </is>
      </c>
      <c r="I101" t="n">
        <v>10.4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46302</v>
      </c>
      <c r="F102" t="inlineStr">
        <is>
          <t>VÄRMLANDS LÄN</t>
        </is>
      </c>
      <c r="G102" t="inlineStr">
        <is>
          <t>KRISTINEHAMN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46302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46302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46302</v>
      </c>
      <c r="F105" t="inlineStr">
        <is>
          <t>VÄRMLANDS LÄN</t>
        </is>
      </c>
      <c r="G105" t="inlineStr">
        <is>
          <t>KRISTINEHAMN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46302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46302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45662</v>
      </c>
      <c r="E108" s="1" t="n">
        <v>46302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46302</v>
      </c>
      <c r="F109" t="inlineStr">
        <is>
          <t>VÄRMLANDS LÄN</t>
        </is>
      </c>
      <c r="G109" t="inlineStr">
        <is>
          <t>KRISTINEHAMN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46302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46302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46302</v>
      </c>
      <c r="F112" t="inlineStr">
        <is>
          <t>VÄRMLANDS LÄN</t>
        </is>
      </c>
      <c r="G112" t="inlineStr">
        <is>
          <t>KRISTINEHAMN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46302</v>
      </c>
      <c r="F113" t="inlineStr">
        <is>
          <t>VÄRMLANDS LÄN</t>
        </is>
      </c>
      <c r="G113" t="inlineStr">
        <is>
          <t>KRISTINEHAMN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46302</v>
      </c>
      <c r="F114" t="inlineStr">
        <is>
          <t>VÄRMLANDS LÄN</t>
        </is>
      </c>
      <c r="G114" t="inlineStr">
        <is>
          <t>KRISTINEHAMN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46302</v>
      </c>
      <c r="F115" t="inlineStr">
        <is>
          <t>VÄRMLANDS LÄN</t>
        </is>
      </c>
      <c r="G115" t="inlineStr">
        <is>
          <t>KRISTINEHAMN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46302</v>
      </c>
      <c r="F116" t="inlineStr">
        <is>
          <t>VÄRMLANDS LÄN</t>
        </is>
      </c>
      <c r="G116" t="inlineStr">
        <is>
          <t>KRISTINEHAMN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45802</v>
      </c>
      <c r="E117" s="1" t="n">
        <v>46302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Naturvårdsverket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44812</v>
      </c>
      <c r="E118" s="1" t="n">
        <v>46302</v>
      </c>
      <c r="F118" t="inlineStr">
        <is>
          <t>VÄRMLANDS LÄN</t>
        </is>
      </c>
      <c r="G118" t="inlineStr">
        <is>
          <t>KRISTINEHAMN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46302</v>
      </c>
      <c r="F119" t="inlineStr">
        <is>
          <t>VÄRMLANDS LÄN</t>
        </is>
      </c>
      <c r="G119" t="inlineStr">
        <is>
          <t>KRISTINEHAMN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46302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46302</v>
      </c>
      <c r="F121" t="inlineStr">
        <is>
          <t>VÄRMLANDS LÄN</t>
        </is>
      </c>
      <c r="G121" t="inlineStr">
        <is>
          <t>KRISTINEHAMN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46302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46302</v>
      </c>
      <c r="F123" t="inlineStr">
        <is>
          <t>VÄRMLANDS LÄN</t>
        </is>
      </c>
      <c r="G123" t="inlineStr">
        <is>
          <t>KRISTINEHAMN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44497</v>
      </c>
      <c r="E124" s="1" t="n">
        <v>46302</v>
      </c>
      <c r="F124" t="inlineStr">
        <is>
          <t>VÄRMLANDS LÄN</t>
        </is>
      </c>
      <c r="G124" t="inlineStr">
        <is>
          <t>KRISTINEHAMN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46302</v>
      </c>
      <c r="F125" t="inlineStr">
        <is>
          <t>VÄRMLANDS LÄN</t>
        </is>
      </c>
      <c r="G125" t="inlineStr">
        <is>
          <t>KRISTINEHAMN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46302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46302</v>
      </c>
      <c r="F127" t="inlineStr">
        <is>
          <t>VÄRMLANDS LÄN</t>
        </is>
      </c>
      <c r="G127" t="inlineStr">
        <is>
          <t>KRISTINEHAMN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46302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46302</v>
      </c>
      <c r="F129" t="inlineStr">
        <is>
          <t>VÄRMLANDS LÄN</t>
        </is>
      </c>
      <c r="G129" t="inlineStr">
        <is>
          <t>KRISTINEHAMN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46302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46302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46302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45477</v>
      </c>
      <c r="E133" s="1" t="n">
        <v>46302</v>
      </c>
      <c r="F133" t="inlineStr">
        <is>
          <t>VÄRMLANDS LÄN</t>
        </is>
      </c>
      <c r="G133" t="inlineStr">
        <is>
          <t>KRISTINEHAMN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46049</v>
      </c>
      <c r="E134" s="1" t="n">
        <v>46302</v>
      </c>
      <c r="F134" t="inlineStr">
        <is>
          <t>VÄRMLANDS LÄN</t>
        </is>
      </c>
      <c r="G134" t="inlineStr">
        <is>
          <t>KRISTINEHAMN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46302</v>
      </c>
      <c r="F135" t="inlineStr">
        <is>
          <t>VÄRMLANDS LÄN</t>
        </is>
      </c>
      <c r="G135" t="inlineStr">
        <is>
          <t>KRISTINEHAMN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46302</v>
      </c>
      <c r="F136" t="inlineStr">
        <is>
          <t>VÄRMLANDS LÄN</t>
        </is>
      </c>
      <c r="G136" t="inlineStr">
        <is>
          <t>KRISTINEHAMN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46302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46302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6259-2026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46051</v>
      </c>
      <c r="E139" s="1" t="n">
        <v>46302</v>
      </c>
      <c r="F139" t="inlineStr">
        <is>
          <t>VÄRMLANDS LÄN</t>
        </is>
      </c>
      <c r="G139" t="inlineStr">
        <is>
          <t>KRISTINEHAMN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46302</v>
      </c>
      <c r="F140" t="inlineStr">
        <is>
          <t>VÄRMLANDS LÄN</t>
        </is>
      </c>
      <c r="G140" t="inlineStr">
        <is>
          <t>KRISTINEHAMN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46302</v>
      </c>
      <c r="F141" t="inlineStr">
        <is>
          <t>VÄRMLANDS LÄN</t>
        </is>
      </c>
      <c r="G141" t="inlineStr">
        <is>
          <t>KRISTINEHAMN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46302</v>
      </c>
      <c r="F142" t="inlineStr">
        <is>
          <t>VÄRMLANDS LÄN</t>
        </is>
      </c>
      <c r="G142" t="inlineStr">
        <is>
          <t>KRISTINEHAMN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46302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27525-2022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46302</v>
      </c>
      <c r="F144" t="inlineStr">
        <is>
          <t>VÄRMLANDS LÄN</t>
        </is>
      </c>
      <c r="G144" t="inlineStr">
        <is>
          <t>KRISTINEHAMN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46302</v>
      </c>
      <c r="F145" t="inlineStr">
        <is>
          <t>VÄRMLANDS LÄN</t>
        </is>
      </c>
      <c r="G145" t="inlineStr">
        <is>
          <t>KRISTINEHAMN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46302</v>
      </c>
      <c r="F146" t="inlineStr">
        <is>
          <t>VÄRMLANDS LÄN</t>
        </is>
      </c>
      <c r="G146" t="inlineStr">
        <is>
          <t>KRISTINEHAMN</t>
        </is>
      </c>
      <c r="I146" t="n">
        <v>10.1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46302</v>
      </c>
      <c r="F147" t="inlineStr">
        <is>
          <t>VÄRMLANDS LÄN</t>
        </is>
      </c>
      <c r="G147" t="inlineStr">
        <is>
          <t>KRISTINEHAMN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46302</v>
      </c>
      <c r="F148" t="inlineStr">
        <is>
          <t>VÄRMLANDS LÄN</t>
        </is>
      </c>
      <c r="G148" t="inlineStr">
        <is>
          <t>KRISTINEHAMN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46302</v>
      </c>
      <c r="F149" t="inlineStr">
        <is>
          <t>VÄRMLANDS LÄN</t>
        </is>
      </c>
      <c r="G149" t="inlineStr">
        <is>
          <t>KRISTINEHAMN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46302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46302</v>
      </c>
      <c r="F151" t="inlineStr">
        <is>
          <t>VÄRMLANDS LÄN</t>
        </is>
      </c>
      <c r="G151" t="inlineStr">
        <is>
          <t>KRISTINEHAMN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46302</v>
      </c>
      <c r="F152" t="inlineStr">
        <is>
          <t>VÄRMLANDS LÄN</t>
        </is>
      </c>
      <c r="G152" t="inlineStr">
        <is>
          <t>KRISTINEHAMN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46302</v>
      </c>
      <c r="F153" t="inlineStr">
        <is>
          <t>VÄRMLANDS LÄN</t>
        </is>
      </c>
      <c r="G153" t="inlineStr">
        <is>
          <t>KRISTINEHAMN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46302</v>
      </c>
      <c r="F154" t="inlineStr">
        <is>
          <t>VÄRMLANDS LÄN</t>
        </is>
      </c>
      <c r="G154" t="inlineStr">
        <is>
          <t>KRISTINEHAMN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46302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46302</v>
      </c>
      <c r="F156" t="inlineStr">
        <is>
          <t>VÄRMLANDS LÄN</t>
        </is>
      </c>
      <c r="G156" t="inlineStr">
        <is>
          <t>KRISTINEHAMN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12261-2024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46302</v>
      </c>
      <c r="F157" t="inlineStr">
        <is>
          <t>VÄRMLANDS LÄN</t>
        </is>
      </c>
      <c r="G157" t="inlineStr">
        <is>
          <t>KRISTINEHAMN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46302</v>
      </c>
      <c r="F158" t="inlineStr">
        <is>
          <t>VÄRMLANDS LÄN</t>
        </is>
      </c>
      <c r="G158" t="inlineStr">
        <is>
          <t>KRISTINEHAMN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46083</v>
      </c>
      <c r="E159" s="1" t="n">
        <v>46302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Bergvik skog väst AB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46302</v>
      </c>
      <c r="F160" t="inlineStr">
        <is>
          <t>VÄRMLANDS LÄN</t>
        </is>
      </c>
      <c r="G160" t="inlineStr">
        <is>
          <t>KRISTINEHAMN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46302</v>
      </c>
      <c r="F161" t="inlineStr">
        <is>
          <t>VÄRMLANDS LÄN</t>
        </is>
      </c>
      <c r="G161" t="inlineStr">
        <is>
          <t>KRISTINEHAMN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46302</v>
      </c>
      <c r="F162" t="inlineStr">
        <is>
          <t>VÄRMLANDS LÄN</t>
        </is>
      </c>
      <c r="G162" t="inlineStr">
        <is>
          <t>KRISTINEHAMN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46302</v>
      </c>
      <c r="F163" t="inlineStr">
        <is>
          <t>VÄRMLANDS LÄN</t>
        </is>
      </c>
      <c r="G163" t="inlineStr">
        <is>
          <t>KRISTINEHAMN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46302</v>
      </c>
      <c r="F164" t="inlineStr">
        <is>
          <t>VÄRMLANDS LÄN</t>
        </is>
      </c>
      <c r="G164" t="inlineStr">
        <is>
          <t>KRISTINEHAMN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46302</v>
      </c>
      <c r="F165" t="inlineStr">
        <is>
          <t>VÄRMLANDS LÄN</t>
        </is>
      </c>
      <c r="G165" t="inlineStr">
        <is>
          <t>KRISTINEHAMN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46302</v>
      </c>
      <c r="F166" t="inlineStr">
        <is>
          <t>VÄRMLANDS LÄN</t>
        </is>
      </c>
      <c r="G166" t="inlineStr">
        <is>
          <t>KRISTINEHAMN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45833</v>
      </c>
      <c r="E167" s="1" t="n">
        <v>46302</v>
      </c>
      <c r="F167" t="inlineStr">
        <is>
          <t>VÄRMLANDS LÄN</t>
        </is>
      </c>
      <c r="G167" t="inlineStr">
        <is>
          <t>KRISTINEHAMN</t>
        </is>
      </c>
      <c r="I167" t="n">
        <v>20.1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12934-2026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46092</v>
      </c>
      <c r="E168" s="1" t="n">
        <v>46302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46302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46092</v>
      </c>
      <c r="E170" s="1" t="n">
        <v>46302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46302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46302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Sveaskog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46302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46302</v>
      </c>
      <c r="F174" t="inlineStr">
        <is>
          <t>VÄRMLANDS LÄN</t>
        </is>
      </c>
      <c r="G174" t="inlineStr">
        <is>
          <t>KRISTINEHAMN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46302</v>
      </c>
      <c r="F175" t="inlineStr">
        <is>
          <t>VÄRMLANDS LÄN</t>
        </is>
      </c>
      <c r="G175" t="inlineStr">
        <is>
          <t>KRISTINEHAMN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46302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46302</v>
      </c>
      <c r="F177" t="inlineStr">
        <is>
          <t>VÄRMLANDS LÄN</t>
        </is>
      </c>
      <c r="G177" t="inlineStr">
        <is>
          <t>KRISTINEHAMN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45167</v>
      </c>
      <c r="E178" s="1" t="n">
        <v>46302</v>
      </c>
      <c r="F178" t="inlineStr">
        <is>
          <t>VÄRMLANDS LÄN</t>
        </is>
      </c>
      <c r="G178" t="inlineStr">
        <is>
          <t>KRISTINEHAMN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46302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46302</v>
      </c>
      <c r="F180" t="inlineStr">
        <is>
          <t>VÄRMLANDS LÄN</t>
        </is>
      </c>
      <c r="G180" t="inlineStr">
        <is>
          <t>KRISTINEHAMN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46302</v>
      </c>
      <c r="F181" t="inlineStr">
        <is>
          <t>VÄRMLANDS LÄN</t>
        </is>
      </c>
      <c r="G181" t="inlineStr">
        <is>
          <t>KRISTINEHAMN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46302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46302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46302</v>
      </c>
      <c r="F184" t="inlineStr">
        <is>
          <t>VÄRMLANDS LÄN</t>
        </is>
      </c>
      <c r="G184" t="inlineStr">
        <is>
          <t>KRISTINEHAMN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46302</v>
      </c>
      <c r="F185" t="inlineStr">
        <is>
          <t>VÄRMLANDS LÄN</t>
        </is>
      </c>
      <c r="G185" t="inlineStr">
        <is>
          <t>KRISTINEHAMN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46302</v>
      </c>
      <c r="F186" t="inlineStr">
        <is>
          <t>VÄRMLANDS LÄN</t>
        </is>
      </c>
      <c r="G186" t="inlineStr">
        <is>
          <t>KRISTINEHAMN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44734</v>
      </c>
      <c r="E187" s="1" t="n">
        <v>46302</v>
      </c>
      <c r="F187" t="inlineStr">
        <is>
          <t>VÄRMLANDS LÄN</t>
        </is>
      </c>
      <c r="G187" t="inlineStr">
        <is>
          <t>KRISTINEHAMN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15646-2026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46106</v>
      </c>
      <c r="E188" s="1" t="n">
        <v>46302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45313</v>
      </c>
      <c r="E189" s="1" t="n">
        <v>46302</v>
      </c>
      <c r="F189" t="inlineStr">
        <is>
          <t>VÄRMLANDS LÄN</t>
        </is>
      </c>
      <c r="G189" t="inlineStr">
        <is>
          <t>KRISTINEHAMN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45647</v>
      </c>
      <c r="E190" s="1" t="n">
        <v>46302</v>
      </c>
      <c r="F190" t="inlineStr">
        <is>
          <t>VÄRMLANDS LÄN</t>
        </is>
      </c>
      <c r="G190" t="inlineStr">
        <is>
          <t>KRISTINEHAMN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46107</v>
      </c>
      <c r="E191" s="1" t="n">
        <v>46302</v>
      </c>
      <c r="F191" t="inlineStr">
        <is>
          <t>VÄRMLANDS LÄN</t>
        </is>
      </c>
      <c r="G191" t="inlineStr">
        <is>
          <t>KRISTINEHAMN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46302</v>
      </c>
      <c r="F192" t="inlineStr">
        <is>
          <t>VÄRMLANDS LÄN</t>
        </is>
      </c>
      <c r="G192" t="inlineStr">
        <is>
          <t>KRISTINEHAMN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46302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45782</v>
      </c>
      <c r="E194" s="1" t="n">
        <v>46302</v>
      </c>
      <c r="F194" t="inlineStr">
        <is>
          <t>VÄRMLANDS LÄN</t>
        </is>
      </c>
      <c r="G194" t="inlineStr">
        <is>
          <t>KRISTINEHAMN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46302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46302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46302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46302</v>
      </c>
      <c r="F198" t="inlineStr">
        <is>
          <t>VÄRMLANDS LÄN</t>
        </is>
      </c>
      <c r="G198" t="inlineStr">
        <is>
          <t>KRISTINEHAMN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46302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46302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45112</v>
      </c>
      <c r="E201" s="1" t="n">
        <v>46302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45876</v>
      </c>
      <c r="E202" s="1" t="n">
        <v>46302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46302</v>
      </c>
      <c r="F203" t="inlineStr">
        <is>
          <t>VÄRMLANDS LÄN</t>
        </is>
      </c>
      <c r="G203" t="inlineStr">
        <is>
          <t>KRISTINEHAMN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45876</v>
      </c>
      <c r="E204" s="1" t="n">
        <v>46302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13459-2024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45387</v>
      </c>
      <c r="E205" s="1" t="n">
        <v>46302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Naturvårdsverket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45770</v>
      </c>
      <c r="E206" s="1" t="n">
        <v>46302</v>
      </c>
      <c r="F206" t="inlineStr">
        <is>
          <t>VÄRMLANDS LÄN</t>
        </is>
      </c>
      <c r="G206" t="inlineStr">
        <is>
          <t>KRISTINEHAMN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18902-2026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46129</v>
      </c>
      <c r="E207" s="1" t="n">
        <v>46302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46129</v>
      </c>
      <c r="E208" s="1" t="n">
        <v>46302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45112</v>
      </c>
      <c r="E209" s="1" t="n">
        <v>46302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46132</v>
      </c>
      <c r="E210" s="1" t="n">
        <v>46302</v>
      </c>
      <c r="F210" t="inlineStr">
        <is>
          <t>VÄRMLANDS LÄN</t>
        </is>
      </c>
      <c r="G210" t="inlineStr">
        <is>
          <t>KRISTINEHAMN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46302</v>
      </c>
      <c r="F211" t="inlineStr">
        <is>
          <t>VÄRMLANDS LÄN</t>
        </is>
      </c>
      <c r="G211" t="inlineStr">
        <is>
          <t>KRISTINEHAMN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46302</v>
      </c>
      <c r="F212" t="inlineStr">
        <is>
          <t>VÄRMLANDS LÄN</t>
        </is>
      </c>
      <c r="G212" t="inlineStr">
        <is>
          <t>KRISTINEHAMN</t>
        </is>
      </c>
      <c r="I212" t="n">
        <v>19.4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45974</v>
      </c>
      <c r="E213" s="1" t="n">
        <v>46302</v>
      </c>
      <c r="F213" t="inlineStr">
        <is>
          <t>VÄRMLANDS LÄN</t>
        </is>
      </c>
      <c r="G213" t="inlineStr">
        <is>
          <t>KRISTINEHAMN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46302</v>
      </c>
      <c r="F214" t="inlineStr">
        <is>
          <t>VÄRMLANDS LÄN</t>
        </is>
      </c>
      <c r="G214" t="inlineStr">
        <is>
          <t>KRISTINEHAMN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46302</v>
      </c>
      <c r="F215" t="inlineStr">
        <is>
          <t>VÄRMLANDS LÄN</t>
        </is>
      </c>
      <c r="G215" t="inlineStr">
        <is>
          <t>KRISTINEHAMN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14772-2022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44656</v>
      </c>
      <c r="E216" s="1" t="n">
        <v>46302</v>
      </c>
      <c r="F216" t="inlineStr">
        <is>
          <t>VÄRMLANDS LÄN</t>
        </is>
      </c>
      <c r="G216" t="inlineStr">
        <is>
          <t>KRISTINEHAMN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47770-2023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45203</v>
      </c>
      <c r="E217" s="1" t="n">
        <v>46302</v>
      </c>
      <c r="F217" t="inlineStr">
        <is>
          <t>VÄRMLANDS LÄN</t>
        </is>
      </c>
      <c r="G217" t="inlineStr">
        <is>
          <t>KRISTINEHAMN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46302</v>
      </c>
      <c r="F218" t="inlineStr">
        <is>
          <t>VÄRMLANDS LÄN</t>
        </is>
      </c>
      <c r="G218" t="inlineStr">
        <is>
          <t>KRISTINEHAMN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46302</v>
      </c>
      <c r="F219" t="inlineStr">
        <is>
          <t>VÄRMLANDS LÄN</t>
        </is>
      </c>
      <c r="G219" t="inlineStr">
        <is>
          <t>KRISTINEHAMN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46302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Naturvårdsverket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46302</v>
      </c>
      <c r="F221" t="inlineStr">
        <is>
          <t>VÄRMLANDS LÄN</t>
        </is>
      </c>
      <c r="G221" t="inlineStr">
        <is>
          <t>KRISTINEHAMN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46302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46302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45887</v>
      </c>
      <c r="E224" s="1" t="n">
        <v>46302</v>
      </c>
      <c r="F224" t="inlineStr">
        <is>
          <t>VÄRMLANDS LÄN</t>
        </is>
      </c>
      <c r="G224" t="inlineStr">
        <is>
          <t>KRISTINEHAMN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46302</v>
      </c>
      <c r="F225" t="inlineStr">
        <is>
          <t>VÄRMLANDS LÄN</t>
        </is>
      </c>
      <c r="G225" t="inlineStr">
        <is>
          <t>KRISTINEHAMN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46302</v>
      </c>
      <c r="F226" t="inlineStr">
        <is>
          <t>VÄRMLANDS LÄN</t>
        </is>
      </c>
      <c r="G226" t="inlineStr">
        <is>
          <t>KRISTINEHAMN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46302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46302</v>
      </c>
      <c r="F228" t="inlineStr">
        <is>
          <t>VÄRMLANDS LÄN</t>
        </is>
      </c>
      <c r="G228" t="inlineStr">
        <is>
          <t>KRISTINEHAMN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46302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46302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46302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46302</v>
      </c>
      <c r="F232" t="inlineStr">
        <is>
          <t>VÄRMLANDS LÄN</t>
        </is>
      </c>
      <c r="G232" t="inlineStr">
        <is>
          <t>KRISTINEHAMN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46302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46302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46302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46302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46003</v>
      </c>
      <c r="E237" s="1" t="n">
        <v>46302</v>
      </c>
      <c r="F237" t="inlineStr">
        <is>
          <t>VÄRMLANDS LÄN</t>
        </is>
      </c>
      <c r="G237" t="inlineStr">
        <is>
          <t>KRISTINEHAMN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46302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46302</v>
      </c>
      <c r="F239" t="inlineStr">
        <is>
          <t>VÄRMLANDS LÄN</t>
        </is>
      </c>
      <c r="G239" t="inlineStr">
        <is>
          <t>KRISTINEHAMN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46302</v>
      </c>
      <c r="F240" t="inlineStr">
        <is>
          <t>VÄRMLANDS LÄN</t>
        </is>
      </c>
      <c r="G240" t="inlineStr">
        <is>
          <t>KRISTINEHAMN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46302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Naturvårdsverket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46302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46302</v>
      </c>
      <c r="F243" t="inlineStr">
        <is>
          <t>VÄRMLANDS LÄN</t>
        </is>
      </c>
      <c r="G243" t="inlineStr">
        <is>
          <t>KRISTINEHAMN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46302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20570-2026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46140</v>
      </c>
      <c r="E245" s="1" t="n">
        <v>46302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45127</v>
      </c>
      <c r="E246" s="1" t="n">
        <v>46302</v>
      </c>
      <c r="F246" t="inlineStr">
        <is>
          <t>VÄRMLANDS LÄN</t>
        </is>
      </c>
      <c r="G246" t="inlineStr">
        <is>
          <t>KRISTINEHAMN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46302</v>
      </c>
      <c r="F247" t="inlineStr">
        <is>
          <t>VÄRMLANDS LÄN</t>
        </is>
      </c>
      <c r="G247" t="inlineStr">
        <is>
          <t>KRISTINEHAMN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46302</v>
      </c>
      <c r="F248" t="inlineStr">
        <is>
          <t>VÄRMLANDS LÄN</t>
        </is>
      </c>
      <c r="G248" t="inlineStr">
        <is>
          <t>KRISTINEHAMN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46302</v>
      </c>
      <c r="F249" t="inlineStr">
        <is>
          <t>VÄRMLANDS LÄN</t>
        </is>
      </c>
      <c r="G249" t="inlineStr">
        <is>
          <t>KRISTINEHAMN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46302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46302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22060-2026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46149</v>
      </c>
      <c r="E252" s="1" t="n">
        <v>46302</v>
      </c>
      <c r="F252" t="inlineStr">
        <is>
          <t>VÄRMLANDS LÄN</t>
        </is>
      </c>
      <c r="G252" t="inlineStr">
        <is>
          <t>KRISTINEHAMN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46302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46302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45366</v>
      </c>
      <c r="E255" s="1" t="n">
        <v>46302</v>
      </c>
      <c r="F255" t="inlineStr">
        <is>
          <t>VÄRMLANDS LÄN</t>
        </is>
      </c>
      <c r="G255" t="inlineStr">
        <is>
          <t>KRISTINEHAMN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46154</v>
      </c>
      <c r="E256" s="1" t="n">
        <v>46302</v>
      </c>
      <c r="F256" t="inlineStr">
        <is>
          <t>VÄRMLANDS LÄN</t>
        </is>
      </c>
      <c r="G256" t="inlineStr">
        <is>
          <t>KRISTINEHAMN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46302</v>
      </c>
      <c r="F257" t="inlineStr">
        <is>
          <t>VÄRMLANDS LÄN</t>
        </is>
      </c>
      <c r="G257" t="inlineStr">
        <is>
          <t>KRISTINEHAMN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45569</v>
      </c>
      <c r="E258" s="1" t="n">
        <v>46302</v>
      </c>
      <c r="F258" t="inlineStr">
        <is>
          <t>VÄRMLANDS LÄN</t>
        </is>
      </c>
      <c r="G258" t="inlineStr">
        <is>
          <t>KRISTINEHAMN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46302</v>
      </c>
      <c r="F259" t="inlineStr">
        <is>
          <t>VÄRMLANDS LÄN</t>
        </is>
      </c>
      <c r="G259" t="inlineStr">
        <is>
          <t>KRISTINEHAMN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45341</v>
      </c>
      <c r="E260" s="1" t="n">
        <v>46302</v>
      </c>
      <c r="F260" t="inlineStr">
        <is>
          <t>VÄRMLANDS LÄN</t>
        </is>
      </c>
      <c r="G260" t="inlineStr">
        <is>
          <t>KRISTINEHAMN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23147-2026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46161</v>
      </c>
      <c r="E261" s="1" t="n">
        <v>46302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13505-2022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44648</v>
      </c>
      <c r="E262" s="1" t="n">
        <v>46302</v>
      </c>
      <c r="F262" t="inlineStr">
        <is>
          <t>VÄRMLANDS LÄN</t>
        </is>
      </c>
      <c r="G262" t="inlineStr">
        <is>
          <t>KRISTINEHAMN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46302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24570-2026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46170</v>
      </c>
      <c r="E264" s="1" t="n">
        <v>46302</v>
      </c>
      <c r="F264" t="inlineStr">
        <is>
          <t>VÄRMLANDS LÄN</t>
        </is>
      </c>
      <c r="G264" t="inlineStr">
        <is>
          <t>KRISTINEHAMN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46302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45681</v>
      </c>
      <c r="E266" s="1" t="n">
        <v>46302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25258-2026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46175</v>
      </c>
      <c r="E267" s="1" t="n">
        <v>46302</v>
      </c>
      <c r="F267" t="inlineStr">
        <is>
          <t>VÄRMLANDS LÄN</t>
        </is>
      </c>
      <c r="G267" t="inlineStr">
        <is>
          <t>KRISTINEHAMN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46302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Naturvårdsverket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46302</v>
      </c>
      <c r="F269" t="inlineStr">
        <is>
          <t>VÄRMLANDS LÄN</t>
        </is>
      </c>
      <c r="G269" t="inlineStr">
        <is>
          <t>KRISTINEHAMN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46302</v>
      </c>
      <c r="F270" t="inlineStr">
        <is>
          <t>VÄRMLANDS LÄN</t>
        </is>
      </c>
      <c r="G270" t="inlineStr">
        <is>
          <t>KRISTINEHAMN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2522-2026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46037</v>
      </c>
      <c r="E271" s="1" t="n">
        <v>46302</v>
      </c>
      <c r="F271" t="inlineStr">
        <is>
          <t>VÄRMLANDS LÄN</t>
        </is>
      </c>
      <c r="G271" t="inlineStr">
        <is>
          <t>KRISTINEHAMN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45361</v>
      </c>
      <c r="E272" s="1" t="n">
        <v>46302</v>
      </c>
      <c r="F272" t="inlineStr">
        <is>
          <t>VÄRMLANDS LÄN</t>
        </is>
      </c>
      <c r="G272" t="inlineStr">
        <is>
          <t>KRISTINEHAMN</t>
        </is>
      </c>
      <c r="I272" t="n">
        <v>8.9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46302</v>
      </c>
      <c r="F273" t="inlineStr">
        <is>
          <t>VÄRMLANDS LÄN</t>
        </is>
      </c>
      <c r="G273" t="inlineStr">
        <is>
          <t>KRISTINEHAMN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46302</v>
      </c>
      <c r="F274" t="inlineStr">
        <is>
          <t>VÄRMLANDS LÄN</t>
        </is>
      </c>
      <c r="G274" t="inlineStr">
        <is>
          <t>KRISTINEHAMN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27961-2023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46302</v>
      </c>
      <c r="F275" t="inlineStr">
        <is>
          <t>VÄRMLANDS LÄN</t>
        </is>
      </c>
      <c r="G275" t="inlineStr">
        <is>
          <t>KRISTINEHAMN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46302</v>
      </c>
      <c r="F276" t="inlineStr">
        <is>
          <t>VÄRMLANDS LÄN</t>
        </is>
      </c>
      <c r="G276" t="inlineStr">
        <is>
          <t>KRISTINEHAMN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45679</v>
      </c>
      <c r="E277" s="1" t="n">
        <v>46302</v>
      </c>
      <c r="F277" t="inlineStr">
        <is>
          <t>VÄRMLANDS LÄN</t>
        </is>
      </c>
      <c r="G277" t="inlineStr">
        <is>
          <t>KRISTINEHAMN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45450</v>
      </c>
      <c r="E278" s="1" t="n">
        <v>46302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68526-2021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44526</v>
      </c>
      <c r="E279" s="1" t="n">
        <v>46302</v>
      </c>
      <c r="F279" t="inlineStr">
        <is>
          <t>VÄRMLANDS LÄN</t>
        </is>
      </c>
      <c r="G279" t="inlineStr">
        <is>
          <t>KRISTINEHAMN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44526</v>
      </c>
      <c r="E280" s="1" t="n">
        <v>46302</v>
      </c>
      <c r="F280" t="inlineStr">
        <is>
          <t>VÄRMLANDS LÄN</t>
        </is>
      </c>
      <c r="G280" t="inlineStr">
        <is>
          <t>KRISTINEHAMN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46302</v>
      </c>
      <c r="F281" t="inlineStr">
        <is>
          <t>VÄRMLANDS LÄN</t>
        </is>
      </c>
      <c r="G281" t="inlineStr">
        <is>
          <t>KRISTINEHAMN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46302</v>
      </c>
      <c r="F282" t="inlineStr">
        <is>
          <t>VÄRMLANDS LÄN</t>
        </is>
      </c>
      <c r="G282" t="inlineStr">
        <is>
          <t>KRISTINEHAMN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46302</v>
      </c>
      <c r="F283" t="inlineStr">
        <is>
          <t>VÄRMLANDS LÄN</t>
        </is>
      </c>
      <c r="G283" t="inlineStr">
        <is>
          <t>KRISTINEHAMN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45631</v>
      </c>
      <c r="E284" s="1" t="n">
        <v>46302</v>
      </c>
      <c r="F284" t="inlineStr">
        <is>
          <t>VÄRMLANDS LÄN</t>
        </is>
      </c>
      <c r="G284" t="inlineStr">
        <is>
          <t>KRISTINEHAMN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44753</v>
      </c>
      <c r="E285" s="1" t="n">
        <v>46302</v>
      </c>
      <c r="F285" t="inlineStr">
        <is>
          <t>VÄRMLANDS LÄN</t>
        </is>
      </c>
      <c r="G285" t="inlineStr">
        <is>
          <t>KRISTINEHAMN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45477</v>
      </c>
      <c r="E286" s="1" t="n">
        <v>46302</v>
      </c>
      <c r="F286" t="inlineStr">
        <is>
          <t>VÄRMLANDS LÄN</t>
        </is>
      </c>
      <c r="G286" t="inlineStr">
        <is>
          <t>KRISTINEHAMN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44923</v>
      </c>
      <c r="E287" s="1" t="n">
        <v>46302</v>
      </c>
      <c r="F287" t="inlineStr">
        <is>
          <t>VÄRMLANDS LÄN</t>
        </is>
      </c>
      <c r="G287" t="inlineStr">
        <is>
          <t>KRISTINEHAMN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46302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46302</v>
      </c>
      <c r="F289" t="inlineStr">
        <is>
          <t>VÄRMLANDS LÄN</t>
        </is>
      </c>
      <c r="G289" t="inlineStr">
        <is>
          <t>KRISTINEHAMN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45359</v>
      </c>
      <c r="E290" s="1" t="n">
        <v>46302</v>
      </c>
      <c r="F290" t="inlineStr">
        <is>
          <t>VÄRMLANDS LÄN</t>
        </is>
      </c>
      <c r="G290" t="inlineStr">
        <is>
          <t>KRISTINEHAMN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45625</v>
      </c>
      <c r="E291" s="1" t="n">
        <v>46302</v>
      </c>
      <c r="F291" t="inlineStr">
        <is>
          <t>VÄRMLANDS LÄN</t>
        </is>
      </c>
      <c r="G291" t="inlineStr">
        <is>
          <t>KRISTINEHAMN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46302</v>
      </c>
      <c r="F292" t="inlineStr">
        <is>
          <t>VÄRMLANDS LÄN</t>
        </is>
      </c>
      <c r="G292" t="inlineStr">
        <is>
          <t>KRISTINEHAMN</t>
        </is>
      </c>
      <c r="I292" t="n">
        <v>8.4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46302</v>
      </c>
      <c r="F293" t="inlineStr">
        <is>
          <t>VÄRMLANDS LÄN</t>
        </is>
      </c>
      <c r="G293" t="inlineStr">
        <is>
          <t>KRISTINEHAMN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46302</v>
      </c>
      <c r="F294" t="inlineStr">
        <is>
          <t>VÄRMLANDS LÄN</t>
        </is>
      </c>
      <c r="G294" t="inlineStr">
        <is>
          <t>KRISTINEHAMN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44489</v>
      </c>
      <c r="E295" s="1" t="n">
        <v>46302</v>
      </c>
      <c r="F295" t="inlineStr">
        <is>
          <t>VÄRMLANDS LÄN</t>
        </is>
      </c>
      <c r="G295" t="inlineStr">
        <is>
          <t>KRISTINEHAMN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45453</v>
      </c>
      <c r="E296" s="1" t="n">
        <v>46302</v>
      </c>
      <c r="F296" t="inlineStr">
        <is>
          <t>VÄRMLANDS LÄN</t>
        </is>
      </c>
      <c r="G296" t="inlineStr">
        <is>
          <t>KRISTINEHAMN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45666</v>
      </c>
      <c r="E297" s="1" t="n">
        <v>46302</v>
      </c>
      <c r="F297" t="inlineStr">
        <is>
          <t>VÄRMLANDS LÄN</t>
        </is>
      </c>
      <c r="G297" t="inlineStr">
        <is>
          <t>KRISTINEHAMN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46302</v>
      </c>
      <c r="F298" t="inlineStr">
        <is>
          <t>VÄRMLANDS LÄN</t>
        </is>
      </c>
      <c r="G298" t="inlineStr">
        <is>
          <t>KRISTINEHAMN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46302</v>
      </c>
      <c r="F299" t="inlineStr">
        <is>
          <t>VÄRMLANDS LÄN</t>
        </is>
      </c>
      <c r="G299" t="inlineStr">
        <is>
          <t>KRISTINEHAMN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45461</v>
      </c>
      <c r="E300" s="1" t="n">
        <v>46302</v>
      </c>
      <c r="F300" t="inlineStr">
        <is>
          <t>VÄRMLANDS LÄN</t>
        </is>
      </c>
      <c r="G300" t="inlineStr">
        <is>
          <t>KRISTINEHAMN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45313</v>
      </c>
      <c r="E301" s="1" t="n">
        <v>46302</v>
      </c>
      <c r="F301" t="inlineStr">
        <is>
          <t>VÄRMLANDS LÄN</t>
        </is>
      </c>
      <c r="G301" t="inlineStr">
        <is>
          <t>KRISTINEHAMN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46302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46302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46302</v>
      </c>
      <c r="F304" t="inlineStr">
        <is>
          <t>VÄRMLANDS LÄN</t>
        </is>
      </c>
      <c r="G304" t="inlineStr">
        <is>
          <t>KRISTINEHAMN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44855</v>
      </c>
      <c r="E305" s="1" t="n">
        <v>46302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59203-2024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46302</v>
      </c>
      <c r="F306" t="inlineStr">
        <is>
          <t>VÄRMLANDS LÄN</t>
        </is>
      </c>
      <c r="G306" t="inlineStr">
        <is>
          <t>KRISTINEHAMN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45478</v>
      </c>
      <c r="E307" s="1" t="n">
        <v>46302</v>
      </c>
      <c r="F307" t="inlineStr">
        <is>
          <t>VÄRMLANDS LÄN</t>
        </is>
      </c>
      <c r="G307" t="inlineStr">
        <is>
          <t>KRISTINEHAMN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45478</v>
      </c>
      <c r="E308" s="1" t="n">
        <v>46302</v>
      </c>
      <c r="F308" t="inlineStr">
        <is>
          <t>VÄRMLANDS LÄN</t>
        </is>
      </c>
      <c r="G308" t="inlineStr">
        <is>
          <t>KRISTINEHAMN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45315</v>
      </c>
      <c r="E309" s="1" t="n">
        <v>46302</v>
      </c>
      <c r="F309" t="inlineStr">
        <is>
          <t>VÄRMLANDS LÄN</t>
        </is>
      </c>
      <c r="G309" t="inlineStr">
        <is>
          <t>KRISTINEHAMN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46302</v>
      </c>
      <c r="F310" t="inlineStr">
        <is>
          <t>VÄRMLANDS LÄN</t>
        </is>
      </c>
      <c r="G310" t="inlineStr">
        <is>
          <t>KRISTINEHAMN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46302</v>
      </c>
      <c r="F311" t="inlineStr">
        <is>
          <t>VÄRMLANDS LÄN</t>
        </is>
      </c>
      <c r="G311" t="inlineStr">
        <is>
          <t>KRISTINEHAMN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46302</v>
      </c>
      <c r="F312" t="inlineStr">
        <is>
          <t>VÄRMLANDS LÄN</t>
        </is>
      </c>
      <c r="G312" t="inlineStr">
        <is>
          <t>KRISTINEHAMN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44941</v>
      </c>
      <c r="E313" s="1" t="n">
        <v>46302</v>
      </c>
      <c r="F313" t="inlineStr">
        <is>
          <t>VÄRMLANDS LÄN</t>
        </is>
      </c>
      <c r="G313" t="inlineStr">
        <is>
          <t>KRISTINEHAMN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46302</v>
      </c>
      <c r="F314" t="inlineStr">
        <is>
          <t>VÄRMLANDS LÄN</t>
        </is>
      </c>
      <c r="G314" t="inlineStr">
        <is>
          <t>KRISTINEHAMN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46302</v>
      </c>
      <c r="F315" t="inlineStr">
        <is>
          <t>VÄRMLANDS LÄN</t>
        </is>
      </c>
      <c r="G315" t="inlineStr">
        <is>
          <t>KRISTINEHAMN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46302</v>
      </c>
      <c r="F316" t="inlineStr">
        <is>
          <t>VÄRMLANDS LÄN</t>
        </is>
      </c>
      <c r="G316" t="inlineStr">
        <is>
          <t>KRISTINEHAMN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45450</v>
      </c>
      <c r="E317" s="1" t="n">
        <v>46302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46302</v>
      </c>
      <c r="F318" t="inlineStr">
        <is>
          <t>VÄRMLANDS LÄN</t>
        </is>
      </c>
      <c r="G318" t="inlineStr">
        <is>
          <t>KRISTINEHAMN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46302</v>
      </c>
      <c r="F319" t="inlineStr">
        <is>
          <t>VÄRMLANDS LÄN</t>
        </is>
      </c>
      <c r="G319" t="inlineStr">
        <is>
          <t>KRISTINEHAMN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46302</v>
      </c>
      <c r="F320" t="inlineStr">
        <is>
          <t>VÄRMLANDS LÄN</t>
        </is>
      </c>
      <c r="G320" t="inlineStr">
        <is>
          <t>KRISTINEHAMN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44831</v>
      </c>
      <c r="E321" s="1" t="n">
        <v>46302</v>
      </c>
      <c r="F321" t="inlineStr">
        <is>
          <t>VÄRMLANDS LÄN</t>
        </is>
      </c>
      <c r="G321" t="inlineStr">
        <is>
          <t>KRISTINEHAMN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46302</v>
      </c>
      <c r="F322" t="inlineStr">
        <is>
          <t>VÄRMLANDS LÄN</t>
        </is>
      </c>
      <c r="G322" t="inlineStr">
        <is>
          <t>KRISTINEHAMN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46230</v>
      </c>
      <c r="E323" s="1" t="n">
        <v>46302</v>
      </c>
      <c r="F323" t="inlineStr">
        <is>
          <t>VÄRMLANDS LÄN</t>
        </is>
      </c>
      <c r="G323" t="inlineStr">
        <is>
          <t>KRISTINEHAMN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46302</v>
      </c>
      <c r="F324" t="inlineStr">
        <is>
          <t>VÄRMLANDS LÄN</t>
        </is>
      </c>
      <c r="G324" t="inlineStr">
        <is>
          <t>KRISTINEHAMN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46302</v>
      </c>
      <c r="F325" t="inlineStr">
        <is>
          <t>VÄRMLANDS LÄN</t>
        </is>
      </c>
      <c r="G325" t="inlineStr">
        <is>
          <t>KRISTINEHAMN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46274</v>
      </c>
      <c r="E326" s="1" t="n">
        <v>46302</v>
      </c>
      <c r="F326" t="inlineStr">
        <is>
          <t>VÄRMLANDS LÄN</t>
        </is>
      </c>
      <c r="G326" t="inlineStr">
        <is>
          <t>KRISTINEHAMN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61942-2022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44918</v>
      </c>
      <c r="E327" s="1" t="n">
        <v>46302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Kommuner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41857-2023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45176</v>
      </c>
      <c r="E328" s="1" t="n">
        <v>46302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46281</v>
      </c>
      <c r="E329" s="1" t="n">
        <v>46302</v>
      </c>
      <c r="F329" t="inlineStr">
        <is>
          <t>VÄRMLANDS LÄN</t>
        </is>
      </c>
      <c r="G329" t="inlineStr">
        <is>
          <t>KRISTINEHAMN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46302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56667-2023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46302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46302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46302</v>
      </c>
      <c r="F333" t="inlineStr">
        <is>
          <t>VÄRMLANDS LÄN</t>
        </is>
      </c>
      <c r="G333" t="inlineStr">
        <is>
          <t>KRISTINEHAMN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46302</v>
      </c>
      <c r="F334" t="inlineStr">
        <is>
          <t>VÄRMLANDS LÄN</t>
        </is>
      </c>
      <c r="G334" t="inlineStr">
        <is>
          <t>KRISTINEHAMN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46281</v>
      </c>
      <c r="E335" s="1" t="n">
        <v>46302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46302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23706-2022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44722</v>
      </c>
      <c r="E337" s="1" t="n">
        <v>46302</v>
      </c>
      <c r="F337" t="inlineStr">
        <is>
          <t>VÄRMLANDS LÄN</t>
        </is>
      </c>
      <c r="G337" t="inlineStr">
        <is>
          <t>KRISTINEHAMN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45002</v>
      </c>
      <c r="E338" s="1" t="n">
        <v>46302</v>
      </c>
      <c r="F338" t="inlineStr">
        <is>
          <t>VÄRMLANDS LÄN</t>
        </is>
      </c>
      <c r="G338" t="inlineStr">
        <is>
          <t>KRISTINEHAMN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44677</v>
      </c>
      <c r="E339" s="1" t="n">
        <v>46302</v>
      </c>
      <c r="F339" t="inlineStr">
        <is>
          <t>VÄRMLANDS LÄN</t>
        </is>
      </c>
      <c r="G339" t="inlineStr">
        <is>
          <t>KRISTINEHAMN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46302</v>
      </c>
      <c r="F340" t="inlineStr">
        <is>
          <t>VÄRMLANDS LÄN</t>
        </is>
      </c>
      <c r="G340" t="inlineStr">
        <is>
          <t>KRISTINEHAMN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46302</v>
      </c>
      <c r="F341" t="inlineStr">
        <is>
          <t>VÄRMLANDS LÄN</t>
        </is>
      </c>
      <c r="G341" t="inlineStr">
        <is>
          <t>KRISTINEHAMN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46302</v>
      </c>
      <c r="F342" t="inlineStr">
        <is>
          <t>VÄRMLANDS LÄN</t>
        </is>
      </c>
      <c r="G342" t="inlineStr">
        <is>
          <t>KRISTINEHAMN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46302</v>
      </c>
      <c r="F343" t="inlineStr">
        <is>
          <t>VÄRMLANDS LÄN</t>
        </is>
      </c>
      <c r="G343" t="inlineStr">
        <is>
          <t>KRISTINEHAMN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46302</v>
      </c>
      <c r="F344" t="inlineStr">
        <is>
          <t>VÄRMLANDS LÄN</t>
        </is>
      </c>
      <c r="G344" t="inlineStr">
        <is>
          <t>KRISTINEHAMN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46302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38840-2026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46286</v>
      </c>
      <c r="E346" s="1" t="n">
        <v>46302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45393</v>
      </c>
      <c r="E347" s="1" t="n">
        <v>46302</v>
      </c>
      <c r="F347" t="inlineStr">
        <is>
          <t>VÄRMLANDS LÄN</t>
        </is>
      </c>
      <c r="G347" t="inlineStr">
        <is>
          <t>KRISTINEHAMN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45239</v>
      </c>
      <c r="E348" s="1" t="n">
        <v>46302</v>
      </c>
      <c r="F348" t="inlineStr">
        <is>
          <t>VÄRMLANDS LÄN</t>
        </is>
      </c>
      <c r="G348" t="inlineStr">
        <is>
          <t>KRISTINEHAMN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46302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Kommuner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45442</v>
      </c>
      <c r="E350" s="1" t="n">
        <v>46302</v>
      </c>
      <c r="F350" t="inlineStr">
        <is>
          <t>VÄRMLANDS LÄN</t>
        </is>
      </c>
      <c r="G350" t="inlineStr">
        <is>
          <t>KRISTINEHAMN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54548-2023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45226</v>
      </c>
      <c r="E351" s="1" t="n">
        <v>46302</v>
      </c>
      <c r="F351" t="inlineStr">
        <is>
          <t>VÄRMLANDS LÄN</t>
        </is>
      </c>
      <c r="G351" t="inlineStr">
        <is>
          <t>KRISTINEHAMN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45226</v>
      </c>
      <c r="E352" s="1" t="n">
        <v>46302</v>
      </c>
      <c r="F352" t="inlineStr">
        <is>
          <t>VÄRMLANDS LÄN</t>
        </is>
      </c>
      <c r="G352" t="inlineStr">
        <is>
          <t>KRISTINEHAMN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45260</v>
      </c>
      <c r="E353" s="1" t="n">
        <v>46302</v>
      </c>
      <c r="F353" t="inlineStr">
        <is>
          <t>VÄRMLANDS LÄN</t>
        </is>
      </c>
      <c r="G353" t="inlineStr">
        <is>
          <t>KRISTINEHAMN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45679</v>
      </c>
      <c r="E354" s="1" t="n">
        <v>46302</v>
      </c>
      <c r="F354" t="inlineStr">
        <is>
          <t>VÄRMLANDS LÄN</t>
        </is>
      </c>
      <c r="G354" t="inlineStr">
        <is>
          <t>KRISTINEHAMN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46302</v>
      </c>
      <c r="F355" t="inlineStr">
        <is>
          <t>VÄRMLANDS LÄN</t>
        </is>
      </c>
      <c r="G355" t="inlineStr">
        <is>
          <t>KRISTINEHAMN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46302</v>
      </c>
      <c r="F356" t="inlineStr">
        <is>
          <t>VÄRMLANDS LÄN</t>
        </is>
      </c>
      <c r="G356" t="inlineStr">
        <is>
          <t>KRISTINEHAMN</t>
        </is>
      </c>
      <c r="I356" t="n">
        <v>12.6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54690-2022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44883</v>
      </c>
      <c r="E357" s="1" t="n">
        <v>46302</v>
      </c>
      <c r="F357" t="inlineStr">
        <is>
          <t>VÄRMLANDS LÄN</t>
        </is>
      </c>
      <c r="G357" t="inlineStr">
        <is>
          <t>KRISTINEHAMN</t>
        </is>
      </c>
      <c r="I357" t="n">
        <v>11.1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45188</v>
      </c>
      <c r="E358" s="1" t="n">
        <v>46302</v>
      </c>
      <c r="F358" t="inlineStr">
        <is>
          <t>VÄRMLANDS LÄN</t>
        </is>
      </c>
      <c r="G358" t="inlineStr">
        <is>
          <t>KRISTINEHAMN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40141-2026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46302</v>
      </c>
      <c r="F359" t="inlineStr">
        <is>
          <t>VÄRMLANDS LÄN</t>
        </is>
      </c>
      <c r="G359" t="inlineStr">
        <is>
          <t>KRISTINEHAMN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22896-2023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45072</v>
      </c>
      <c r="E360" s="1" t="n">
        <v>46302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46302</v>
      </c>
      <c r="F361" t="inlineStr">
        <is>
          <t>VÄRMLANDS LÄN</t>
        </is>
      </c>
      <c r="G361" t="inlineStr">
        <is>
          <t>KRISTINEHAMN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46302</v>
      </c>
      <c r="F362" t="inlineStr">
        <is>
          <t>VÄRMLANDS LÄN</t>
        </is>
      </c>
      <c r="G362" t="inlineStr">
        <is>
          <t>KRISTINEHAMN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46302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Kommuner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46302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46302</v>
      </c>
      <c r="F365" t="inlineStr">
        <is>
          <t>VÄRMLANDS LÄN</t>
        </is>
      </c>
      <c r="G365" t="inlineStr">
        <is>
          <t>KRISTINEHAMN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44637</v>
      </c>
      <c r="E366" s="1" t="n">
        <v>46302</v>
      </c>
      <c r="F366" t="inlineStr">
        <is>
          <t>VÄRMLANDS LÄN</t>
        </is>
      </c>
      <c r="G366" t="inlineStr">
        <is>
          <t>KRISTINEHAMN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39187-2026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46287</v>
      </c>
      <c r="E367" s="1" t="n">
        <v>46302</v>
      </c>
      <c r="F367" t="inlineStr">
        <is>
          <t>VÄRMLANDS LÄN</t>
        </is>
      </c>
      <c r="G367" t="inlineStr">
        <is>
          <t>KRISTINEHAMN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45513</v>
      </c>
      <c r="E368" s="1" t="n">
        <v>46302</v>
      </c>
      <c r="F368" t="inlineStr">
        <is>
          <t>VÄRMLANDS LÄN</t>
        </is>
      </c>
      <c r="G368" t="inlineStr">
        <is>
          <t>KRISTINEHAMN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34893-2023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45141</v>
      </c>
      <c r="E369" s="1" t="n">
        <v>46302</v>
      </c>
      <c r="F369" t="inlineStr">
        <is>
          <t>VÄRMLANDS LÄN</t>
        </is>
      </c>
      <c r="G369" t="inlineStr">
        <is>
          <t>KRISTINEHAMN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46302</v>
      </c>
      <c r="F370" t="inlineStr">
        <is>
          <t>VÄRMLANDS LÄN</t>
        </is>
      </c>
      <c r="G370" t="inlineStr">
        <is>
          <t>KRISTINEHAMN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46302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46302</v>
      </c>
      <c r="F372" t="inlineStr">
        <is>
          <t>VÄRMLANDS LÄN</t>
        </is>
      </c>
      <c r="G372" t="inlineStr">
        <is>
          <t>KRISTINEHAMN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45202</v>
      </c>
      <c r="E373" s="1" t="n">
        <v>46302</v>
      </c>
      <c r="F373" t="inlineStr">
        <is>
          <t>VÄRMLANDS LÄN</t>
        </is>
      </c>
      <c r="G373" t="inlineStr">
        <is>
          <t>KRISTINEHAMN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46302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62453-2022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44924</v>
      </c>
      <c r="E375" s="1" t="n">
        <v>46302</v>
      </c>
      <c r="F375" t="inlineStr">
        <is>
          <t>VÄRMLANDS LÄN</t>
        </is>
      </c>
      <c r="G375" t="inlineStr">
        <is>
          <t>KRISTINEHAMN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48405-2023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45201</v>
      </c>
      <c r="E376" s="1" t="n">
        <v>46302</v>
      </c>
      <c r="F376" t="inlineStr">
        <is>
          <t>VÄRMLANDS LÄN</t>
        </is>
      </c>
      <c r="G376" t="inlineStr">
        <is>
          <t>KRISTINEHAMN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46213</v>
      </c>
      <c r="E377" s="1" t="n">
        <v>46302</v>
      </c>
      <c r="F377" t="inlineStr">
        <is>
          <t>VÄRMLANDS LÄN</t>
        </is>
      </c>
      <c r="G377" t="inlineStr">
        <is>
          <t>KRISTINEHAMN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46302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45377</v>
      </c>
      <c r="E379" s="1" t="n">
        <v>46302</v>
      </c>
      <c r="F379" t="inlineStr">
        <is>
          <t>VÄRMLANDS LÄN</t>
        </is>
      </c>
      <c r="G379" t="inlineStr">
        <is>
          <t>KRISTINEHAMN</t>
        </is>
      </c>
      <c r="I379" t="n">
        <v>13.2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46302</v>
      </c>
      <c r="F380" t="inlineStr">
        <is>
          <t>VÄRMLANDS LÄN</t>
        </is>
      </c>
      <c r="G380" t="inlineStr">
        <is>
          <t>KRISTINEHAMN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45366</v>
      </c>
      <c r="E381" s="1" t="n">
        <v>46302</v>
      </c>
      <c r="F381" t="inlineStr">
        <is>
          <t>VÄRMLANDS LÄN</t>
        </is>
      </c>
      <c r="G381" t="inlineStr">
        <is>
          <t>KRISTINEHAMN</t>
        </is>
      </c>
      <c r="I381" t="n">
        <v>19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46302</v>
      </c>
      <c r="F382" t="inlineStr">
        <is>
          <t>VÄRMLANDS LÄN</t>
        </is>
      </c>
      <c r="G382" t="inlineStr">
        <is>
          <t>KRISTINEHAMN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45266</v>
      </c>
      <c r="E383" s="1" t="n">
        <v>46302</v>
      </c>
      <c r="F383" t="inlineStr">
        <is>
          <t>VÄRMLANDS LÄN</t>
        </is>
      </c>
      <c r="G383" t="inlineStr">
        <is>
          <t>KRISTINEHAMN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45656</v>
      </c>
      <c r="E384" s="1" t="n">
        <v>46302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59144-2021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44490</v>
      </c>
      <c r="E385" s="1" t="n">
        <v>46302</v>
      </c>
      <c r="F385" t="inlineStr">
        <is>
          <t>VÄRMLANDS LÄN</t>
        </is>
      </c>
      <c r="G385" t="inlineStr">
        <is>
          <t>KRISTINEHAMN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46302</v>
      </c>
      <c r="F386" t="inlineStr">
        <is>
          <t>VÄRMLANDS LÄN</t>
        </is>
      </c>
      <c r="G386" t="inlineStr">
        <is>
          <t>KRISTINEHAMN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14183-2022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44651</v>
      </c>
      <c r="E387" s="1" t="n">
        <v>46302</v>
      </c>
      <c r="F387" t="inlineStr">
        <is>
          <t>VÄRMLANDS LÄN</t>
        </is>
      </c>
      <c r="G387" t="inlineStr">
        <is>
          <t>KRISTINEHAMN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45379</v>
      </c>
      <c r="E388" s="1" t="n">
        <v>46302</v>
      </c>
      <c r="F388" t="inlineStr">
        <is>
          <t>VÄRMLANDS LÄN</t>
        </is>
      </c>
      <c r="G388" t="inlineStr">
        <is>
          <t>KRISTINEHAMN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46302</v>
      </c>
      <c r="F389" t="inlineStr">
        <is>
          <t>VÄRMLANDS LÄN</t>
        </is>
      </c>
      <c r="G389" t="inlineStr">
        <is>
          <t>KRISTINEHAMN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46302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46302</v>
      </c>
      <c r="F391" t="inlineStr">
        <is>
          <t>VÄRMLANDS LÄN</t>
        </is>
      </c>
      <c r="G391" t="inlineStr">
        <is>
          <t>KRISTINEHAMN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46302</v>
      </c>
      <c r="F392" t="inlineStr">
        <is>
          <t>VÄRMLANDS LÄN</t>
        </is>
      </c>
      <c r="G392" t="inlineStr">
        <is>
          <t>KRISTINEHAMN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46302</v>
      </c>
      <c r="F393" t="inlineStr">
        <is>
          <t>VÄRMLANDS LÄN</t>
        </is>
      </c>
      <c r="G393" t="inlineStr">
        <is>
          <t>KRISTINEHAMN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70126-2021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44533</v>
      </c>
      <c r="E394" s="1" t="n">
        <v>46302</v>
      </c>
      <c r="F394" t="inlineStr">
        <is>
          <t>VÄRMLANDS LÄN</t>
        </is>
      </c>
      <c r="G394" t="inlineStr">
        <is>
          <t>KRISTINEHAMN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44847</v>
      </c>
      <c r="E395" s="1" t="n">
        <v>46302</v>
      </c>
      <c r="F395" t="inlineStr">
        <is>
          <t>VÄRMLANDS LÄN</t>
        </is>
      </c>
      <c r="G395" t="inlineStr">
        <is>
          <t>KRISTINEHAMN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46302</v>
      </c>
      <c r="F396" t="inlineStr">
        <is>
          <t>VÄRMLANDS LÄN</t>
        </is>
      </c>
      <c r="G396" t="inlineStr">
        <is>
          <t>KRISTINEHAMN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45081</v>
      </c>
      <c r="E397" s="1" t="n">
        <v>46302</v>
      </c>
      <c r="F397" t="inlineStr">
        <is>
          <t>VÄRMLANDS LÄN</t>
        </is>
      </c>
      <c r="G397" t="inlineStr">
        <is>
          <t>KRISTINEHAMN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46302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Naturvårdsverket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46302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46302</v>
      </c>
      <c r="F400" t="inlineStr">
        <is>
          <t>VÄRMLANDS LÄN</t>
        </is>
      </c>
      <c r="G400" t="inlineStr">
        <is>
          <t>KRISTINEHAMN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56522-2021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46302</v>
      </c>
      <c r="F401" t="inlineStr">
        <is>
          <t>VÄRMLANDS LÄN</t>
        </is>
      </c>
      <c r="G401" t="inlineStr">
        <is>
          <t>KRISTINEHAMN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45315</v>
      </c>
      <c r="E402" s="1" t="n">
        <v>46302</v>
      </c>
      <c r="F402" t="inlineStr">
        <is>
          <t>VÄRMLANDS LÄN</t>
        </is>
      </c>
      <c r="G402" t="inlineStr">
        <is>
          <t>KRISTINEHAMN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46302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Naturvårdsverket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65050-2023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45282</v>
      </c>
      <c r="E404" s="1" t="n">
        <v>46302</v>
      </c>
      <c r="F404" t="inlineStr">
        <is>
          <t>VÄRMLANDS LÄN</t>
        </is>
      </c>
      <c r="G404" t="inlineStr">
        <is>
          <t>KRISTINEHAMN</t>
        </is>
      </c>
      <c r="I404" t="n">
        <v>9.6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46302</v>
      </c>
      <c r="F405" t="inlineStr">
        <is>
          <t>VÄRMLANDS LÄN</t>
        </is>
      </c>
      <c r="G405" t="inlineStr">
        <is>
          <t>KRISTINEHAMN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46302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45118</v>
      </c>
      <c r="E407" s="1" t="n">
        <v>46302</v>
      </c>
      <c r="F407" t="inlineStr">
        <is>
          <t>VÄRMLANDS LÄN</t>
        </is>
      </c>
      <c r="G407" t="inlineStr">
        <is>
          <t>KRISTINEHAMN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45769</v>
      </c>
      <c r="E408" s="1" t="n">
        <v>46302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Kyrkan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37742-2023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46302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44888</v>
      </c>
      <c r="E410" s="1" t="n">
        <v>46302</v>
      </c>
      <c r="F410" t="inlineStr">
        <is>
          <t>VÄRMLANDS LÄN</t>
        </is>
      </c>
      <c r="G410" t="inlineStr">
        <is>
          <t>KRISTINEHAMN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23707-2022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44722</v>
      </c>
      <c r="E411" s="1" t="n">
        <v>46302</v>
      </c>
      <c r="F411" t="inlineStr">
        <is>
          <t>VÄRMLANDS LÄN</t>
        </is>
      </c>
      <c r="G411" t="inlineStr">
        <is>
          <t>KRISTINEHAMN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45379</v>
      </c>
      <c r="E412" s="1" t="n">
        <v>46302</v>
      </c>
      <c r="F412" t="inlineStr">
        <is>
          <t>VÄRMLANDS LÄN</t>
        </is>
      </c>
      <c r="G412" t="inlineStr">
        <is>
          <t>KRISTINEHAMN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28834-2024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45478</v>
      </c>
      <c r="E413" s="1" t="n">
        <v>46302</v>
      </c>
      <c r="F413" t="inlineStr">
        <is>
          <t>VÄRMLANDS LÄN</t>
        </is>
      </c>
      <c r="G413" t="inlineStr">
        <is>
          <t>KRISTINEHAMN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31152-2022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44770</v>
      </c>
      <c r="E414" s="1" t="n">
        <v>46302</v>
      </c>
      <c r="F414" t="inlineStr">
        <is>
          <t>VÄRMLANDS LÄN</t>
        </is>
      </c>
      <c r="G414" t="inlineStr">
        <is>
          <t>KRISTINEHAMN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46302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Naturvårdsverket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21602-2025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45783</v>
      </c>
      <c r="E416" s="1" t="n">
        <v>46302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45636</v>
      </c>
      <c r="E417" s="1" t="n">
        <v>46302</v>
      </c>
      <c r="F417" t="inlineStr">
        <is>
          <t>VÄRMLANDS LÄN</t>
        </is>
      </c>
      <c r="G417" t="inlineStr">
        <is>
          <t>KRISTINEHAMN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44805</v>
      </c>
      <c r="E418" s="1" t="n">
        <v>46302</v>
      </c>
      <c r="F418" t="inlineStr">
        <is>
          <t>VÄRMLANDS LÄN</t>
        </is>
      </c>
      <c r="G418" t="inlineStr">
        <is>
          <t>KRISTINEHAMN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23510-2025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45792</v>
      </c>
      <c r="E419" s="1" t="n">
        <v>46302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46302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46302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45792</v>
      </c>
      <c r="E422" s="1" t="n">
        <v>46302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45700</v>
      </c>
      <c r="E423" s="1" t="n">
        <v>46302</v>
      </c>
      <c r="F423" t="inlineStr">
        <is>
          <t>VÄRMLANDS LÄN</t>
        </is>
      </c>
      <c r="G423" t="inlineStr">
        <is>
          <t>KRISTINEHAMN</t>
        </is>
      </c>
      <c r="I423" t="n">
        <v>11.2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46302</v>
      </c>
      <c r="F424" t="inlineStr">
        <is>
          <t>VÄRMLANDS LÄN</t>
        </is>
      </c>
      <c r="G424" t="inlineStr">
        <is>
          <t>KRISTINEHAMN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45407</v>
      </c>
      <c r="E425" s="1" t="n">
        <v>46302</v>
      </c>
      <c r="F425" t="inlineStr">
        <is>
          <t>VÄRMLANDS LÄN</t>
        </is>
      </c>
      <c r="G425" t="inlineStr">
        <is>
          <t>KRISTINEHAMN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46302</v>
      </c>
      <c r="F426" t="inlineStr">
        <is>
          <t>VÄRMLANDS LÄN</t>
        </is>
      </c>
      <c r="G426" t="inlineStr">
        <is>
          <t>KRISTINEHAMN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46302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45012-2024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46302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1219-2020</t>
        </is>
      </c>
      <c r="B429" t="inlineStr">
        <is>
          <t>samrådsanmälan</t>
        </is>
      </c>
      <c r="C429" t="n">
        <v/>
      </c>
      <c r="D429" s="1" t="n">
        <v>43980</v>
      </c>
      <c r="E429" s="1" t="n">
        <v>46302</v>
      </c>
      <c r="F429" t="inlineStr">
        <is>
          <t>VÄRMLANDS LÄN</t>
        </is>
      </c>
      <c r="G429" t="inlineStr">
        <is>
          <t>KRISTINEHAMN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4147-2023</t>
        </is>
      </c>
      <c r="B430" t="inlineStr">
        <is>
          <t>samrådsanmälan</t>
        </is>
      </c>
      <c r="C430" t="inlineStr">
        <is>
          <t>Skogsgödsling</t>
        </is>
      </c>
      <c r="D430" s="1" t="n">
        <v>45247</v>
      </c>
      <c r="E430" s="1" t="n">
        <v>46302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13.5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4149-2023</t>
        </is>
      </c>
      <c r="B431" t="inlineStr">
        <is>
          <t>samrådsanmälan</t>
        </is>
      </c>
      <c r="C431" t="inlineStr">
        <is>
          <t>Skogsgödsling</t>
        </is>
      </c>
      <c r="D431" s="1" t="n">
        <v>45247</v>
      </c>
      <c r="E431" s="1" t="n">
        <v>46302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1815-2022</t>
        </is>
      </c>
      <c r="B432" t="inlineStr">
        <is>
          <t>samrådsanmälan</t>
        </is>
      </c>
      <c r="C432" t="inlineStr">
        <is>
          <t>Åtgärd i nyckelbiotop</t>
        </is>
      </c>
      <c r="D432" s="1" t="n">
        <v>44657</v>
      </c>
      <c r="E432" s="1" t="n">
        <v>46302</v>
      </c>
      <c r="F432" t="inlineStr">
        <is>
          <t>VÄRMLANDS LÄN</t>
        </is>
      </c>
      <c r="G432" t="inlineStr">
        <is>
          <t>KRISTINEHAMN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2254-2023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45103</v>
      </c>
      <c r="E433" s="1" t="n">
        <v>46302</v>
      </c>
      <c r="F433" t="inlineStr">
        <is>
          <t>VÄRMLANDS LÄN</t>
        </is>
      </c>
      <c r="G433" t="inlineStr">
        <is>
          <t>KRISTINEHAMN</t>
        </is>
      </c>
      <c r="I433" t="n">
        <v>51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2879-2022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44711</v>
      </c>
      <c r="E434" s="1" t="n">
        <v>46302</v>
      </c>
      <c r="F434" t="inlineStr">
        <is>
          <t>VÄRMLANDS LÄN</t>
        </is>
      </c>
      <c r="G434" t="inlineStr">
        <is>
          <t>KRISTINEHAMN</t>
        </is>
      </c>
      <c r="I434" t="n">
        <v>25.9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1899-2024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45442</v>
      </c>
      <c r="E435" s="1" t="n">
        <v>46302</v>
      </c>
      <c r="F435" t="inlineStr">
        <is>
          <t>VÄRMLANDS LÄN</t>
        </is>
      </c>
      <c r="G435" t="inlineStr">
        <is>
          <t>KRISTINEHAMN</t>
        </is>
      </c>
      <c r="I435" t="n">
        <v>21.4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2301-2024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45463</v>
      </c>
      <c r="E436" s="1" t="n">
        <v>46302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28.1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2553-2024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46302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46302</v>
      </c>
      <c r="F438" t="inlineStr">
        <is>
          <t>VÄRMLANDS LÄN</t>
        </is>
      </c>
      <c r="G438" t="inlineStr">
        <is>
          <t>KRISTINEHAMN</t>
        </is>
      </c>
      <c r="I438" t="n">
        <v>53.7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2393-2022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44690</v>
      </c>
      <c r="E439" s="1" t="n">
        <v>46302</v>
      </c>
      <c r="F439" t="inlineStr">
        <is>
          <t>VÄRMLANDS LÄN</t>
        </is>
      </c>
      <c r="G439" t="inlineStr">
        <is>
          <t>KRISTINEHAMN</t>
        </is>
      </c>
      <c r="I439" t="n">
        <v>51.7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46302</v>
      </c>
      <c r="F440" t="inlineStr">
        <is>
          <t>VÄRMLANDS LÄN</t>
        </is>
      </c>
      <c r="G440" t="inlineStr">
        <is>
          <t>KRISTINEHAMN</t>
        </is>
      </c>
      <c r="I440" t="n">
        <v>104.3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717-2023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44985</v>
      </c>
      <c r="E441" s="1" t="n">
        <v>46302</v>
      </c>
      <c r="F441" t="inlineStr">
        <is>
          <t>VÄRMLANDS LÄN</t>
        </is>
      </c>
      <c r="G441" t="inlineStr">
        <is>
          <t>KRISTINEHAMN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1412-2024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45414</v>
      </c>
      <c r="E442" s="1" t="n">
        <v>46302</v>
      </c>
      <c r="F442" t="inlineStr">
        <is>
          <t>VÄRMLANDS LÄN</t>
        </is>
      </c>
      <c r="G442" t="inlineStr">
        <is>
          <t>KRISTINEHAMN</t>
        </is>
      </c>
      <c r="I442" t="n">
        <v>42.9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1900-2024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46302</v>
      </c>
      <c r="F443" t="inlineStr">
        <is>
          <t>VÄRMLANDS LÄN</t>
        </is>
      </c>
      <c r="G443" t="inlineStr">
        <is>
          <t>KRISTINEHAMN</t>
        </is>
      </c>
      <c r="I443" t="n">
        <v>63.5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3374-2024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46302</v>
      </c>
      <c r="F444" t="inlineStr">
        <is>
          <t>VÄRMLANDS LÄN</t>
        </is>
      </c>
      <c r="G444" t="inlineStr">
        <is>
          <t>KRISTINEHAMN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2464-2023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45118</v>
      </c>
      <c r="E445" s="1" t="n">
        <v>46302</v>
      </c>
      <c r="F445" t="inlineStr">
        <is>
          <t>VÄRMLANDS LÄN</t>
        </is>
      </c>
      <c r="G445" t="inlineStr">
        <is>
          <t>KRISTINEHAMN</t>
        </is>
      </c>
      <c r="I445" t="n">
        <v>42.3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4146-2023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46302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3007-2024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45512</v>
      </c>
      <c r="E447" s="1" t="n">
        <v>46302</v>
      </c>
      <c r="F447" t="inlineStr">
        <is>
          <t>VÄRMLANDS LÄN</t>
        </is>
      </c>
      <c r="G447" t="inlineStr">
        <is>
          <t>KRISTINEHAMN</t>
        </is>
      </c>
      <c r="I447" t="n">
        <v>56.9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1418-2025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45783</v>
      </c>
      <c r="E448" s="1" t="n">
        <v>46302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1546-2025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45792</v>
      </c>
      <c r="E449" s="1" t="n">
        <v>46302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1698-2025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45805</v>
      </c>
      <c r="E450" s="1" t="n">
        <v>46302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46040</v>
      </c>
      <c r="E451" s="1" t="n">
        <v>46302</v>
      </c>
      <c r="F451" t="inlineStr">
        <is>
          <t>VÄRMLANDS LÄN</t>
        </is>
      </c>
      <c r="G451" t="inlineStr">
        <is>
          <t>KRISTINEHAMN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865-2026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46106</v>
      </c>
      <c r="E452" s="1" t="n">
        <v>46302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99-2026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46036</v>
      </c>
      <c r="E453" s="1" t="n">
        <v>46302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80.8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2026-10-07T02:04:03Z</dcterms:created>
  <dcterms:modified xmlns:dcterms="http://purl.org/dc/terms/" xmlns:xsi="http://www.w3.org/2001/XMLSchema-instance" xsi:type="dcterms:W3CDTF">2026-10-07T02:04:03Z</dcterms:modified>
</cp:coreProperties>
</file>