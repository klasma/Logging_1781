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46303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46303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46303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46303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46303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46303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46303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46303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46303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46303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2398-2022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44690</v>
      </c>
      <c r="E12" s="1" t="n">
        <v>46303</v>
      </c>
      <c r="F12" t="inlineStr">
        <is>
          <t>VÄRMLANDS LÄN</t>
        </is>
      </c>
      <c r="G12" t="inlineStr">
        <is>
          <t>KRISTINEHAMN</t>
        </is>
      </c>
      <c r="I12" t="n">
        <v>156.6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Dvärglin
Talltita</t>
        </is>
      </c>
      <c r="W12">
        <f>HYPERLINK("https://klasma.github.io/Logging_1781/artfynd/S 2398-2022 artfynd.xlsx", "S 2398-2022")</f>
        <v/>
      </c>
      <c r="X12">
        <f>HYPERLINK("https://klasma.github.io/Logging_1781/kartor/S 2398-2022 karta.png", "S 2398-2022")</f>
        <v/>
      </c>
      <c r="Y12">
        <f>HYPERLINK("https://klasma.github.io/Logging_1781/kartor_geotiff/S 2398-2022 georefererad karta.tif", "S 2398-2022")</f>
        <v/>
      </c>
      <c r="AA12">
        <f>HYPERLINK("https://klasma.github.io/Logging_1781/klagomål/S 2398-2022 FSC-klagomål.docx", "S 2398-2022")</f>
        <v/>
      </c>
      <c r="AB12">
        <f>HYPERLINK("https://klasma.github.io/Logging_1781/klagomålsmail/S 2398-2022 FSC-klagomål mail.docx", "S 2398-2022")</f>
        <v/>
      </c>
      <c r="AC12">
        <f>HYPERLINK("https://klasma.github.io/Logging_1781/tillsyn/S 2398-2022 tillsynsbegäran.docx", "S 2398-2022")</f>
        <v/>
      </c>
      <c r="AD12">
        <f>HYPERLINK("https://klasma.github.io/Logging_1781/tillsynsmail/S 2398-2022 tillsynsbegäran mail.docx", "S 2398-2022")</f>
        <v/>
      </c>
      <c r="AE12">
        <f>HYPERLINK("https://klasma.github.io/Logging_1781/fåglar/S 2398-2022 prioriterade fågelarter.docx", "S 2398-2022")</f>
        <v/>
      </c>
    </row>
    <row r="13" ht="15" customHeight="1">
      <c r="A13" t="inlineStr">
        <is>
          <t>S 3838-2023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45233</v>
      </c>
      <c r="E13" s="1" t="n">
        <v>46303</v>
      </c>
      <c r="F13" t="inlineStr">
        <is>
          <t>VÄRMLANDS LÄN</t>
        </is>
      </c>
      <c r="G13" t="inlineStr">
        <is>
          <t>KRISTINEHAMN</t>
        </is>
      </c>
      <c r="I13" t="n">
        <v>1.1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Spillkråka
Gröngöling</t>
        </is>
      </c>
      <c r="W13">
        <f>HYPERLINK("https://klasma.github.io/Logging_1781/artfynd/S 3838-2023 artfynd.xlsx", "S 3838-2023")</f>
        <v/>
      </c>
      <c r="X13">
        <f>HYPERLINK("https://klasma.github.io/Logging_1781/kartor/S 3838-2023 karta.png", "S 3838-2023")</f>
        <v/>
      </c>
      <c r="Y13">
        <f>HYPERLINK("https://klasma.github.io/Logging_1781/kartor_geotiff/S 3838-2023 georefererad karta.tif", "S 3838-2023")</f>
        <v/>
      </c>
      <c r="AA13">
        <f>HYPERLINK("https://klasma.github.io/Logging_1781/klagomål/S 3838-2023 FSC-klagomål.docx", "S 3838-2023")</f>
        <v/>
      </c>
      <c r="AB13">
        <f>HYPERLINK("https://klasma.github.io/Logging_1781/klagomålsmail/S 3838-2023 FSC-klagomål mail.docx", "S 3838-2023")</f>
        <v/>
      </c>
      <c r="AC13">
        <f>HYPERLINK("https://klasma.github.io/Logging_1781/tillsyn/S 3838-2023 tillsynsbegäran.docx", "S 3838-2023")</f>
        <v/>
      </c>
      <c r="AD13">
        <f>HYPERLINK("https://klasma.github.io/Logging_1781/tillsynsmail/S 3838-2023 tillsynsbegäran mail.docx", "S 3838-2023")</f>
        <v/>
      </c>
      <c r="AE13">
        <f>HYPERLINK("https://klasma.github.io/Logging_1781/fåglar/S 3838-2023 prioriterade fågelarter.docx", "S 3838-2023")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46303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46303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46303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46303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46303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45122-2022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44843</v>
      </c>
      <c r="E19" s="1" t="n">
        <v>46303</v>
      </c>
      <c r="F19" t="inlineStr">
        <is>
          <t>VÄRMLANDS LÄN</t>
        </is>
      </c>
      <c r="G19" t="inlineStr">
        <is>
          <t>KRISTINEHAMN</t>
        </is>
      </c>
      <c r="I19" t="n">
        <v>3.3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Dvärglin</t>
        </is>
      </c>
      <c r="W19">
        <f>HYPERLINK("https://klasma.github.io/Logging_1781/artfynd/A 45122-2022 artfynd.xlsx", "A 45122-2022")</f>
        <v/>
      </c>
      <c r="X19">
        <f>HYPERLINK("https://klasma.github.io/Logging_1781/kartor/A 45122-2022 karta.png", "A 45122-2022")</f>
        <v/>
      </c>
      <c r="Y19">
        <f>HYPERLINK("https://klasma.github.io/Logging_1781/kartor_geotiff/A 45122-2022 georefererad karta.tif", "A 45122-2022")</f>
        <v/>
      </c>
      <c r="AA19">
        <f>HYPERLINK("https://klasma.github.io/Logging_1781/klagomål/A 45122-2022 FSC-klagomål.docx", "A 45122-2022")</f>
        <v/>
      </c>
      <c r="AB19">
        <f>HYPERLINK("https://klasma.github.io/Logging_1781/klagomålsmail/A 45122-2022 FSC-klagomål mail.docx", "A 45122-2022")</f>
        <v/>
      </c>
      <c r="AC19">
        <f>HYPERLINK("https://klasma.github.io/Logging_1781/tillsyn/A 45122-2022 tillsynsbegäran.docx", "A 45122-2022")</f>
        <v/>
      </c>
      <c r="AD19">
        <f>HYPERLINK("https://klasma.github.io/Logging_1781/tillsynsmail/A 45122-2022 tillsynsbegäran mail.docx", "A 45122-2022")</f>
        <v/>
      </c>
    </row>
    <row r="20" ht="15" customHeight="1">
      <c r="A20" t="inlineStr">
        <is>
          <t>A 5494-2025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45693</v>
      </c>
      <c r="E20" s="1" t="n">
        <v>46303</v>
      </c>
      <c r="F20" t="inlineStr">
        <is>
          <t>VÄRMLANDS LÄN</t>
        </is>
      </c>
      <c r="G20" t="inlineStr">
        <is>
          <t>KRISTINEHAMN</t>
        </is>
      </c>
      <c r="I20" t="n">
        <v>8.699999999999999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Jungfrulin</t>
        </is>
      </c>
      <c r="W20">
        <f>HYPERLINK("https://klasma.github.io/Logging_1781/artfynd/A 5494-2025 artfynd.xlsx", "A 5494-2025")</f>
        <v/>
      </c>
      <c r="X20">
        <f>HYPERLINK("https://klasma.github.io/Logging_1781/kartor/A 5494-2025 karta.png", "A 5494-2025")</f>
        <v/>
      </c>
      <c r="Y20">
        <f>HYPERLINK("https://klasma.github.io/Logging_1781/kartor_geotiff/A 5494-2025 georefererad karta.tif", "A 5494-2025")</f>
        <v/>
      </c>
      <c r="AA20">
        <f>HYPERLINK("https://klasma.github.io/Logging_1781/klagomål/A 5494-2025 FSC-klagomål.docx", "A 5494-2025")</f>
        <v/>
      </c>
      <c r="AB20">
        <f>HYPERLINK("https://klasma.github.io/Logging_1781/klagomålsmail/A 5494-2025 FSC-klagomål mail.docx", "A 5494-2025")</f>
        <v/>
      </c>
      <c r="AC20">
        <f>HYPERLINK("https://klasma.github.io/Logging_1781/tillsyn/A 5494-2025 tillsynsbegäran.docx", "A 5494-2025")</f>
        <v/>
      </c>
      <c r="AD20">
        <f>HYPERLINK("https://klasma.github.io/Logging_1781/tillsynsmail/A 5494-2025 tillsynsbegäran mail.docx", "A 5494-2025")</f>
        <v/>
      </c>
    </row>
    <row r="21" ht="15" customHeight="1">
      <c r="A21" t="inlineStr">
        <is>
          <t>A 54771-2022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44883</v>
      </c>
      <c r="E21" s="1" t="n">
        <v>46303</v>
      </c>
      <c r="F21" t="inlineStr">
        <is>
          <t>VÄRMLANDS LÄN</t>
        </is>
      </c>
      <c r="G21" t="inlineStr">
        <is>
          <t>KRISTINEHAMN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HYPERLINK("https://klasma.github.io/Logging_1781/artfynd/A 54771-2022 artfynd.xlsx", "A 54771-2022")</f>
        <v/>
      </c>
      <c r="X21">
        <f>HYPERLINK("https://klasma.github.io/Logging_1781/kartor/A 54771-2022 karta.png", "A 54771-2022")</f>
        <v/>
      </c>
      <c r="Y21">
        <f>HYPERLINK("https://klasma.github.io/Logging_1781/kartor_geotiff/A 54771-2022 georefererad karta.tif", "A 54771-2022")</f>
        <v/>
      </c>
      <c r="AA21">
        <f>HYPERLINK("https://klasma.github.io/Logging_1781/klagomål/A 54771-2022 FSC-klagomål.docx", "A 54771-2022")</f>
        <v/>
      </c>
      <c r="AB21">
        <f>HYPERLINK("https://klasma.github.io/Logging_1781/klagomålsmail/A 54771-2022 FSC-klagomål mail.docx", "A 54771-2022")</f>
        <v/>
      </c>
      <c r="AC21">
        <f>HYPERLINK("https://klasma.github.io/Logging_1781/tillsyn/A 54771-2022 tillsynsbegäran.docx", "A 54771-2022")</f>
        <v/>
      </c>
      <c r="AD21">
        <f>HYPERLINK("https://klasma.github.io/Logging_1781/tillsynsmail/A 54771-2022 tillsynsbegäran mail.docx", "A 54771-2022")</f>
        <v/>
      </c>
      <c r="AE21">
        <f>HYPERLINK("https://klasma.github.io/Logging_1781/fåglar/A 54771-2022 prioriterade fågelarter.docx", "A 54771-2022")</f>
        <v/>
      </c>
    </row>
    <row r="22" ht="15" customHeight="1">
      <c r="A22" t="inlineStr">
        <is>
          <t>A 2406-2025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45674</v>
      </c>
      <c r="E22" s="1" t="n">
        <v>46303</v>
      </c>
      <c r="F22" t="inlineStr">
        <is>
          <t>VÄRMLANDS LÄN</t>
        </is>
      </c>
      <c r="G22" t="inlineStr">
        <is>
          <t>KRISTINEHAMN</t>
        </is>
      </c>
      <c r="I22" t="n">
        <v>9.699999999999999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HYPERLINK("https://klasma.github.io/Logging_1781/artfynd/A 2406-2025 artfynd.xlsx", "A 2406-2025")</f>
        <v/>
      </c>
      <c r="X22">
        <f>HYPERLINK("https://klasma.github.io/Logging_1781/kartor/A 2406-2025 karta.png", "A 2406-2025")</f>
        <v/>
      </c>
      <c r="Y22">
        <f>HYPERLINK("https://klasma.github.io/Logging_1781/kartor_geotiff/A 2406-2025 georefererad karta.tif", "A 2406-2025")</f>
        <v/>
      </c>
      <c r="AA22">
        <f>HYPERLINK("https://klasma.github.io/Logging_1781/klagomål/A 2406-2025 FSC-klagomål.docx", "A 2406-2025")</f>
        <v/>
      </c>
      <c r="AB22">
        <f>HYPERLINK("https://klasma.github.io/Logging_1781/klagomålsmail/A 2406-2025 FSC-klagomål mail.docx", "A 2406-2025")</f>
        <v/>
      </c>
      <c r="AC22">
        <f>HYPERLINK("https://klasma.github.io/Logging_1781/tillsyn/A 2406-2025 tillsynsbegäran.docx", "A 2406-2025")</f>
        <v/>
      </c>
      <c r="AD22">
        <f>HYPERLINK("https://klasma.github.io/Logging_1781/tillsynsmail/A 2406-2025 tillsynsbegäran mail.docx", "A 2406-2025")</f>
        <v/>
      </c>
    </row>
    <row r="23" ht="15" customHeight="1">
      <c r="A23" t="inlineStr">
        <is>
          <t>A 13025-2023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45002</v>
      </c>
      <c r="E23" s="1" t="n">
        <v>46303</v>
      </c>
      <c r="F23" t="inlineStr">
        <is>
          <t>VÄRMLANDS LÄN</t>
        </is>
      </c>
      <c r="G23" t="inlineStr">
        <is>
          <t>KRISTINEHAMN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Kamjordstjärna</t>
        </is>
      </c>
      <c r="W23">
        <f>HYPERLINK("https://klasma.github.io/Logging_1781/artfynd/A 13025-2023 artfynd.xlsx", "A 13025-2023")</f>
        <v/>
      </c>
      <c r="X23">
        <f>HYPERLINK("https://klasma.github.io/Logging_1781/kartor/A 13025-2023 karta.png", "A 13025-2023")</f>
        <v/>
      </c>
      <c r="Y23">
        <f>HYPERLINK("https://klasma.github.io/Logging_1781/kartor_geotiff/A 13025-2023 georefererad karta.tif", "A 13025-2023")</f>
        <v/>
      </c>
      <c r="AA23">
        <f>HYPERLINK("https://klasma.github.io/Logging_1781/klagomål/A 13025-2023 FSC-klagomål.docx", "A 13025-2023")</f>
        <v/>
      </c>
      <c r="AB23">
        <f>HYPERLINK("https://klasma.github.io/Logging_1781/klagomålsmail/A 13025-2023 FSC-klagomål mail.docx", "A 13025-2023")</f>
        <v/>
      </c>
      <c r="AC23">
        <f>HYPERLINK("https://klasma.github.io/Logging_1781/tillsyn/A 13025-2023 tillsynsbegäran.docx", "A 13025-2023")</f>
        <v/>
      </c>
      <c r="AD23">
        <f>HYPERLINK("https://klasma.github.io/Logging_1781/tillsynsmail/A 13025-2023 tillsynsbegäran mail.docx", "A 13025-2023")</f>
        <v/>
      </c>
    </row>
    <row r="24" ht="15" customHeight="1">
      <c r="A24" t="inlineStr">
        <is>
          <t>A 25888-2025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45804</v>
      </c>
      <c r="E24" s="1" t="n">
        <v>46303</v>
      </c>
      <c r="F24" t="inlineStr">
        <is>
          <t>VÄRMLANDS LÄN</t>
        </is>
      </c>
      <c r="G24" t="inlineStr">
        <is>
          <t>KRISTINEHAMN</t>
        </is>
      </c>
      <c r="I24" t="n">
        <v>5.9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HYPERLINK("https://klasma.github.io/Logging_1781/artfynd/A 25888-2025 artfynd.xlsx", "A 25888-2025")</f>
        <v/>
      </c>
      <c r="X24">
        <f>HYPERLINK("https://klasma.github.io/Logging_1781/kartor/A 25888-2025 karta.png", "A 25888-2025")</f>
        <v/>
      </c>
      <c r="Y24">
        <f>HYPERLINK("https://klasma.github.io/Logging_1781/kartor_geotiff/A 25888-2025 georefererad karta.tif", "A 25888-2025")</f>
        <v/>
      </c>
      <c r="AA24">
        <f>HYPERLINK("https://klasma.github.io/Logging_1781/klagomål/A 25888-2025 FSC-klagomål.docx", "A 25888-2025")</f>
        <v/>
      </c>
      <c r="AB24">
        <f>HYPERLINK("https://klasma.github.io/Logging_1781/klagomålsmail/A 25888-2025 FSC-klagomål mail.docx", "A 25888-2025")</f>
        <v/>
      </c>
      <c r="AC24">
        <f>HYPERLINK("https://klasma.github.io/Logging_1781/tillsyn/A 25888-2025 tillsynsbegäran.docx", "A 25888-2025")</f>
        <v/>
      </c>
      <c r="AD24">
        <f>HYPERLINK("https://klasma.github.io/Logging_1781/tillsynsmail/A 25888-2025 tillsynsbegäran mail.docx", "A 25888-2025")</f>
        <v/>
      </c>
      <c r="AE24">
        <f>HYPERLINK("https://klasma.github.io/Logging_1781/fåglar/A 25888-2025 prioriterade fågelarter.docx", "A 25888-2025")</f>
        <v/>
      </c>
    </row>
    <row r="25" ht="15" customHeight="1">
      <c r="A25" t="inlineStr">
        <is>
          <t>A 28394-2025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46303</v>
      </c>
      <c r="F25" t="inlineStr">
        <is>
          <t>VÄRMLANDS LÄN</t>
        </is>
      </c>
      <c r="G25" t="inlineStr">
        <is>
          <t>KRISTINEHAMN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vårtrattskivling</t>
        </is>
      </c>
      <c r="W25">
        <f>HYPERLINK("https://klasma.github.io/Logging_1781/artfynd/A 28394-2025 artfynd.xlsx", "A 28394-2025")</f>
        <v/>
      </c>
      <c r="X25">
        <f>HYPERLINK("https://klasma.github.io/Logging_1781/kartor/A 28394-2025 karta.png", "A 28394-2025")</f>
        <v/>
      </c>
      <c r="Y25">
        <f>HYPERLINK("https://klasma.github.io/Logging_1781/kartor_geotiff/A 28394-2025 georefererad karta.tif", "A 28394-2025")</f>
        <v/>
      </c>
      <c r="AA25">
        <f>HYPERLINK("https://klasma.github.io/Logging_1781/klagomål/A 28394-2025 FSC-klagomål.docx", "A 28394-2025")</f>
        <v/>
      </c>
      <c r="AB25">
        <f>HYPERLINK("https://klasma.github.io/Logging_1781/klagomålsmail/A 28394-2025 FSC-klagomål mail.docx", "A 28394-2025")</f>
        <v/>
      </c>
      <c r="AC25">
        <f>HYPERLINK("https://klasma.github.io/Logging_1781/tillsyn/A 28394-2025 tillsynsbegäran.docx", "A 28394-2025")</f>
        <v/>
      </c>
      <c r="AD25">
        <f>HYPERLINK("https://klasma.github.io/Logging_1781/tillsynsmail/A 28394-2025 tillsynsbegäran mail.docx", "A 28394-2025")</f>
        <v/>
      </c>
    </row>
    <row r="26" ht="15" customHeight="1">
      <c r="A26" t="inlineStr">
        <is>
          <t>A 12593-2024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45380</v>
      </c>
      <c r="E26" s="1" t="n">
        <v>46303</v>
      </c>
      <c r="F26" t="inlineStr">
        <is>
          <t>VÄRMLANDS LÄN</t>
        </is>
      </c>
      <c r="G26" t="inlineStr">
        <is>
          <t>KRISTINEHAMN</t>
        </is>
      </c>
      <c r="I26" t="n">
        <v>5.9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Bombmurkla</t>
        </is>
      </c>
      <c r="W26">
        <f>HYPERLINK("https://klasma.github.io/Logging_1781/artfynd/A 12593-2024 artfynd.xlsx", "A 12593-2024")</f>
        <v/>
      </c>
      <c r="X26">
        <f>HYPERLINK("https://klasma.github.io/Logging_1781/kartor/A 12593-2024 karta.png", "A 12593-2024")</f>
        <v/>
      </c>
      <c r="Y26">
        <f>HYPERLINK("https://klasma.github.io/Logging_1781/kartor_geotiff/A 12593-2024 georefererad karta.tif", "A 12593-2024")</f>
        <v/>
      </c>
      <c r="AA26">
        <f>HYPERLINK("https://klasma.github.io/Logging_1781/klagomål/A 12593-2024 FSC-klagomål.docx", "A 12593-2024")</f>
        <v/>
      </c>
      <c r="AB26">
        <f>HYPERLINK("https://klasma.github.io/Logging_1781/klagomålsmail/A 12593-2024 FSC-klagomål mail.docx", "A 12593-2024")</f>
        <v/>
      </c>
      <c r="AC26">
        <f>HYPERLINK("https://klasma.github.io/Logging_1781/tillsyn/A 12593-2024 tillsynsbegäran.docx", "A 12593-2024")</f>
        <v/>
      </c>
      <c r="AD26">
        <f>HYPERLINK("https://klasma.github.io/Logging_1781/tillsynsmail/A 12593-2024 tillsynsbegäran mail.docx", "A 12593-2024")</f>
        <v/>
      </c>
    </row>
    <row r="27" ht="15" customHeight="1">
      <c r="A27" t="inlineStr">
        <is>
          <t>A 3302-2022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44584</v>
      </c>
      <c r="E27" s="1" t="n">
        <v>46303</v>
      </c>
      <c r="F27" t="inlineStr">
        <is>
          <t>VÄRMLANDS LÄN</t>
        </is>
      </c>
      <c r="G27" t="inlineStr">
        <is>
          <t>KRISTINEHAMN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Bombmurkla</t>
        </is>
      </c>
      <c r="W27">
        <f>HYPERLINK("https://klasma.github.io/Logging_1781/artfynd/A 3302-2022 artfynd.xlsx", "A 3302-2022")</f>
        <v/>
      </c>
      <c r="X27">
        <f>HYPERLINK("https://klasma.github.io/Logging_1781/kartor/A 3302-2022 karta.png", "A 3302-2022")</f>
        <v/>
      </c>
      <c r="Y27">
        <f>HYPERLINK("https://klasma.github.io/Logging_1781/kartor_geotiff/A 3302-2022 georefererad karta.tif", "A 3302-2022")</f>
        <v/>
      </c>
      <c r="AA27">
        <f>HYPERLINK("https://klasma.github.io/Logging_1781/klagomål/A 3302-2022 FSC-klagomål.docx", "A 3302-2022")</f>
        <v/>
      </c>
      <c r="AB27">
        <f>HYPERLINK("https://klasma.github.io/Logging_1781/klagomålsmail/A 3302-2022 FSC-klagomål mail.docx", "A 3302-2022")</f>
        <v/>
      </c>
      <c r="AC27">
        <f>HYPERLINK("https://klasma.github.io/Logging_1781/tillsyn/A 3302-2022 tillsynsbegäran.docx", "A 3302-2022")</f>
        <v/>
      </c>
      <c r="AD27">
        <f>HYPERLINK("https://klasma.github.io/Logging_1781/tillsynsmail/A 3302-2022 tillsynsbegäran mail.docx", "A 3302-2022")</f>
        <v/>
      </c>
    </row>
    <row r="28" ht="15" customHeight="1">
      <c r="A28" t="inlineStr">
        <is>
          <t>A 53607-2025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46303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53607-2025 artfynd.xlsx", "A 53607-2025")</f>
        <v/>
      </c>
      <c r="X28">
        <f>HYPERLINK("https://klasma.github.io/Logging_1781/kartor/A 53607-2025 karta.png", "A 53607-2025")</f>
        <v/>
      </c>
      <c r="Y28">
        <f>HYPERLINK("https://klasma.github.io/Logging_1781/kartor_geotiff/A 53607-2025 georefererad karta.tif", "A 53607-2025")</f>
        <v/>
      </c>
      <c r="AA28">
        <f>HYPERLINK("https://klasma.github.io/Logging_1781/klagomål/A 53607-2025 FSC-klagomål.docx", "A 53607-2025")</f>
        <v/>
      </c>
      <c r="AB28">
        <f>HYPERLINK("https://klasma.github.io/Logging_1781/klagomålsmail/A 53607-2025 FSC-klagomål mail.docx", "A 53607-2025")</f>
        <v/>
      </c>
      <c r="AC28">
        <f>HYPERLINK("https://klasma.github.io/Logging_1781/tillsyn/A 53607-2025 tillsynsbegäran.docx", "A 53607-2025")</f>
        <v/>
      </c>
      <c r="AD28">
        <f>HYPERLINK("https://klasma.github.io/Logging_1781/tillsynsmail/A 53607-2025 tillsynsbegäran mail.docx", "A 53607-2025")</f>
        <v/>
      </c>
    </row>
    <row r="29" ht="15" customHeight="1">
      <c r="A29" t="inlineStr">
        <is>
          <t>A 53630-2025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46303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53630-2025 artfynd.xlsx", "A 53630-2025")</f>
        <v/>
      </c>
      <c r="X29">
        <f>HYPERLINK("https://klasma.github.io/Logging_1781/kartor/A 53630-2025 karta.png", "A 53630-2025")</f>
        <v/>
      </c>
      <c r="Y29">
        <f>HYPERLINK("https://klasma.github.io/Logging_1781/kartor_geotiff/A 53630-2025 georefererad karta.tif", "A 53630-2025")</f>
        <v/>
      </c>
      <c r="AA29">
        <f>HYPERLINK("https://klasma.github.io/Logging_1781/klagomål/A 53630-2025 FSC-klagomål.docx", "A 53630-2025")</f>
        <v/>
      </c>
      <c r="AB29">
        <f>HYPERLINK("https://klasma.github.io/Logging_1781/klagomålsmail/A 53630-2025 FSC-klagomål mail.docx", "A 53630-2025")</f>
        <v/>
      </c>
      <c r="AC29">
        <f>HYPERLINK("https://klasma.github.io/Logging_1781/tillsyn/A 53630-2025 tillsynsbegäran.docx", "A 53630-2025")</f>
        <v/>
      </c>
      <c r="AD29">
        <f>HYPERLINK("https://klasma.github.io/Logging_1781/tillsynsmail/A 53630-2025 tillsynsbegäran mail.docx", "A 53630-2025")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46303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59096-2024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45637</v>
      </c>
      <c r="E31" s="1" t="n">
        <v>46303</v>
      </c>
      <c r="F31" t="inlineStr">
        <is>
          <t>VÄRMLANDS LÄN</t>
        </is>
      </c>
      <c r="G31" t="inlineStr">
        <is>
          <t>KRISTINEHAMN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Bombmurkla</t>
        </is>
      </c>
      <c r="W31">
        <f>HYPERLINK("https://klasma.github.io/Logging_1781/artfynd/A 59096-2024 artfynd.xlsx", "A 59096-2024")</f>
        <v/>
      </c>
      <c r="X31">
        <f>HYPERLINK("https://klasma.github.io/Logging_1781/kartor/A 59096-2024 karta.png", "A 59096-2024")</f>
        <v/>
      </c>
      <c r="Y31">
        <f>HYPERLINK("https://klasma.github.io/Logging_1781/kartor_geotiff/A 59096-2024 georefererad karta.tif", "A 59096-2024")</f>
        <v/>
      </c>
      <c r="AA31">
        <f>HYPERLINK("https://klasma.github.io/Logging_1781/klagomål/A 59096-2024 FSC-klagomål.docx", "A 59096-2024")</f>
        <v/>
      </c>
      <c r="AB31">
        <f>HYPERLINK("https://klasma.github.io/Logging_1781/klagomålsmail/A 59096-2024 FSC-klagomål mail.docx", "A 59096-2024")</f>
        <v/>
      </c>
      <c r="AC31">
        <f>HYPERLINK("https://klasma.github.io/Logging_1781/tillsyn/A 59096-2024 tillsynsbegäran.docx", "A 59096-2024")</f>
        <v/>
      </c>
      <c r="AD31">
        <f>HYPERLINK("https://klasma.github.io/Logging_1781/tillsynsmail/A 59096-2024 tillsynsbegäran mail.docx", "A 59096-2024")</f>
        <v/>
      </c>
    </row>
    <row r="32" ht="15" customHeight="1">
      <c r="A32" t="inlineStr">
        <is>
          <t>A 58021-2025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46303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HYPERLINK("https://klasma.github.io/Logging_1781/artfynd/A 58021-2025 artfynd.xlsx", "A 58021-2025")</f>
        <v/>
      </c>
      <c r="X32">
        <f>HYPERLINK("https://klasma.github.io/Logging_1781/kartor/A 58021-2025 karta.png", "A 58021-2025")</f>
        <v/>
      </c>
      <c r="Y32">
        <f>HYPERLINK("https://klasma.github.io/Logging_1781/kartor_geotiff/A 58021-2025 georefererad karta.tif", "A 58021-2025")</f>
        <v/>
      </c>
      <c r="AA32">
        <f>HYPERLINK("https://klasma.github.io/Logging_1781/klagomål/A 58021-2025 FSC-klagomål.docx", "A 58021-2025")</f>
        <v/>
      </c>
      <c r="AB32">
        <f>HYPERLINK("https://klasma.github.io/Logging_1781/klagomålsmail/A 58021-2025 FSC-klagomål mail.docx", "A 58021-2025")</f>
        <v/>
      </c>
      <c r="AC32">
        <f>HYPERLINK("https://klasma.github.io/Logging_1781/tillsyn/A 58021-2025 tillsynsbegäran.docx", "A 58021-2025")</f>
        <v/>
      </c>
      <c r="AD32">
        <f>HYPERLINK("https://klasma.github.io/Logging_1781/tillsynsmail/A 58021-2025 tillsynsbegäran mail.docx", "A 58021-2025")</f>
        <v/>
      </c>
    </row>
    <row r="33" ht="15" customHeight="1">
      <c r="A33" t="inlineStr">
        <is>
          <t>A 20746-2026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46141</v>
      </c>
      <c r="E33" s="1" t="n">
        <v>46303</v>
      </c>
      <c r="F33" t="inlineStr">
        <is>
          <t>VÄRMLANDS LÄN</t>
        </is>
      </c>
      <c r="G33" t="inlineStr">
        <is>
          <t>KRISTINEHAMN</t>
        </is>
      </c>
      <c r="H33" t="inlineStr">
        <is>
          <t>Naturvårdsverket</t>
        </is>
      </c>
      <c r="I33" t="n">
        <v>6.3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HYPERLINK("https://klasma.github.io/Logging_1781/artfynd/A 20746-2026 artfynd.xlsx", "A 20746-2026")</f>
        <v/>
      </c>
      <c r="X33">
        <f>HYPERLINK("https://klasma.github.io/Logging_1781/kartor/A 20746-2026 karta.png", "A 20746-2026")</f>
        <v/>
      </c>
      <c r="Y33">
        <f>HYPERLINK("https://klasma.github.io/Logging_1781/kartor_geotiff/A 20746-2026 georefererad karta.tif", "A 20746-2026")</f>
        <v/>
      </c>
      <c r="AA33">
        <f>HYPERLINK("https://klasma.github.io/Logging_1781/klagomål/A 20746-2026 FSC-klagomål.docx", "A 20746-2026")</f>
        <v/>
      </c>
      <c r="AB33">
        <f>HYPERLINK("https://klasma.github.io/Logging_1781/klagomålsmail/A 20746-2026 FSC-klagomål mail.docx", "A 20746-2026")</f>
        <v/>
      </c>
      <c r="AC33">
        <f>HYPERLINK("https://klasma.github.io/Logging_1781/tillsyn/A 20746-2026 tillsynsbegäran.docx", "A 20746-2026")</f>
        <v/>
      </c>
      <c r="AD33">
        <f>HYPERLINK("https://klasma.github.io/Logging_1781/tillsynsmail/A 20746-2026 tillsynsbegäran mail.docx", "A 20746-2026")</f>
        <v/>
      </c>
    </row>
    <row r="34" ht="15" customHeight="1">
      <c r="A34" t="inlineStr">
        <is>
          <t>A 61238-2025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46303</v>
      </c>
      <c r="F34" t="inlineStr">
        <is>
          <t>VÄRMLANDS LÄN</t>
        </is>
      </c>
      <c r="G34" t="inlineStr">
        <is>
          <t>KRISTINEHAMN</t>
        </is>
      </c>
      <c r="I34" t="n">
        <v>5.8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Sparvuggla</t>
        </is>
      </c>
      <c r="W34">
        <f>HYPERLINK("https://klasma.github.io/Logging_1781/artfynd/A 61238-2025 artfynd.xlsx", "A 61238-2025")</f>
        <v/>
      </c>
      <c r="X34">
        <f>HYPERLINK("https://klasma.github.io/Logging_1781/kartor/A 61238-2025 karta.png", "A 61238-2025")</f>
        <v/>
      </c>
      <c r="Y34">
        <f>HYPERLINK("https://klasma.github.io/Logging_1781/kartor_geotiff/A 61238-2025 georefererad karta.tif", "A 61238-2025")</f>
        <v/>
      </c>
      <c r="AA34">
        <f>HYPERLINK("https://klasma.github.io/Logging_1781/klagomål/A 61238-2025 FSC-klagomål.docx", "A 61238-2025")</f>
        <v/>
      </c>
      <c r="AB34">
        <f>HYPERLINK("https://klasma.github.io/Logging_1781/klagomålsmail/A 61238-2025 FSC-klagomål mail.docx", "A 61238-2025")</f>
        <v/>
      </c>
      <c r="AC34">
        <f>HYPERLINK("https://klasma.github.io/Logging_1781/tillsyn/A 61238-2025 tillsynsbegäran.docx", "A 61238-2025")</f>
        <v/>
      </c>
      <c r="AD34">
        <f>HYPERLINK("https://klasma.github.io/Logging_1781/tillsynsmail/A 61238-2025 tillsynsbegäran mail.docx", "A 61238-2025")</f>
        <v/>
      </c>
      <c r="AE34">
        <f>HYPERLINK("https://klasma.github.io/Logging_1781/fåglar/A 61238-2025 prioriterade fågelarter.docx", "A 61238-2025")</f>
        <v/>
      </c>
    </row>
    <row r="35" ht="15" customHeight="1">
      <c r="A35" t="inlineStr">
        <is>
          <t>A 60714-2025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46303</v>
      </c>
      <c r="F35" t="inlineStr">
        <is>
          <t>VÄRMLANDS LÄN</t>
        </is>
      </c>
      <c r="G35" t="inlineStr">
        <is>
          <t>KRISTINEHAMN</t>
        </is>
      </c>
      <c r="I35" t="n">
        <v>0.5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Björksplintborre</t>
        </is>
      </c>
      <c r="W35">
        <f>HYPERLINK("https://klasma.github.io/Logging_1781/artfynd/A 60714-2025 artfynd.xlsx", "A 60714-2025")</f>
        <v/>
      </c>
      <c r="X35">
        <f>HYPERLINK("https://klasma.github.io/Logging_1781/kartor/A 60714-2025 karta.png", "A 60714-2025")</f>
        <v/>
      </c>
      <c r="Y35">
        <f>HYPERLINK("https://klasma.github.io/Logging_1781/kartor_geotiff/A 60714-2025 georefererad karta.tif", "A 60714-2025")</f>
        <v/>
      </c>
      <c r="AA35">
        <f>HYPERLINK("https://klasma.github.io/Logging_1781/klagomål/A 60714-2025 FSC-klagomål.docx", "A 60714-2025")</f>
        <v/>
      </c>
      <c r="AB35">
        <f>HYPERLINK("https://klasma.github.io/Logging_1781/klagomålsmail/A 60714-2025 FSC-klagomål mail.docx", "A 60714-2025")</f>
        <v/>
      </c>
      <c r="AC35">
        <f>HYPERLINK("https://klasma.github.io/Logging_1781/tillsyn/A 60714-2025 tillsynsbegäran.docx", "A 60714-2025")</f>
        <v/>
      </c>
      <c r="AD35">
        <f>HYPERLINK("https://klasma.github.io/Logging_1781/tillsynsmail/A 60714-2025 tillsynsbegäran mail.docx", "A 60714-2025")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46303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14762-2026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46101</v>
      </c>
      <c r="E37" s="1" t="n">
        <v>46303</v>
      </c>
      <c r="F37" t="inlineStr">
        <is>
          <t>VÄRMLANDS LÄN</t>
        </is>
      </c>
      <c r="G37" t="inlineStr">
        <is>
          <t>KRISTINEHAMN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Fläcknycklar</t>
        </is>
      </c>
      <c r="W37">
        <f>HYPERLINK("https://klasma.github.io/Logging_1781/artfynd/A 14762-2026 artfynd.xlsx", "A 14762-2026")</f>
        <v/>
      </c>
      <c r="X37">
        <f>HYPERLINK("https://klasma.github.io/Logging_1781/kartor/A 14762-2026 karta.png", "A 14762-2026")</f>
        <v/>
      </c>
      <c r="Y37">
        <f>HYPERLINK("https://klasma.github.io/Logging_1781/kartor_geotiff/A 14762-2026 georefererad karta.tif", "A 14762-2026")</f>
        <v/>
      </c>
      <c r="AA37">
        <f>HYPERLINK("https://klasma.github.io/Logging_1781/klagomål/A 14762-2026 FSC-klagomål.docx", "A 14762-2026")</f>
        <v/>
      </c>
      <c r="AB37">
        <f>HYPERLINK("https://klasma.github.io/Logging_1781/klagomålsmail/A 14762-2026 FSC-klagomål mail.docx", "A 14762-2026")</f>
        <v/>
      </c>
      <c r="AC37">
        <f>HYPERLINK("https://klasma.github.io/Logging_1781/tillsyn/A 14762-2026 tillsynsbegäran.docx", "A 14762-2026")</f>
        <v/>
      </c>
      <c r="AD37">
        <f>HYPERLINK("https://klasma.github.io/Logging_1781/tillsynsmail/A 14762-2026 tillsynsbegäran mail.docx", "A 14762-2026")</f>
        <v/>
      </c>
    </row>
    <row r="38" ht="15" customHeight="1">
      <c r="A38" t="inlineStr">
        <is>
          <t>A 14760-2026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46101</v>
      </c>
      <c r="E38" s="1" t="n">
        <v>46303</v>
      </c>
      <c r="F38" t="inlineStr">
        <is>
          <t>VÄRMLANDS LÄN</t>
        </is>
      </c>
      <c r="G38" t="inlineStr">
        <is>
          <t>KRISTINEHAMN</t>
        </is>
      </c>
      <c r="H38" t="inlineStr">
        <is>
          <t>Sveaskog</t>
        </is>
      </c>
      <c r="I38" t="n">
        <v>8.300000000000001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Fläcknycklar</t>
        </is>
      </c>
      <c r="W38">
        <f>HYPERLINK("https://klasma.github.io/Logging_1781/artfynd/A 14760-2026 artfynd.xlsx", "A 14760-2026")</f>
        <v/>
      </c>
      <c r="X38">
        <f>HYPERLINK("https://klasma.github.io/Logging_1781/kartor/A 14760-2026 karta.png", "A 14760-2026")</f>
        <v/>
      </c>
      <c r="Y38">
        <f>HYPERLINK("https://klasma.github.io/Logging_1781/kartor_geotiff/A 14760-2026 georefererad karta.tif", "A 14760-2026")</f>
        <v/>
      </c>
      <c r="AA38">
        <f>HYPERLINK("https://klasma.github.io/Logging_1781/klagomål/A 14760-2026 FSC-klagomål.docx", "A 14760-2026")</f>
        <v/>
      </c>
      <c r="AB38">
        <f>HYPERLINK("https://klasma.github.io/Logging_1781/klagomålsmail/A 14760-2026 FSC-klagomål mail.docx", "A 14760-2026")</f>
        <v/>
      </c>
      <c r="AC38">
        <f>HYPERLINK("https://klasma.github.io/Logging_1781/tillsyn/A 14760-2026 tillsynsbegäran.docx", "A 14760-2026")</f>
        <v/>
      </c>
      <c r="AD38">
        <f>HYPERLINK("https://klasma.github.io/Logging_1781/tillsynsmail/A 14760-2026 tillsynsbegäran mail.docx", "A 14760-2026")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46303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2487-2022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44693</v>
      </c>
      <c r="E40" s="1" t="n">
        <v>46303</v>
      </c>
      <c r="F40" t="inlineStr">
        <is>
          <t>VÄRMLANDS LÄN</t>
        </is>
      </c>
      <c r="G40" t="inlineStr">
        <is>
          <t>KRISTINEHAMN</t>
        </is>
      </c>
      <c r="I40" t="n">
        <v>43.2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Gråskimlig fladdermus</t>
        </is>
      </c>
      <c r="W40">
        <f>HYPERLINK("https://klasma.github.io/Logging_1781/artfynd/S 2487-2022 artfynd.xlsx", "S 2487-2022")</f>
        <v/>
      </c>
      <c r="X40">
        <f>HYPERLINK("https://klasma.github.io/Logging_1781/kartor/S 2487-2022 karta.png", "S 2487-2022")</f>
        <v/>
      </c>
      <c r="Y40">
        <f>HYPERLINK("https://klasma.github.io/Logging_1781/kartor_geotiff/S 2487-2022 georefererad karta.tif", "S 2487-2022")</f>
        <v/>
      </c>
      <c r="AA40">
        <f>HYPERLINK("https://klasma.github.io/Logging_1781/klagomål/S 2487-2022 FSC-klagomål.docx", "S 2487-2022")</f>
        <v/>
      </c>
      <c r="AB40">
        <f>HYPERLINK("https://klasma.github.io/Logging_1781/klagomålsmail/S 2487-2022 FSC-klagomål mail.docx", "S 2487-2022")</f>
        <v/>
      </c>
      <c r="AC40">
        <f>HYPERLINK("https://klasma.github.io/Logging_1781/tillsyn/S 2487-2022 tillsynsbegäran.docx", "S 2487-2022")</f>
        <v/>
      </c>
      <c r="AD40">
        <f>HYPERLINK("https://klasma.github.io/Logging_1781/tillsynsmail/S 2487-2022 tillsynsbegäran mail.docx", "S 2487-2022")</f>
        <v/>
      </c>
    </row>
    <row r="41" ht="15" customHeight="1">
      <c r="A41" t="inlineStr">
        <is>
          <t>S 4185-2024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45579</v>
      </c>
      <c r="E41" s="1" t="n">
        <v>46303</v>
      </c>
      <c r="F41" t="inlineStr">
        <is>
          <t>VÄRMLANDS LÄN</t>
        </is>
      </c>
      <c r="G41" t="inlineStr">
        <is>
          <t>KRISTINEHAMN</t>
        </is>
      </c>
      <c r="I41" t="n">
        <v>33.7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Björksplintborre</t>
        </is>
      </c>
      <c r="W41">
        <f>HYPERLINK("https://klasma.github.io/Logging_1781/artfynd/S 4185-2024 artfynd.xlsx", "S 4185-2024")</f>
        <v/>
      </c>
      <c r="X41">
        <f>HYPERLINK("https://klasma.github.io/Logging_1781/kartor/S 4185-2024 karta.png", "S 4185-2024")</f>
        <v/>
      </c>
      <c r="Y41">
        <f>HYPERLINK("https://klasma.github.io/Logging_1781/kartor_geotiff/S 4185-2024 georefererad karta.tif", "S 4185-2024")</f>
        <v/>
      </c>
      <c r="AA41">
        <f>HYPERLINK("https://klasma.github.io/Logging_1781/klagomål/S 4185-2024 FSC-klagomål.docx", "S 4185-2024")</f>
        <v/>
      </c>
      <c r="AB41">
        <f>HYPERLINK("https://klasma.github.io/Logging_1781/klagomålsmail/S 4185-2024 FSC-klagomål mail.docx", "S 4185-2024")</f>
        <v/>
      </c>
      <c r="AC41">
        <f>HYPERLINK("https://klasma.github.io/Logging_1781/tillsyn/S 4185-2024 tillsynsbegäran.docx", "S 4185-2024")</f>
        <v/>
      </c>
      <c r="AD41">
        <f>HYPERLINK("https://klasma.github.io/Logging_1781/tillsynsmail/S 4185-2024 tillsynsbegäran mail.docx", "S 4185-2024")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46303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46303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46303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46303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46303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46303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46303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46303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46303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46303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46303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46303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46303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46303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46303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44769</v>
      </c>
      <c r="E57" s="1" t="n">
        <v>46303</v>
      </c>
      <c r="F57" t="inlineStr">
        <is>
          <t>VÄRMLANDS LÄN</t>
        </is>
      </c>
      <c r="G57" t="inlineStr">
        <is>
          <t>KRISTINEHAMN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46303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46303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46303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46303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46303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46303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46303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46303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46303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46303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46303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46303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46303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46303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46303</v>
      </c>
      <c r="F72" t="inlineStr">
        <is>
          <t>VÄRMLANDS LÄN</t>
        </is>
      </c>
      <c r="G72" t="inlineStr">
        <is>
          <t>KRISTINEHAMN</t>
        </is>
      </c>
      <c r="I72" t="n">
        <v>11.3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44591</v>
      </c>
      <c r="E73" s="1" t="n">
        <v>46303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62032-2024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45656</v>
      </c>
      <c r="E74" s="1" t="n">
        <v>46303</v>
      </c>
      <c r="F74" t="inlineStr">
        <is>
          <t>VÄRMLANDS LÄN</t>
        </is>
      </c>
      <c r="G74" t="inlineStr">
        <is>
          <t>KRISTINEHAMN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46303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66438-2021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46303</v>
      </c>
      <c r="F76" t="inlineStr">
        <is>
          <t>VÄRMLANDS LÄN</t>
        </is>
      </c>
      <c r="G76" t="inlineStr">
        <is>
          <t>KRISTINEHAMN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66442-2021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46303</v>
      </c>
      <c r="F77" t="inlineStr">
        <is>
          <t>VÄRMLANDS LÄN</t>
        </is>
      </c>
      <c r="G77" t="inlineStr">
        <is>
          <t>KRISTINEHAMN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61707-2021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44501</v>
      </c>
      <c r="E78" s="1" t="n">
        <v>46303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46303</v>
      </c>
      <c r="F79" t="inlineStr">
        <is>
          <t>VÄRMLANDS LÄN</t>
        </is>
      </c>
      <c r="G79" t="inlineStr">
        <is>
          <t>KRISTINEHAMN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46303</v>
      </c>
      <c r="F80" t="inlineStr">
        <is>
          <t>VÄRMLANDS LÄN</t>
        </is>
      </c>
      <c r="G80" t="inlineStr">
        <is>
          <t>KRISTINEHAMN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44987</v>
      </c>
      <c r="E81" s="1" t="n">
        <v>46303</v>
      </c>
      <c r="F81" t="inlineStr">
        <is>
          <t>VÄRMLANDS LÄN</t>
        </is>
      </c>
      <c r="G81" t="inlineStr">
        <is>
          <t>KRISTINEHAMN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44741</v>
      </c>
      <c r="E82" s="1" t="n">
        <v>46303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61675-2024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45647</v>
      </c>
      <c r="E83" s="1" t="n">
        <v>46303</v>
      </c>
      <c r="F83" t="inlineStr">
        <is>
          <t>VÄRMLANDS LÄN</t>
        </is>
      </c>
      <c r="G83" t="inlineStr">
        <is>
          <t>KRISTINEHAMN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46303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45002</v>
      </c>
      <c r="E85" s="1" t="n">
        <v>46303</v>
      </c>
      <c r="F85" t="inlineStr">
        <is>
          <t>VÄRMLANDS LÄN</t>
        </is>
      </c>
      <c r="G85" t="inlineStr">
        <is>
          <t>KRISTINEHAMN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46303</v>
      </c>
      <c r="F86" t="inlineStr">
        <is>
          <t>VÄRMLANDS LÄN</t>
        </is>
      </c>
      <c r="G86" t="inlineStr">
        <is>
          <t>KRISTINEHAMN</t>
        </is>
      </c>
      <c r="I86" t="n">
        <v>8.800000000000001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41857-2023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45176</v>
      </c>
      <c r="E87" s="1" t="n">
        <v>46303</v>
      </c>
      <c r="F87" t="inlineStr">
        <is>
          <t>VÄRMLANDS LÄN</t>
        </is>
      </c>
      <c r="G87" t="inlineStr">
        <is>
          <t>KRISTINEHAMN</t>
        </is>
      </c>
      <c r="H87" t="inlineStr">
        <is>
          <t>Naturvårdsverket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45686</v>
      </c>
      <c r="E88" s="1" t="n">
        <v>46303</v>
      </c>
      <c r="F88" t="inlineStr">
        <is>
          <t>VÄRMLANDS LÄN</t>
        </is>
      </c>
      <c r="G88" t="inlineStr">
        <is>
          <t>KRISTINEHAMN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27525-2022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44742</v>
      </c>
      <c r="E89" s="1" t="n">
        <v>46303</v>
      </c>
      <c r="F89" t="inlineStr">
        <is>
          <t>VÄRMLANDS LÄN</t>
        </is>
      </c>
      <c r="G89" t="inlineStr">
        <is>
          <t>KRISTINEHAMN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44584</v>
      </c>
      <c r="E90" s="1" t="n">
        <v>46303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56875-2022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46303</v>
      </c>
      <c r="F91" t="inlineStr">
        <is>
          <t>VÄRMLANDS LÄN</t>
        </is>
      </c>
      <c r="G91" t="inlineStr">
        <is>
          <t>KRISTINEHAMN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44825</v>
      </c>
      <c r="E92" s="1" t="n">
        <v>46303</v>
      </c>
      <c r="F92" t="inlineStr">
        <is>
          <t>VÄRMLANDS LÄN</t>
        </is>
      </c>
      <c r="G92" t="inlineStr">
        <is>
          <t>KRISTINEHAMN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44855</v>
      </c>
      <c r="E93" s="1" t="n">
        <v>46303</v>
      </c>
      <c r="F93" t="inlineStr">
        <is>
          <t>VÄRMLANDS LÄN</t>
        </is>
      </c>
      <c r="G93" t="inlineStr">
        <is>
          <t>KRISTINEHAMN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50103-2023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46303</v>
      </c>
      <c r="F94" t="inlineStr">
        <is>
          <t>VÄRMLANDS LÄN</t>
        </is>
      </c>
      <c r="G94" t="inlineStr">
        <is>
          <t>KRISTINEHAMN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46303</v>
      </c>
      <c r="F95" t="inlineStr">
        <is>
          <t>VÄRMLANDS LÄN</t>
        </is>
      </c>
      <c r="G95" t="inlineStr">
        <is>
          <t>KRISTINEHAMN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21679-2022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44707</v>
      </c>
      <c r="E96" s="1" t="n">
        <v>46303</v>
      </c>
      <c r="F96" t="inlineStr">
        <is>
          <t>VÄRMLANDS LÄN</t>
        </is>
      </c>
      <c r="G96" t="inlineStr">
        <is>
          <t>KRISTINEHAMN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45202</v>
      </c>
      <c r="E97" s="1" t="n">
        <v>46303</v>
      </c>
      <c r="F97" t="inlineStr">
        <is>
          <t>VÄRMLANDS LÄN</t>
        </is>
      </c>
      <c r="G97" t="inlineStr">
        <is>
          <t>KRISTINEHAMN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44706</v>
      </c>
      <c r="E98" s="1" t="n">
        <v>46303</v>
      </c>
      <c r="F98" t="inlineStr">
        <is>
          <t>VÄRMLANDS LÄN</t>
        </is>
      </c>
      <c r="G98" t="inlineStr">
        <is>
          <t>KRISTINEHAMN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45202</v>
      </c>
      <c r="E99" s="1" t="n">
        <v>46303</v>
      </c>
      <c r="F99" t="inlineStr">
        <is>
          <t>VÄRMLANDS LÄN</t>
        </is>
      </c>
      <c r="G99" t="inlineStr">
        <is>
          <t>KRISTINEHAMN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70126-2021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44533</v>
      </c>
      <c r="E100" s="1" t="n">
        <v>46303</v>
      </c>
      <c r="F100" t="inlineStr">
        <is>
          <t>VÄRMLANDS LÄN</t>
        </is>
      </c>
      <c r="G100" t="inlineStr">
        <is>
          <t>KRISTINEHAMN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45679</v>
      </c>
      <c r="E101" s="1" t="n">
        <v>46303</v>
      </c>
      <c r="F101" t="inlineStr">
        <is>
          <t>VÄRMLANDS LÄN</t>
        </is>
      </c>
      <c r="G101" t="inlineStr">
        <is>
          <t>KRISTINEHAMN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44770</v>
      </c>
      <c r="E102" s="1" t="n">
        <v>46303</v>
      </c>
      <c r="F102" t="inlineStr">
        <is>
          <t>VÄRMLANDS LÄN</t>
        </is>
      </c>
      <c r="G102" t="inlineStr">
        <is>
          <t>KRISTINEHAMN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45685</v>
      </c>
      <c r="E103" s="1" t="n">
        <v>46303</v>
      </c>
      <c r="F103" t="inlineStr">
        <is>
          <t>VÄRMLANDS LÄN</t>
        </is>
      </c>
      <c r="G103" t="inlineStr">
        <is>
          <t>KRISTINEHAMN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62495-2022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46303</v>
      </c>
      <c r="F104" t="inlineStr">
        <is>
          <t>VÄRMLANDS LÄN</t>
        </is>
      </c>
      <c r="G104" t="inlineStr">
        <is>
          <t>KRISTINEHAMN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21602-2025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45783</v>
      </c>
      <c r="E105" s="1" t="n">
        <v>46303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45260</v>
      </c>
      <c r="E106" s="1" t="n">
        <v>46303</v>
      </c>
      <c r="F106" t="inlineStr">
        <is>
          <t>VÄRMLANDS LÄN</t>
        </is>
      </c>
      <c r="G106" t="inlineStr">
        <is>
          <t>KRISTINEHAMN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45253</v>
      </c>
      <c r="E107" s="1" t="n">
        <v>46303</v>
      </c>
      <c r="F107" t="inlineStr">
        <is>
          <t>VÄRMLANDS LÄN</t>
        </is>
      </c>
      <c r="G107" t="inlineStr">
        <is>
          <t>KRISTINEHAMN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46303</v>
      </c>
      <c r="F108" t="inlineStr">
        <is>
          <t>VÄRMLANDS LÄN</t>
        </is>
      </c>
      <c r="G108" t="inlineStr">
        <is>
          <t>KRISTINEHAMN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45226</v>
      </c>
      <c r="E109" s="1" t="n">
        <v>46303</v>
      </c>
      <c r="F109" t="inlineStr">
        <is>
          <t>VÄRMLANDS LÄN</t>
        </is>
      </c>
      <c r="G109" t="inlineStr">
        <is>
          <t>KRISTINEHAMN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45226</v>
      </c>
      <c r="E110" s="1" t="n">
        <v>46303</v>
      </c>
      <c r="F110" t="inlineStr">
        <is>
          <t>VÄRMLANDS LÄN</t>
        </is>
      </c>
      <c r="G110" t="inlineStr">
        <is>
          <t>KRISTINEHAMN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45076</v>
      </c>
      <c r="E111" s="1" t="n">
        <v>46303</v>
      </c>
      <c r="F111" t="inlineStr">
        <is>
          <t>VÄRMLANDS LÄN</t>
        </is>
      </c>
      <c r="G111" t="inlineStr">
        <is>
          <t>KRISTINEHAMN</t>
        </is>
      </c>
      <c r="I111" t="n">
        <v>15.9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68505-2021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44525</v>
      </c>
      <c r="E112" s="1" t="n">
        <v>46303</v>
      </c>
      <c r="F112" t="inlineStr">
        <is>
          <t>VÄRMLANDS LÄN</t>
        </is>
      </c>
      <c r="G112" t="inlineStr">
        <is>
          <t>KRISTINEHAMN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45265</v>
      </c>
      <c r="E113" s="1" t="n">
        <v>46303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Naturvårdsverket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10522-2024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45366</v>
      </c>
      <c r="E114" s="1" t="n">
        <v>46303</v>
      </c>
      <c r="F114" t="inlineStr">
        <is>
          <t>VÄRMLANDS LÄN</t>
        </is>
      </c>
      <c r="G114" t="inlineStr">
        <is>
          <t>KRISTINEHAMN</t>
        </is>
      </c>
      <c r="I114" t="n">
        <v>19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27033-2023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45095</v>
      </c>
      <c r="E115" s="1" t="n">
        <v>46303</v>
      </c>
      <c r="F115" t="inlineStr">
        <is>
          <t>VÄRMLANDS LÄN</t>
        </is>
      </c>
      <c r="G115" t="inlineStr">
        <is>
          <t>KRISTINEHAMN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45636</v>
      </c>
      <c r="E116" s="1" t="n">
        <v>46303</v>
      </c>
      <c r="F116" t="inlineStr">
        <is>
          <t>VÄRMLANDS LÄN</t>
        </is>
      </c>
      <c r="G116" t="inlineStr">
        <is>
          <t>KRISTINEHAMN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44923</v>
      </c>
      <c r="E117" s="1" t="n">
        <v>46303</v>
      </c>
      <c r="F117" t="inlineStr">
        <is>
          <t>VÄRMLANDS LÄN</t>
        </is>
      </c>
      <c r="G117" t="inlineStr">
        <is>
          <t>KRISTINEHAMN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62864-2023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46303</v>
      </c>
      <c r="F118" t="inlineStr">
        <is>
          <t>VÄRMLANDS LÄN</t>
        </is>
      </c>
      <c r="G118" t="inlineStr">
        <is>
          <t>KRISTINEHAMN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45792</v>
      </c>
      <c r="E119" s="1" t="n">
        <v>46303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39781-2023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46303</v>
      </c>
      <c r="F120" t="inlineStr">
        <is>
          <t>VÄRMLANDS LÄN</t>
        </is>
      </c>
      <c r="G120" t="inlineStr">
        <is>
          <t>KRISTINEHAMN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19447-2024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45429</v>
      </c>
      <c r="E121" s="1" t="n">
        <v>46303</v>
      </c>
      <c r="F121" t="inlineStr">
        <is>
          <t>VÄRMLANDS LÄN</t>
        </is>
      </c>
      <c r="G121" t="inlineStr">
        <is>
          <t>KRISTINEHAMN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45282</v>
      </c>
      <c r="E122" s="1" t="n">
        <v>46303</v>
      </c>
      <c r="F122" t="inlineStr">
        <is>
          <t>VÄRMLANDS LÄN</t>
        </is>
      </c>
      <c r="G122" t="inlineStr">
        <is>
          <t>KRISTINEHAMN</t>
        </is>
      </c>
      <c r="I122" t="n">
        <v>9.6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46303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46303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36774-2022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44805</v>
      </c>
      <c r="E125" s="1" t="n">
        <v>46303</v>
      </c>
      <c r="F125" t="inlineStr">
        <is>
          <t>VÄRMLANDS LÄN</t>
        </is>
      </c>
      <c r="G125" t="inlineStr">
        <is>
          <t>KRISTINEHAMN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45447</v>
      </c>
      <c r="E126" s="1" t="n">
        <v>46303</v>
      </c>
      <c r="F126" t="inlineStr">
        <is>
          <t>VÄRMLANDS LÄN</t>
        </is>
      </c>
      <c r="G126" t="inlineStr">
        <is>
          <t>KRISTINEHAMN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23510-2025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45792</v>
      </c>
      <c r="E127" s="1" t="n">
        <v>46303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45081</v>
      </c>
      <c r="E128" s="1" t="n">
        <v>46303</v>
      </c>
      <c r="F128" t="inlineStr">
        <is>
          <t>VÄRMLANDS LÄN</t>
        </is>
      </c>
      <c r="G128" t="inlineStr">
        <is>
          <t>KRISTINEHAMN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45477</v>
      </c>
      <c r="E129" s="1" t="n">
        <v>46303</v>
      </c>
      <c r="F129" t="inlineStr">
        <is>
          <t>VÄRMLANDS LÄN</t>
        </is>
      </c>
      <c r="G129" t="inlineStr">
        <is>
          <t>KRISTINEHAMN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47915-2022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44855</v>
      </c>
      <c r="E130" s="1" t="n">
        <v>46303</v>
      </c>
      <c r="F130" t="inlineStr">
        <is>
          <t>VÄRMLANDS LÄN</t>
        </is>
      </c>
      <c r="G130" t="inlineStr">
        <is>
          <t>KRISTINEHAMN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45393</v>
      </c>
      <c r="E131" s="1" t="n">
        <v>46303</v>
      </c>
      <c r="F131" t="inlineStr">
        <is>
          <t>VÄRMLANDS LÄN</t>
        </is>
      </c>
      <c r="G131" t="inlineStr">
        <is>
          <t>KRISTINEHAMN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46303</v>
      </c>
      <c r="F132" t="inlineStr">
        <is>
          <t>VÄRMLANDS LÄN</t>
        </is>
      </c>
      <c r="G132" t="inlineStr">
        <is>
          <t>KRISTINEHAMN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46303</v>
      </c>
      <c r="F133" t="inlineStr">
        <is>
          <t>VÄRMLANDS LÄN</t>
        </is>
      </c>
      <c r="G133" t="inlineStr">
        <is>
          <t>KRISTINEHAMN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46303</v>
      </c>
      <c r="F134" t="inlineStr">
        <is>
          <t>VÄRMLANDS LÄN</t>
        </is>
      </c>
      <c r="G134" t="inlineStr">
        <is>
          <t>KRISTINEHAMN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45407</v>
      </c>
      <c r="E135" s="1" t="n">
        <v>46303</v>
      </c>
      <c r="F135" t="inlineStr">
        <is>
          <t>VÄRMLANDS LÄN</t>
        </is>
      </c>
      <c r="G135" t="inlineStr">
        <is>
          <t>KRISTINEHAMN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46303</v>
      </c>
      <c r="F136" t="inlineStr">
        <is>
          <t>VÄRMLANDS LÄN</t>
        </is>
      </c>
      <c r="G136" t="inlineStr">
        <is>
          <t>KRISTINEHAMN</t>
        </is>
      </c>
      <c r="I136" t="n">
        <v>11.2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45313</v>
      </c>
      <c r="E137" s="1" t="n">
        <v>46303</v>
      </c>
      <c r="F137" t="inlineStr">
        <is>
          <t>VÄRMLANDS LÄN</t>
        </is>
      </c>
      <c r="G137" t="inlineStr">
        <is>
          <t>KRISTINEHAMN</t>
        </is>
      </c>
      <c r="I137" t="n">
        <v>11.2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46303</v>
      </c>
      <c r="F138" t="inlineStr">
        <is>
          <t>VÄRMLANDS LÄN</t>
        </is>
      </c>
      <c r="G138" t="inlineStr">
        <is>
          <t>KRISTINEHAMN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44994</v>
      </c>
      <c r="E139" s="1" t="n">
        <v>46303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46303</v>
      </c>
      <c r="F140" t="inlineStr">
        <is>
          <t>VÄRMLANDS LÄN</t>
        </is>
      </c>
      <c r="G140" t="inlineStr">
        <is>
          <t>KRISTINEHAMN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46303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46303</v>
      </c>
      <c r="F142" t="inlineStr">
        <is>
          <t>VÄRMLANDS LÄN</t>
        </is>
      </c>
      <c r="G142" t="inlineStr">
        <is>
          <t>KRISTINEHAMN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46303</v>
      </c>
      <c r="F143" t="inlineStr">
        <is>
          <t>VÄRMLANDS LÄN</t>
        </is>
      </c>
      <c r="G143" t="inlineStr">
        <is>
          <t>KRISTINEHAMN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45902</v>
      </c>
      <c r="E144" s="1" t="n">
        <v>46303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Sveaskog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46303</v>
      </c>
      <c r="F145" t="inlineStr">
        <is>
          <t>VÄRMLANDS LÄN</t>
        </is>
      </c>
      <c r="G145" t="inlineStr">
        <is>
          <t>KRISTINEHAMN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46303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46303</v>
      </c>
      <c r="F147" t="inlineStr">
        <is>
          <t>VÄRMLANDS LÄN</t>
        </is>
      </c>
      <c r="G147" t="inlineStr">
        <is>
          <t>KRISTINEHAMN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45081</v>
      </c>
      <c r="E148" s="1" t="n">
        <v>46303</v>
      </c>
      <c r="F148" t="inlineStr">
        <is>
          <t>VÄRMLANDS LÄN</t>
        </is>
      </c>
      <c r="G148" t="inlineStr">
        <is>
          <t>KRISTINEHAMN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46303</v>
      </c>
      <c r="F149" t="inlineStr">
        <is>
          <t>VÄRMLANDS LÄN</t>
        </is>
      </c>
      <c r="G149" t="inlineStr">
        <is>
          <t>KRISTINEHAMN</t>
        </is>
      </c>
      <c r="I149" t="n">
        <v>19.4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44883</v>
      </c>
      <c r="E150" s="1" t="n">
        <v>46303</v>
      </c>
      <c r="F150" t="inlineStr">
        <is>
          <t>VÄRMLANDS LÄN</t>
        </is>
      </c>
      <c r="G150" t="inlineStr">
        <is>
          <t>KRISTINEHAMN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45802</v>
      </c>
      <c r="E151" s="1" t="n">
        <v>46303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Naturvårdsverket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46303</v>
      </c>
      <c r="F152" t="inlineStr">
        <is>
          <t>VÄRMLANDS LÄN</t>
        </is>
      </c>
      <c r="G152" t="inlineStr">
        <is>
          <t>KRISTINEHAMN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46303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46303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Kommuner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12416-2024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45379</v>
      </c>
      <c r="E155" s="1" t="n">
        <v>46303</v>
      </c>
      <c r="F155" t="inlineStr">
        <is>
          <t>VÄRMLANDS LÄN</t>
        </is>
      </c>
      <c r="G155" t="inlineStr">
        <is>
          <t>KRISTINEHAMN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45379</v>
      </c>
      <c r="E156" s="1" t="n">
        <v>46303</v>
      </c>
      <c r="F156" t="inlineStr">
        <is>
          <t>VÄRMLANDS LÄN</t>
        </is>
      </c>
      <c r="G156" t="inlineStr">
        <is>
          <t>KRISTINEHAMN</t>
        </is>
      </c>
      <c r="I156" t="n">
        <v>12.6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46303</v>
      </c>
      <c r="F157" t="inlineStr">
        <is>
          <t>VÄRMLANDS LÄN</t>
        </is>
      </c>
      <c r="G157" t="inlineStr">
        <is>
          <t>KRISTINEHAMN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44985</v>
      </c>
      <c r="E158" s="1" t="n">
        <v>46303</v>
      </c>
      <c r="F158" t="inlineStr">
        <is>
          <t>VÄRMLANDS LÄN</t>
        </is>
      </c>
      <c r="G158" t="inlineStr">
        <is>
          <t>KRISTINEHAMN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46303</v>
      </c>
      <c r="F159" t="inlineStr">
        <is>
          <t>VÄRMLANDS LÄN</t>
        </is>
      </c>
      <c r="G159" t="inlineStr">
        <is>
          <t>KRISTINEHAMN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13459-2024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45387</v>
      </c>
      <c r="E160" s="1" t="n">
        <v>46303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Naturvårdsverket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45810</v>
      </c>
      <c r="E161" s="1" t="n">
        <v>46303</v>
      </c>
      <c r="F161" t="inlineStr">
        <is>
          <t>VÄRMLANDS LÄN</t>
        </is>
      </c>
      <c r="G161" t="inlineStr">
        <is>
          <t>KRISTINEHAMN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44941</v>
      </c>
      <c r="E162" s="1" t="n">
        <v>46303</v>
      </c>
      <c r="F162" t="inlineStr">
        <is>
          <t>VÄRMLANDS LÄN</t>
        </is>
      </c>
      <c r="G162" t="inlineStr">
        <is>
          <t>KRISTINEHAMN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46303</v>
      </c>
      <c r="F163" t="inlineStr">
        <is>
          <t>VÄRMLANDS LÄN</t>
        </is>
      </c>
      <c r="G163" t="inlineStr">
        <is>
          <t>KRISTINEHAMN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46303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57565-2023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45246</v>
      </c>
      <c r="E165" s="1" t="n">
        <v>46303</v>
      </c>
      <c r="F165" t="inlineStr">
        <is>
          <t>VÄRMLANDS LÄN</t>
        </is>
      </c>
      <c r="G165" t="inlineStr">
        <is>
          <t>KRISTINEHAMN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46303</v>
      </c>
      <c r="F166" t="inlineStr">
        <is>
          <t>VÄRMLANDS LÄN</t>
        </is>
      </c>
      <c r="G166" t="inlineStr">
        <is>
          <t>KRISTINEHAMN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27139-2025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46303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46303</v>
      </c>
      <c r="F168" t="inlineStr">
        <is>
          <t>VÄRMLANDS LÄN</t>
        </is>
      </c>
      <c r="G168" t="inlineStr">
        <is>
          <t>KRISTINEHAMN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46303</v>
      </c>
      <c r="F169" t="inlineStr">
        <is>
          <t>VÄRMLANDS LÄN</t>
        </is>
      </c>
      <c r="G169" t="inlineStr">
        <is>
          <t>KRISTINEHAMN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46303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44959</v>
      </c>
      <c r="E171" s="1" t="n">
        <v>46303</v>
      </c>
      <c r="F171" t="inlineStr">
        <is>
          <t>VÄRMLANDS LÄN</t>
        </is>
      </c>
      <c r="G171" t="inlineStr">
        <is>
          <t>KRISTINEHAMN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10106-2024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45364</v>
      </c>
      <c r="E172" s="1" t="n">
        <v>46303</v>
      </c>
      <c r="F172" t="inlineStr">
        <is>
          <t>VÄRMLANDS LÄN</t>
        </is>
      </c>
      <c r="G172" t="inlineStr">
        <is>
          <t>KRISTINEHAMN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45364</v>
      </c>
      <c r="E173" s="1" t="n">
        <v>46303</v>
      </c>
      <c r="F173" t="inlineStr">
        <is>
          <t>VÄRMLANDS LÄN</t>
        </is>
      </c>
      <c r="G173" t="inlineStr">
        <is>
          <t>KRISTINEHAMN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46303</v>
      </c>
      <c r="F174" t="inlineStr">
        <is>
          <t>VÄRMLANDS LÄN</t>
        </is>
      </c>
      <c r="G174" t="inlineStr">
        <is>
          <t>KRISTINEHAMN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13032-2024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45385</v>
      </c>
      <c r="E175" s="1" t="n">
        <v>46303</v>
      </c>
      <c r="F175" t="inlineStr">
        <is>
          <t>VÄRMLANDS LÄN</t>
        </is>
      </c>
      <c r="G175" t="inlineStr">
        <is>
          <t>KRISTINEHAMN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46303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Kommuner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45364</v>
      </c>
      <c r="E177" s="1" t="n">
        <v>46303</v>
      </c>
      <c r="F177" t="inlineStr">
        <is>
          <t>VÄRMLANDS LÄN</t>
        </is>
      </c>
      <c r="G177" t="inlineStr">
        <is>
          <t>KRISTINEHAMN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45392</v>
      </c>
      <c r="E178" s="1" t="n">
        <v>46303</v>
      </c>
      <c r="F178" t="inlineStr">
        <is>
          <t>VÄRMLANDS LÄN</t>
        </is>
      </c>
      <c r="G178" t="inlineStr">
        <is>
          <t>KRISTINEHAMN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45000</v>
      </c>
      <c r="E179" s="1" t="n">
        <v>46303</v>
      </c>
      <c r="F179" t="inlineStr">
        <is>
          <t>VÄRMLANDS LÄN</t>
        </is>
      </c>
      <c r="G179" t="inlineStr">
        <is>
          <t>KRISTINEHAMN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32409-2023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46303</v>
      </c>
      <c r="F180" t="inlineStr">
        <is>
          <t>VÄRMLANDS LÄN</t>
        </is>
      </c>
      <c r="G180" t="inlineStr">
        <is>
          <t>KRISTINEHAMN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45461</v>
      </c>
      <c r="E181" s="1" t="n">
        <v>46303</v>
      </c>
      <c r="F181" t="inlineStr">
        <is>
          <t>VÄRMLANDS LÄN</t>
        </is>
      </c>
      <c r="G181" t="inlineStr">
        <is>
          <t>KRISTINEHAMN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46303</v>
      </c>
      <c r="F182" t="inlineStr">
        <is>
          <t>VÄRMLANDS LÄN</t>
        </is>
      </c>
      <c r="G182" t="inlineStr">
        <is>
          <t>KRISTINEHAMN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14772-2022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44656</v>
      </c>
      <c r="E183" s="1" t="n">
        <v>46303</v>
      </c>
      <c r="F183" t="inlineStr">
        <is>
          <t>VÄRMLANDS LÄN</t>
        </is>
      </c>
      <c r="G183" t="inlineStr">
        <is>
          <t>KRISTINEHAMN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45933</v>
      </c>
      <c r="E184" s="1" t="n">
        <v>46303</v>
      </c>
      <c r="F184" t="inlineStr">
        <is>
          <t>VÄRMLANDS LÄN</t>
        </is>
      </c>
      <c r="G184" t="inlineStr">
        <is>
          <t>KRISTINEHAMN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24118-2024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45456</v>
      </c>
      <c r="E185" s="1" t="n">
        <v>46303</v>
      </c>
      <c r="F185" t="inlineStr">
        <is>
          <t>VÄRMLANDS LÄN</t>
        </is>
      </c>
      <c r="G185" t="inlineStr">
        <is>
          <t>KRISTINEHAMN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44917</v>
      </c>
      <c r="E186" s="1" t="n">
        <v>46303</v>
      </c>
      <c r="F186" t="inlineStr">
        <is>
          <t>VÄRMLANDS LÄN</t>
        </is>
      </c>
      <c r="G186" t="inlineStr">
        <is>
          <t>KRISTINEHAMN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46303</v>
      </c>
      <c r="F187" t="inlineStr">
        <is>
          <t>VÄRMLANDS LÄN</t>
        </is>
      </c>
      <c r="G187" t="inlineStr">
        <is>
          <t>KRISTINEHAMN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46303</v>
      </c>
      <c r="F188" t="inlineStr">
        <is>
          <t>VÄRMLANDS LÄN</t>
        </is>
      </c>
      <c r="G188" t="inlineStr">
        <is>
          <t>KRISTINEHAMN</t>
        </is>
      </c>
      <c r="I188" t="n">
        <v>20.1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31250-2025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46303</v>
      </c>
      <c r="F189" t="inlineStr">
        <is>
          <t>VÄRMLANDS LÄN</t>
        </is>
      </c>
      <c r="G189" t="inlineStr">
        <is>
          <t>KRISTINEHAMN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31528-2025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45833</v>
      </c>
      <c r="E190" s="1" t="n">
        <v>46303</v>
      </c>
      <c r="F190" t="inlineStr">
        <is>
          <t>VÄRMLANDS LÄN</t>
        </is>
      </c>
      <c r="G190" t="inlineStr">
        <is>
          <t>KRISTINEHAMN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61942-2022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44918</v>
      </c>
      <c r="E191" s="1" t="n">
        <v>46303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Kommuner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46303</v>
      </c>
      <c r="F192" t="inlineStr">
        <is>
          <t>VÄRMLANDS LÄN</t>
        </is>
      </c>
      <c r="G192" t="inlineStr">
        <is>
          <t>KRISTINEHAMN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24146-2023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46303</v>
      </c>
      <c r="F193" t="inlineStr">
        <is>
          <t>VÄRMLANDS LÄN</t>
        </is>
      </c>
      <c r="G193" t="inlineStr">
        <is>
          <t>KRISTINEHAMN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45593</v>
      </c>
      <c r="E194" s="1" t="n">
        <v>46303</v>
      </c>
      <c r="F194" t="inlineStr">
        <is>
          <t>VÄRMLANDS LÄN</t>
        </is>
      </c>
      <c r="G194" t="inlineStr">
        <is>
          <t>KRISTINEHAMN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46303</v>
      </c>
      <c r="F195" t="inlineStr">
        <is>
          <t>VÄRMLANDS LÄN</t>
        </is>
      </c>
      <c r="G195" t="inlineStr">
        <is>
          <t>KRISTINEHAMN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50420-2025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45944</v>
      </c>
      <c r="E196" s="1" t="n">
        <v>46303</v>
      </c>
      <c r="F196" t="inlineStr">
        <is>
          <t>VÄRMLANDS LÄN</t>
        </is>
      </c>
      <c r="G196" t="inlineStr">
        <is>
          <t>KRISTINEHAMN</t>
        </is>
      </c>
      <c r="I196" t="n">
        <v>6.8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45366</v>
      </c>
      <c r="E197" s="1" t="n">
        <v>46303</v>
      </c>
      <c r="F197" t="inlineStr">
        <is>
          <t>VÄRMLANDS LÄN</t>
        </is>
      </c>
      <c r="G197" t="inlineStr">
        <is>
          <t>KRISTINEHAMN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45442</v>
      </c>
      <c r="E198" s="1" t="n">
        <v>46303</v>
      </c>
      <c r="F198" t="inlineStr">
        <is>
          <t>VÄRMLANDS LÄN</t>
        </is>
      </c>
      <c r="G198" t="inlineStr">
        <is>
          <t>KRISTINEHAMN</t>
        </is>
      </c>
      <c r="I198" t="n">
        <v>14.9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45595</v>
      </c>
      <c r="E199" s="1" t="n">
        <v>46303</v>
      </c>
      <c r="F199" t="inlineStr">
        <is>
          <t>VÄRMLANDS LÄN</t>
        </is>
      </c>
      <c r="G199" t="inlineStr">
        <is>
          <t>KRISTINEHAMN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45121</v>
      </c>
      <c r="E200" s="1" t="n">
        <v>46303</v>
      </c>
      <c r="F200" t="inlineStr">
        <is>
          <t>VÄRMLANDS LÄN</t>
        </is>
      </c>
      <c r="G200" t="inlineStr">
        <is>
          <t>KRISTINEHAMN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45644</v>
      </c>
      <c r="E201" s="1" t="n">
        <v>46303</v>
      </c>
      <c r="F201" t="inlineStr">
        <is>
          <t>VÄRMLANDS LÄN</t>
        </is>
      </c>
      <c r="G201" t="inlineStr">
        <is>
          <t>KRISTINEHAMN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59144-2021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44490</v>
      </c>
      <c r="E202" s="1" t="n">
        <v>46303</v>
      </c>
      <c r="F202" t="inlineStr">
        <is>
          <t>VÄRMLANDS LÄN</t>
        </is>
      </c>
      <c r="G202" t="inlineStr">
        <is>
          <t>KRISTINEHAMN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46303</v>
      </c>
      <c r="F203" t="inlineStr">
        <is>
          <t>VÄRMLANDS LÄN</t>
        </is>
      </c>
      <c r="G203" t="inlineStr">
        <is>
          <t>KRISTINEHAMN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45622</v>
      </c>
      <c r="E204" s="1" t="n">
        <v>46303</v>
      </c>
      <c r="F204" t="inlineStr">
        <is>
          <t>VÄRMLANDS LÄN</t>
        </is>
      </c>
      <c r="G204" t="inlineStr">
        <is>
          <t>KRISTINEHAMN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44588</v>
      </c>
      <c r="E205" s="1" t="n">
        <v>46303</v>
      </c>
      <c r="F205" t="inlineStr">
        <is>
          <t>VÄRMLANDS LÄN</t>
        </is>
      </c>
      <c r="G205" t="inlineStr">
        <is>
          <t>KRISTINEHAMN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46303</v>
      </c>
      <c r="F206" t="inlineStr">
        <is>
          <t>VÄRMLANDS LÄN</t>
        </is>
      </c>
      <c r="G206" t="inlineStr">
        <is>
          <t>KRISTINEHAMN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46303</v>
      </c>
      <c r="F207" t="inlineStr">
        <is>
          <t>VÄRMLANDS LÄN</t>
        </is>
      </c>
      <c r="G207" t="inlineStr">
        <is>
          <t>KRISTINEHAMN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45952</v>
      </c>
      <c r="E208" s="1" t="n">
        <v>46303</v>
      </c>
      <c r="F208" t="inlineStr">
        <is>
          <t>VÄRMLANDS LÄN</t>
        </is>
      </c>
      <c r="G208" t="inlineStr">
        <is>
          <t>KRISTINEHAMN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45082</v>
      </c>
      <c r="E209" s="1" t="n">
        <v>46303</v>
      </c>
      <c r="F209" t="inlineStr">
        <is>
          <t>VÄRMLANDS LÄN</t>
        </is>
      </c>
      <c r="G209" t="inlineStr">
        <is>
          <t>KRISTINEHAMN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62767-2023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45268</v>
      </c>
      <c r="E210" s="1" t="n">
        <v>46303</v>
      </c>
      <c r="F210" t="inlineStr">
        <is>
          <t>VÄRMLANDS LÄN</t>
        </is>
      </c>
      <c r="G210" t="inlineStr">
        <is>
          <t>KRISTINEHAMN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45359</v>
      </c>
      <c r="E211" s="1" t="n">
        <v>46303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28834-2024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45478</v>
      </c>
      <c r="E212" s="1" t="n">
        <v>46303</v>
      </c>
      <c r="F212" t="inlineStr">
        <is>
          <t>VÄRMLANDS LÄN</t>
        </is>
      </c>
      <c r="G212" t="inlineStr">
        <is>
          <t>KRISTINEHAMN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52404-2025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45954</v>
      </c>
      <c r="E213" s="1" t="n">
        <v>46303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44677</v>
      </c>
      <c r="E214" s="1" t="n">
        <v>46303</v>
      </c>
      <c r="F214" t="inlineStr">
        <is>
          <t>VÄRMLANDS LÄN</t>
        </is>
      </c>
      <c r="G214" t="inlineStr">
        <is>
          <t>KRISTINEHAMN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46303</v>
      </c>
      <c r="F215" t="inlineStr">
        <is>
          <t>VÄRMLANDS LÄN</t>
        </is>
      </c>
      <c r="G215" t="inlineStr">
        <is>
          <t>KRISTINEHAMN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46303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46303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45961</v>
      </c>
      <c r="E218" s="1" t="n">
        <v>46303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46303</v>
      </c>
      <c r="F219" t="inlineStr">
        <is>
          <t>VÄRMLANDS LÄN</t>
        </is>
      </c>
      <c r="G219" t="inlineStr">
        <is>
          <t>KRISTINEHAMN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45961</v>
      </c>
      <c r="E220" s="1" t="n">
        <v>46303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Naturvårdsverket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45450</v>
      </c>
      <c r="E221" s="1" t="n">
        <v>46303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Kommuner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13505-2022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44648</v>
      </c>
      <c r="E222" s="1" t="n">
        <v>46303</v>
      </c>
      <c r="F222" t="inlineStr">
        <is>
          <t>VÄRMLANDS LÄN</t>
        </is>
      </c>
      <c r="G222" t="inlineStr">
        <is>
          <t>KRISTINEHAMN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45370</v>
      </c>
      <c r="E223" s="1" t="n">
        <v>46303</v>
      </c>
      <c r="F223" t="inlineStr">
        <is>
          <t>VÄRMLANDS LÄN</t>
        </is>
      </c>
      <c r="G223" t="inlineStr">
        <is>
          <t>KRISTINEHAMN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47648-2023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45198</v>
      </c>
      <c r="E224" s="1" t="n">
        <v>46303</v>
      </c>
      <c r="F224" t="inlineStr">
        <is>
          <t>VÄRMLANDS LÄN</t>
        </is>
      </c>
      <c r="G224" t="inlineStr">
        <is>
          <t>KRISTINEHAMN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45379</v>
      </c>
      <c r="E225" s="1" t="n">
        <v>46303</v>
      </c>
      <c r="F225" t="inlineStr">
        <is>
          <t>VÄRMLANDS LÄN</t>
        </is>
      </c>
      <c r="G225" t="inlineStr">
        <is>
          <t>KRISTINEHAMN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6278-2023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44965</v>
      </c>
      <c r="E226" s="1" t="n">
        <v>46303</v>
      </c>
      <c r="F226" t="inlineStr">
        <is>
          <t>VÄRMLANDS LÄN</t>
        </is>
      </c>
      <c r="G226" t="inlineStr">
        <is>
          <t>KRISTINEHAMN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45876</v>
      </c>
      <c r="E227" s="1" t="n">
        <v>46303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45876</v>
      </c>
      <c r="E228" s="1" t="n">
        <v>46303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Sveaskog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61034-2021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46303</v>
      </c>
      <c r="F229" t="inlineStr">
        <is>
          <t>VÄRMLANDS LÄN</t>
        </is>
      </c>
      <c r="G229" t="inlineStr">
        <is>
          <t>KRISTINEHAMN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56572-2024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45625</v>
      </c>
      <c r="E230" s="1" t="n">
        <v>46303</v>
      </c>
      <c r="F230" t="inlineStr">
        <is>
          <t>VÄRMLANDS LÄN</t>
        </is>
      </c>
      <c r="G230" t="inlineStr">
        <is>
          <t>KRISTINEHAMN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45811</v>
      </c>
      <c r="E231" s="1" t="n">
        <v>46303</v>
      </c>
      <c r="F231" t="inlineStr">
        <is>
          <t>VÄRMLANDS LÄN</t>
        </is>
      </c>
      <c r="G231" t="inlineStr">
        <is>
          <t>KRISTINEHAMN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46303</v>
      </c>
      <c r="F232" t="inlineStr">
        <is>
          <t>VÄRMLANDS LÄN</t>
        </is>
      </c>
      <c r="G232" t="inlineStr">
        <is>
          <t>KRISTINEHAMN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45044</v>
      </c>
      <c r="E233" s="1" t="n">
        <v>46303</v>
      </c>
      <c r="F233" t="inlineStr">
        <is>
          <t>VÄRMLANDS LÄN</t>
        </is>
      </c>
      <c r="G233" t="inlineStr">
        <is>
          <t>KRISTINEHAMN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45313</v>
      </c>
      <c r="E234" s="1" t="n">
        <v>46303</v>
      </c>
      <c r="F234" t="inlineStr">
        <is>
          <t>VÄRMLANDS LÄN</t>
        </is>
      </c>
      <c r="G234" t="inlineStr">
        <is>
          <t>KRISTINEHAMN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56315-2025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45974</v>
      </c>
      <c r="E235" s="1" t="n">
        <v>46303</v>
      </c>
      <c r="F235" t="inlineStr">
        <is>
          <t>VÄRMLANDS LÄN</t>
        </is>
      </c>
      <c r="G235" t="inlineStr">
        <is>
          <t>KRISTINEHAMN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44637</v>
      </c>
      <c r="E236" s="1" t="n">
        <v>46303</v>
      </c>
      <c r="F236" t="inlineStr">
        <is>
          <t>VÄRMLANDS LÄN</t>
        </is>
      </c>
      <c r="G236" t="inlineStr">
        <is>
          <t>KRISTINEHAMN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46303</v>
      </c>
      <c r="F237" t="inlineStr">
        <is>
          <t>VÄRMLANDS LÄN</t>
        </is>
      </c>
      <c r="G237" t="inlineStr">
        <is>
          <t>KRISTINEHAMN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46303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45453</v>
      </c>
      <c r="E239" s="1" t="n">
        <v>46303</v>
      </c>
      <c r="F239" t="inlineStr">
        <is>
          <t>VÄRMLANDS LÄN</t>
        </is>
      </c>
      <c r="G239" t="inlineStr">
        <is>
          <t>KRISTINEHAMN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20168-2026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46303</v>
      </c>
      <c r="F240" t="inlineStr">
        <is>
          <t>VÄRMLANDS LÄN</t>
        </is>
      </c>
      <c r="G240" t="inlineStr">
        <is>
          <t>KRISTINEHAMN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48128-2025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46303</v>
      </c>
      <c r="F241" t="inlineStr">
        <is>
          <t>VÄRMLANDS LÄN</t>
        </is>
      </c>
      <c r="G241" t="inlineStr">
        <is>
          <t>KRISTINEHAMN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24117-2024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45456</v>
      </c>
      <c r="E242" s="1" t="n">
        <v>46303</v>
      </c>
      <c r="F242" t="inlineStr">
        <is>
          <t>VÄRMLANDS LÄN</t>
        </is>
      </c>
      <c r="G242" t="inlineStr">
        <is>
          <t>KRISTINEHAMN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44812</v>
      </c>
      <c r="E243" s="1" t="n">
        <v>46303</v>
      </c>
      <c r="F243" t="inlineStr">
        <is>
          <t>VÄRMLANDS LÄN</t>
        </is>
      </c>
      <c r="G243" t="inlineStr">
        <is>
          <t>KRISTINEHAMN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45804</v>
      </c>
      <c r="E244" s="1" t="n">
        <v>46303</v>
      </c>
      <c r="F244" t="inlineStr">
        <is>
          <t>VÄRMLANDS LÄN</t>
        </is>
      </c>
      <c r="G244" t="inlineStr">
        <is>
          <t>KRISTINEHAMN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46303</v>
      </c>
      <c r="F245" t="inlineStr">
        <is>
          <t>VÄRMLANDS LÄN</t>
        </is>
      </c>
      <c r="G245" t="inlineStr">
        <is>
          <t>KRISTINEHAMN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46303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14.2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45756</v>
      </c>
      <c r="E247" s="1" t="n">
        <v>46303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26042-2022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44734</v>
      </c>
      <c r="E248" s="1" t="n">
        <v>46303</v>
      </c>
      <c r="F248" t="inlineStr">
        <is>
          <t>VÄRMLANDS LÄN</t>
        </is>
      </c>
      <c r="G248" t="inlineStr">
        <is>
          <t>KRISTINEHAMN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60805-2025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46303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Naturvårdsverket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45127</v>
      </c>
      <c r="E250" s="1" t="n">
        <v>46303</v>
      </c>
      <c r="F250" t="inlineStr">
        <is>
          <t>VÄRMLANDS LÄN</t>
        </is>
      </c>
      <c r="G250" t="inlineStr">
        <is>
          <t>KRISTINEHAMN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23704-2022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44722</v>
      </c>
      <c r="E251" s="1" t="n">
        <v>46303</v>
      </c>
      <c r="F251" t="inlineStr">
        <is>
          <t>VÄRMLANDS LÄN</t>
        </is>
      </c>
      <c r="G251" t="inlineStr">
        <is>
          <t>KRISTINEHAMN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23706-2022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46303</v>
      </c>
      <c r="F252" t="inlineStr">
        <is>
          <t>VÄRMLANDS LÄN</t>
        </is>
      </c>
      <c r="G252" t="inlineStr">
        <is>
          <t>KRISTINEHAMN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20672-2026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46141</v>
      </c>
      <c r="E253" s="1" t="n">
        <v>46303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Naturvårdsverket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46141</v>
      </c>
      <c r="E254" s="1" t="n">
        <v>46303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Naturvårdsverket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45239</v>
      </c>
      <c r="E255" s="1" t="n">
        <v>46303</v>
      </c>
      <c r="F255" t="inlineStr">
        <is>
          <t>VÄRMLANDS LÄN</t>
        </is>
      </c>
      <c r="G255" t="inlineStr">
        <is>
          <t>KRISTINEHAMN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44722</v>
      </c>
      <c r="E256" s="1" t="n">
        <v>46303</v>
      </c>
      <c r="F256" t="inlineStr">
        <is>
          <t>VÄRMLANDS LÄN</t>
        </is>
      </c>
      <c r="G256" t="inlineStr">
        <is>
          <t>KRISTINEHAMN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23707-2022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44722</v>
      </c>
      <c r="E257" s="1" t="n">
        <v>46303</v>
      </c>
      <c r="F257" t="inlineStr">
        <is>
          <t>VÄRMLANDS LÄN</t>
        </is>
      </c>
      <c r="G257" t="inlineStr">
        <is>
          <t>KRISTINEHAMN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46303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46303</v>
      </c>
      <c r="F259" t="inlineStr">
        <is>
          <t>VÄRMLANDS LÄN</t>
        </is>
      </c>
      <c r="G259" t="inlineStr">
        <is>
          <t>KRISTINEHAMN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46303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Naturvårdsverket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46150</v>
      </c>
      <c r="E261" s="1" t="n">
        <v>46303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18319-2023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45041</v>
      </c>
      <c r="E262" s="1" t="n">
        <v>46303</v>
      </c>
      <c r="F262" t="inlineStr">
        <is>
          <t>VÄRMLANDS LÄN</t>
        </is>
      </c>
      <c r="G262" t="inlineStr">
        <is>
          <t>KRISTINEHAMN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22060-2026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46149</v>
      </c>
      <c r="E263" s="1" t="n">
        <v>46303</v>
      </c>
      <c r="F263" t="inlineStr">
        <is>
          <t>VÄRMLANDS LÄN</t>
        </is>
      </c>
      <c r="G263" t="inlineStr">
        <is>
          <t>KRISTINEHAMN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21842-2026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46150</v>
      </c>
      <c r="E264" s="1" t="n">
        <v>46303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22255-2026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46154</v>
      </c>
      <c r="E265" s="1" t="n">
        <v>46303</v>
      </c>
      <c r="F265" t="inlineStr">
        <is>
          <t>VÄRMLANDS LÄN</t>
        </is>
      </c>
      <c r="G265" t="inlineStr">
        <is>
          <t>KRISTINEHAMN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62623-2023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46303</v>
      </c>
      <c r="F266" t="inlineStr">
        <is>
          <t>VÄRMLANDS LÄN</t>
        </is>
      </c>
      <c r="G266" t="inlineStr">
        <is>
          <t>KRISTINEHAMN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45666</v>
      </c>
      <c r="E267" s="1" t="n">
        <v>46303</v>
      </c>
      <c r="F267" t="inlineStr">
        <is>
          <t>VÄRMLANDS LÄN</t>
        </is>
      </c>
      <c r="G267" t="inlineStr">
        <is>
          <t>KRISTINEHAMN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29526-2022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44753</v>
      </c>
      <c r="E268" s="1" t="n">
        <v>46303</v>
      </c>
      <c r="F268" t="inlineStr">
        <is>
          <t>VÄRMLANDS LÄN</t>
        </is>
      </c>
      <c r="G268" t="inlineStr">
        <is>
          <t>KRISTINEHAMN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45022</v>
      </c>
      <c r="E269" s="1" t="n">
        <v>46303</v>
      </c>
      <c r="F269" t="inlineStr">
        <is>
          <t>VÄRMLANDS LÄN</t>
        </is>
      </c>
      <c r="G269" t="inlineStr">
        <is>
          <t>KRISTINEHAMN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6644-2024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45341</v>
      </c>
      <c r="E270" s="1" t="n">
        <v>46303</v>
      </c>
      <c r="F270" t="inlineStr">
        <is>
          <t>VÄRMLANDS LÄN</t>
        </is>
      </c>
      <c r="G270" t="inlineStr">
        <is>
          <t>KRISTINEHAMN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45341</v>
      </c>
      <c r="E271" s="1" t="n">
        <v>46303</v>
      </c>
      <c r="F271" t="inlineStr">
        <is>
          <t>VÄRMLANDS LÄN</t>
        </is>
      </c>
      <c r="G271" t="inlineStr">
        <is>
          <t>KRISTINEHAMN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43654-2024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45569</v>
      </c>
      <c r="E272" s="1" t="n">
        <v>46303</v>
      </c>
      <c r="F272" t="inlineStr">
        <is>
          <t>VÄRMLANDS LÄN</t>
        </is>
      </c>
      <c r="G272" t="inlineStr">
        <is>
          <t>KRISTINEHAMN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9606-2024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45361</v>
      </c>
      <c r="E273" s="1" t="n">
        <v>46303</v>
      </c>
      <c r="F273" t="inlineStr">
        <is>
          <t>VÄRMLANDS LÄN</t>
        </is>
      </c>
      <c r="G273" t="inlineStr">
        <is>
          <t>KRISTINEHAMN</t>
        </is>
      </c>
      <c r="I273" t="n">
        <v>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45600</v>
      </c>
      <c r="E274" s="1" t="n">
        <v>46303</v>
      </c>
      <c r="F274" t="inlineStr">
        <is>
          <t>VÄRMLANDS LÄN</t>
        </is>
      </c>
      <c r="G274" t="inlineStr">
        <is>
          <t>KRISTINEHAMN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42597-2023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45181</v>
      </c>
      <c r="E275" s="1" t="n">
        <v>46303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47371-2023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46303</v>
      </c>
      <c r="F276" t="inlineStr">
        <is>
          <t>VÄRMLANDS LÄN</t>
        </is>
      </c>
      <c r="G276" t="inlineStr">
        <is>
          <t>KRISTINEHAMN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46303</v>
      </c>
      <c r="F277" t="inlineStr">
        <is>
          <t>VÄRMLANDS LÄN</t>
        </is>
      </c>
      <c r="G277" t="inlineStr">
        <is>
          <t>KRISTINEHAMN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45769</v>
      </c>
      <c r="E278" s="1" t="n">
        <v>46303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Kyrkan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45243</v>
      </c>
      <c r="E279" s="1" t="n">
        <v>46303</v>
      </c>
      <c r="F279" t="inlineStr">
        <is>
          <t>VÄRMLANDS LÄN</t>
        </is>
      </c>
      <c r="G279" t="inlineStr">
        <is>
          <t>KRISTINEHAMN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45995</v>
      </c>
      <c r="E280" s="1" t="n">
        <v>46303</v>
      </c>
      <c r="F280" t="inlineStr">
        <is>
          <t>VÄRMLANDS LÄN</t>
        </is>
      </c>
      <c r="G280" t="inlineStr">
        <is>
          <t>KRISTINEHAMN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46303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Bergvik skog väst AB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60791-2025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46303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Naturvårdsverket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46303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Naturvårdsverket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28759-2022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46303</v>
      </c>
      <c r="F284" t="inlineStr">
        <is>
          <t>VÄRMLANDS LÄN</t>
        </is>
      </c>
      <c r="G284" t="inlineStr">
        <is>
          <t>KRISTINEHAMN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46303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Bergvik skog väst AB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60902-2025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46303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Bergvik skog väst AB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60915-2025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46303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Bergvik skog väst AB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33464-2023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45118</v>
      </c>
      <c r="E288" s="1" t="n">
        <v>46303</v>
      </c>
      <c r="F288" t="inlineStr">
        <is>
          <t>VÄRMLANDS LÄN</t>
        </is>
      </c>
      <c r="G288" t="inlineStr">
        <is>
          <t>KRISTINEHAMN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46303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Naturvårdsverket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46303</v>
      </c>
      <c r="F290" t="inlineStr">
        <is>
          <t>VÄRMLANDS LÄN</t>
        </is>
      </c>
      <c r="G290" t="inlineStr">
        <is>
          <t>KRISTINEHAMN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45058</v>
      </c>
      <c r="E291" s="1" t="n">
        <v>46303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Kommuner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44712</v>
      </c>
      <c r="E292" s="1" t="n">
        <v>46303</v>
      </c>
      <c r="F292" t="inlineStr">
        <is>
          <t>VÄRMLANDS LÄN</t>
        </is>
      </c>
      <c r="G292" t="inlineStr">
        <is>
          <t>KRISTINEHAMN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23147-2026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46161</v>
      </c>
      <c r="E293" s="1" t="n">
        <v>46303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58319-2024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45631</v>
      </c>
      <c r="E294" s="1" t="n">
        <v>46303</v>
      </c>
      <c r="F294" t="inlineStr">
        <is>
          <t>VÄRMLANDS LÄN</t>
        </is>
      </c>
      <c r="G294" t="inlineStr">
        <is>
          <t>KRISTINEHAMN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23294-2026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46162</v>
      </c>
      <c r="E295" s="1" t="n">
        <v>46303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46303</v>
      </c>
      <c r="F296" t="inlineStr">
        <is>
          <t>VÄRMLANDS LÄN</t>
        </is>
      </c>
      <c r="G296" t="inlineStr">
        <is>
          <t>KRISTINEHAMN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46333-2023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45191</v>
      </c>
      <c r="E297" s="1" t="n">
        <v>46303</v>
      </c>
      <c r="F297" t="inlineStr">
        <is>
          <t>VÄRMLANDS LÄN</t>
        </is>
      </c>
      <c r="G297" t="inlineStr">
        <is>
          <t>KRISTINEHAMN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45662</v>
      </c>
      <c r="E298" s="1" t="n">
        <v>46303</v>
      </c>
      <c r="F298" t="inlineStr">
        <is>
          <t>VÄRMLANDS LÄN</t>
        </is>
      </c>
      <c r="G298" t="inlineStr">
        <is>
          <t>KRISTINEHAMN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62453-2022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44924</v>
      </c>
      <c r="E299" s="1" t="n">
        <v>46303</v>
      </c>
      <c r="F299" t="inlineStr">
        <is>
          <t>VÄRMLANDS LÄN</t>
        </is>
      </c>
      <c r="G299" t="inlineStr">
        <is>
          <t>KRISTINEHAMN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46303</v>
      </c>
      <c r="F300" t="inlineStr">
        <is>
          <t>VÄRMLANDS LÄN</t>
        </is>
      </c>
      <c r="G300" t="inlineStr">
        <is>
          <t>KRISTINEHAMN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32161-2023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45119</v>
      </c>
      <c r="E301" s="1" t="n">
        <v>46303</v>
      </c>
      <c r="F301" t="inlineStr">
        <is>
          <t>VÄRMLANDS LÄN</t>
        </is>
      </c>
      <c r="G301" t="inlineStr">
        <is>
          <t>KRISTINEHAMN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48405-2023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45201</v>
      </c>
      <c r="E302" s="1" t="n">
        <v>46303</v>
      </c>
      <c r="F302" t="inlineStr">
        <is>
          <t>VÄRMLANDS LÄN</t>
        </is>
      </c>
      <c r="G302" t="inlineStr">
        <is>
          <t>KRISTINEHAMN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34893-2023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45141</v>
      </c>
      <c r="E303" s="1" t="n">
        <v>46303</v>
      </c>
      <c r="F303" t="inlineStr">
        <is>
          <t>VÄRMLANDS LÄN</t>
        </is>
      </c>
      <c r="G303" t="inlineStr">
        <is>
          <t>KRISTINEHAMN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62349-2025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46303</v>
      </c>
      <c r="F304" t="inlineStr">
        <is>
          <t>VÄRMLANDS LÄN</t>
        </is>
      </c>
      <c r="G304" t="inlineStr">
        <is>
          <t>KRISTINEHAMN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46303</v>
      </c>
      <c r="F305" t="inlineStr">
        <is>
          <t>VÄRMLANDS LÄN</t>
        </is>
      </c>
      <c r="G305" t="inlineStr">
        <is>
          <t>KRISTINEHAMN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46303</v>
      </c>
      <c r="F306" t="inlineStr">
        <is>
          <t>VÄRMLANDS LÄN</t>
        </is>
      </c>
      <c r="G306" t="inlineStr">
        <is>
          <t>KRISTINEHAMN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45302</v>
      </c>
      <c r="E307" s="1" t="n">
        <v>46303</v>
      </c>
      <c r="F307" t="inlineStr">
        <is>
          <t>VÄRMLANDS LÄN</t>
        </is>
      </c>
      <c r="G307" t="inlineStr">
        <is>
          <t>KRISTINEHAMN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46303</v>
      </c>
      <c r="F308" t="inlineStr">
        <is>
          <t>VÄRMLANDS LÄN</t>
        </is>
      </c>
      <c r="G308" t="inlineStr">
        <is>
          <t>KRISTINEHAMN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37742-2023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45159</v>
      </c>
      <c r="E309" s="1" t="n">
        <v>46303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Sveaskog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45315</v>
      </c>
      <c r="E310" s="1" t="n">
        <v>46303</v>
      </c>
      <c r="F310" t="inlineStr">
        <is>
          <t>VÄRMLANDS LÄN</t>
        </is>
      </c>
      <c r="G310" t="inlineStr">
        <is>
          <t>KRISTINEHAMN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45770</v>
      </c>
      <c r="E311" s="1" t="n">
        <v>46303</v>
      </c>
      <c r="F311" t="inlineStr">
        <is>
          <t>VÄRMLANDS LÄN</t>
        </is>
      </c>
      <c r="G311" t="inlineStr">
        <is>
          <t>KRISTINEHAMN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47398-2023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45202</v>
      </c>
      <c r="E312" s="1" t="n">
        <v>46303</v>
      </c>
      <c r="F312" t="inlineStr">
        <is>
          <t>VÄRMLANDS LÄN</t>
        </is>
      </c>
      <c r="G312" t="inlineStr">
        <is>
          <t>KRISTINEHAMN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45701</v>
      </c>
      <c r="E313" s="1" t="n">
        <v>46303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Naturvårdsverket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7222-2024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45344</v>
      </c>
      <c r="E314" s="1" t="n">
        <v>46303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Naturvårdsverket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42408-2022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44831</v>
      </c>
      <c r="E315" s="1" t="n">
        <v>46303</v>
      </c>
      <c r="F315" t="inlineStr">
        <is>
          <t>VÄRMLANDS LÄN</t>
        </is>
      </c>
      <c r="G315" t="inlineStr">
        <is>
          <t>KRISTINEHAMN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24570-2026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46170</v>
      </c>
      <c r="E316" s="1" t="n">
        <v>46303</v>
      </c>
      <c r="F316" t="inlineStr">
        <is>
          <t>VÄRMLANDS LÄN</t>
        </is>
      </c>
      <c r="G316" t="inlineStr">
        <is>
          <t>KRISTINEHAMN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46171</v>
      </c>
      <c r="E317" s="1" t="n">
        <v>46303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Sveaskog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45666</v>
      </c>
      <c r="E318" s="1" t="n">
        <v>46303</v>
      </c>
      <c r="F318" t="inlineStr">
        <is>
          <t>VÄRMLANDS LÄN</t>
        </is>
      </c>
      <c r="G318" t="inlineStr">
        <is>
          <t>KRISTINEHAMN</t>
        </is>
      </c>
      <c r="I318" t="n">
        <v>9.300000000000001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45097</v>
      </c>
      <c r="E319" s="1" t="n">
        <v>46303</v>
      </c>
      <c r="F319" t="inlineStr">
        <is>
          <t>VÄRMLANDS LÄN</t>
        </is>
      </c>
      <c r="G319" t="inlineStr">
        <is>
          <t>KRISTINEHAMN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47467-2023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45202</v>
      </c>
      <c r="E320" s="1" t="n">
        <v>46303</v>
      </c>
      <c r="F320" t="inlineStr">
        <is>
          <t>VÄRMLANDS LÄN</t>
        </is>
      </c>
      <c r="G320" t="inlineStr">
        <is>
          <t>KRISTINEHAMN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46303</v>
      </c>
      <c r="F321" t="inlineStr">
        <is>
          <t>VÄRMLANDS LÄN</t>
        </is>
      </c>
      <c r="G321" t="inlineStr">
        <is>
          <t>KRISTINEHAMN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56522-2021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44480</v>
      </c>
      <c r="E322" s="1" t="n">
        <v>46303</v>
      </c>
      <c r="F322" t="inlineStr">
        <is>
          <t>VÄRMLANDS LÄN</t>
        </is>
      </c>
      <c r="G322" t="inlineStr">
        <is>
          <t>KRISTINEHAMN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46303</v>
      </c>
      <c r="F323" t="inlineStr">
        <is>
          <t>VÄRMLANDS LÄN</t>
        </is>
      </c>
      <c r="G323" t="inlineStr">
        <is>
          <t>KRISTINEHAMN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12395-2024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45379</v>
      </c>
      <c r="E324" s="1" t="n">
        <v>46303</v>
      </c>
      <c r="F324" t="inlineStr">
        <is>
          <t>VÄRMLANDS LÄN</t>
        </is>
      </c>
      <c r="G324" t="inlineStr">
        <is>
          <t>KRISTINEHAMN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25258-2026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46175</v>
      </c>
      <c r="E325" s="1" t="n">
        <v>46303</v>
      </c>
      <c r="F325" t="inlineStr">
        <is>
          <t>VÄRMLANDS LÄN</t>
        </is>
      </c>
      <c r="G325" t="inlineStr">
        <is>
          <t>KRISTINEHAMN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46303</v>
      </c>
      <c r="F326" t="inlineStr">
        <is>
          <t>VÄRMLANDS LÄN</t>
        </is>
      </c>
      <c r="G326" t="inlineStr">
        <is>
          <t>KRISTINEHAMN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2077-2026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46303</v>
      </c>
      <c r="F327" t="inlineStr">
        <is>
          <t>VÄRMLANDS LÄN</t>
        </is>
      </c>
      <c r="G327" t="inlineStr">
        <is>
          <t>KRISTINEHAMN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46038</v>
      </c>
      <c r="E328" s="1" t="n">
        <v>46303</v>
      </c>
      <c r="F328" t="inlineStr">
        <is>
          <t>VÄRMLANDS LÄN</t>
        </is>
      </c>
      <c r="G328" t="inlineStr">
        <is>
          <t>KRISTINEHAMN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46303</v>
      </c>
      <c r="F329" t="inlineStr">
        <is>
          <t>VÄRMLANDS LÄN</t>
        </is>
      </c>
      <c r="G329" t="inlineStr">
        <is>
          <t>KRISTINEHAMN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46038</v>
      </c>
      <c r="E330" s="1" t="n">
        <v>46303</v>
      </c>
      <c r="F330" t="inlineStr">
        <is>
          <t>VÄRMLANDS LÄN</t>
        </is>
      </c>
      <c r="G330" t="inlineStr">
        <is>
          <t>KRISTINEHAMN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2522-2026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46037</v>
      </c>
      <c r="E331" s="1" t="n">
        <v>46303</v>
      </c>
      <c r="F331" t="inlineStr">
        <is>
          <t>VÄRMLANDS LÄN</t>
        </is>
      </c>
      <c r="G331" t="inlineStr">
        <is>
          <t>KRISTINEHAMN</t>
        </is>
      </c>
      <c r="I331" t="n">
        <v>11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46303</v>
      </c>
      <c r="F332" t="inlineStr">
        <is>
          <t>VÄRMLANDS LÄN</t>
        </is>
      </c>
      <c r="G332" t="inlineStr">
        <is>
          <t>KRISTINEHAMN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45244</v>
      </c>
      <c r="E333" s="1" t="n">
        <v>46303</v>
      </c>
      <c r="F333" t="inlineStr">
        <is>
          <t>VÄRMLANDS LÄN</t>
        </is>
      </c>
      <c r="G333" t="inlineStr">
        <is>
          <t>KRISTINEHAMN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45681</v>
      </c>
      <c r="E334" s="1" t="n">
        <v>46303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Kommuner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46303</v>
      </c>
      <c r="F335" t="inlineStr">
        <is>
          <t>VÄRMLANDS LÄN</t>
        </is>
      </c>
      <c r="G335" t="inlineStr">
        <is>
          <t>KRISTINEHAMN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46303</v>
      </c>
      <c r="F336" t="inlineStr">
        <is>
          <t>VÄRMLANDS LÄN</t>
        </is>
      </c>
      <c r="G336" t="inlineStr">
        <is>
          <t>KRISTINEHAMN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6259-2026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46051</v>
      </c>
      <c r="E337" s="1" t="n">
        <v>46303</v>
      </c>
      <c r="F337" t="inlineStr">
        <is>
          <t>VÄRMLANDS LÄN</t>
        </is>
      </c>
      <c r="G337" t="inlineStr">
        <is>
          <t>KRISTINEHAMN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45386</v>
      </c>
      <c r="E338" s="1" t="n">
        <v>46303</v>
      </c>
      <c r="F338" t="inlineStr">
        <is>
          <t>VÄRMLANDS LÄN</t>
        </is>
      </c>
      <c r="G338" t="inlineStr">
        <is>
          <t>KRISTINEHAMN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46303</v>
      </c>
      <c r="F339" t="inlineStr">
        <is>
          <t>VÄRMLANDS LÄN</t>
        </is>
      </c>
      <c r="G339" t="inlineStr">
        <is>
          <t>KRISTINEHAMN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45681</v>
      </c>
      <c r="E340" s="1" t="n">
        <v>46303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Kommuner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46303</v>
      </c>
      <c r="F341" t="inlineStr">
        <is>
          <t>VÄRMLANDS LÄN</t>
        </is>
      </c>
      <c r="G341" t="inlineStr">
        <is>
          <t>KRISTINEHAMN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46303</v>
      </c>
      <c r="F342" t="inlineStr">
        <is>
          <t>VÄRMLANDS LÄN</t>
        </is>
      </c>
      <c r="G342" t="inlineStr">
        <is>
          <t>KRISTINEHAMN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45477</v>
      </c>
      <c r="E343" s="1" t="n">
        <v>46303</v>
      </c>
      <c r="F343" t="inlineStr">
        <is>
          <t>VÄRMLANDS LÄN</t>
        </is>
      </c>
      <c r="G343" t="inlineStr">
        <is>
          <t>KRISTINEHAMN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45268</v>
      </c>
      <c r="E344" s="1" t="n">
        <v>46303</v>
      </c>
      <c r="F344" t="inlineStr">
        <is>
          <t>VÄRMLANDS LÄN</t>
        </is>
      </c>
      <c r="G344" t="inlineStr">
        <is>
          <t>KRISTINEHAMN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14183-2022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44651</v>
      </c>
      <c r="E345" s="1" t="n">
        <v>46303</v>
      </c>
      <c r="F345" t="inlineStr">
        <is>
          <t>VÄRMLANDS LÄN</t>
        </is>
      </c>
      <c r="G345" t="inlineStr">
        <is>
          <t>KRISTINEHAMN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44841</v>
      </c>
      <c r="E346" s="1" t="n">
        <v>46303</v>
      </c>
      <c r="F346" t="inlineStr">
        <is>
          <t>VÄRMLANDS LÄN</t>
        </is>
      </c>
      <c r="G346" t="inlineStr">
        <is>
          <t>KRISTINEHAMN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27210-2022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44741</v>
      </c>
      <c r="E347" s="1" t="n">
        <v>46303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46303</v>
      </c>
      <c r="F348" t="inlineStr">
        <is>
          <t>VÄRMLANDS LÄN</t>
        </is>
      </c>
      <c r="G348" t="inlineStr">
        <is>
          <t>KRISTINEHAMN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11463-2026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46083</v>
      </c>
      <c r="E349" s="1" t="n">
        <v>46303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Bergvik skog väst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47770-2023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45203</v>
      </c>
      <c r="E350" s="1" t="n">
        <v>46303</v>
      </c>
      <c r="F350" t="inlineStr">
        <is>
          <t>VÄRMLANDS LÄN</t>
        </is>
      </c>
      <c r="G350" t="inlineStr">
        <is>
          <t>KRISTINEHAMN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24710-2024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45460</v>
      </c>
      <c r="E351" s="1" t="n">
        <v>46303</v>
      </c>
      <c r="F351" t="inlineStr">
        <is>
          <t>VÄRMLANDS LÄN</t>
        </is>
      </c>
      <c r="G351" t="inlineStr">
        <is>
          <t>KRISTINEHAMN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46303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46303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46303</v>
      </c>
      <c r="F354" t="inlineStr">
        <is>
          <t>VÄRMLANDS LÄN</t>
        </is>
      </c>
      <c r="G354" t="inlineStr">
        <is>
          <t>KRISTINEHAMN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46303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58616-2021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44489</v>
      </c>
      <c r="E356" s="1" t="n">
        <v>46303</v>
      </c>
      <c r="F356" t="inlineStr">
        <is>
          <t>VÄRMLANDS LÄN</t>
        </is>
      </c>
      <c r="G356" t="inlineStr">
        <is>
          <t>KRISTINEHAMN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28827-2024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46303</v>
      </c>
      <c r="F357" t="inlineStr">
        <is>
          <t>VÄRMLANDS LÄN</t>
        </is>
      </c>
      <c r="G357" t="inlineStr">
        <is>
          <t>KRISTINEHAMN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28836-2024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45478</v>
      </c>
      <c r="E358" s="1" t="n">
        <v>46303</v>
      </c>
      <c r="F358" t="inlineStr">
        <is>
          <t>VÄRMLANDS LÄN</t>
        </is>
      </c>
      <c r="G358" t="inlineStr">
        <is>
          <t>KRISTINEHAMN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13464-2026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46303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Sveaskog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46303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46303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46205</v>
      </c>
      <c r="E362" s="1" t="n">
        <v>46303</v>
      </c>
      <c r="F362" t="inlineStr">
        <is>
          <t>VÄRMLANDS LÄN</t>
        </is>
      </c>
      <c r="G362" t="inlineStr">
        <is>
          <t>KRISTINEHAMN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46303</v>
      </c>
      <c r="F363" t="inlineStr">
        <is>
          <t>VÄRMLANDS LÄN</t>
        </is>
      </c>
      <c r="G363" t="inlineStr">
        <is>
          <t>KRISTINEHAMN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27939-2023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45098</v>
      </c>
      <c r="E364" s="1" t="n">
        <v>46303</v>
      </c>
      <c r="F364" t="inlineStr">
        <is>
          <t>VÄRMLANDS LÄN</t>
        </is>
      </c>
      <c r="G364" t="inlineStr">
        <is>
          <t>KRISTINEHAMN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27961-2023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45098</v>
      </c>
      <c r="E365" s="1" t="n">
        <v>46303</v>
      </c>
      <c r="F365" t="inlineStr">
        <is>
          <t>VÄRMLANDS LÄN</t>
        </is>
      </c>
      <c r="G365" t="inlineStr">
        <is>
          <t>KRISTINEHAMN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46303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6927-2025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45701</v>
      </c>
      <c r="E367" s="1" t="n">
        <v>46303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Naturvårdsverket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46303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68526-2021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44526</v>
      </c>
      <c r="E369" s="1" t="n">
        <v>46303</v>
      </c>
      <c r="F369" t="inlineStr">
        <is>
          <t>VÄRMLANDS LÄN</t>
        </is>
      </c>
      <c r="G369" t="inlineStr">
        <is>
          <t>KRISTINEHAMN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68530-2021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44526</v>
      </c>
      <c r="E370" s="1" t="n">
        <v>46303</v>
      </c>
      <c r="F370" t="inlineStr">
        <is>
          <t>VÄRMLANDS LÄN</t>
        </is>
      </c>
      <c r="G370" t="inlineStr">
        <is>
          <t>KRISTINEHAMN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46303</v>
      </c>
      <c r="F371" t="inlineStr">
        <is>
          <t>VÄRMLANDS LÄN</t>
        </is>
      </c>
      <c r="G371" t="inlineStr">
        <is>
          <t>KRISTINEHAMN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44595</v>
      </c>
      <c r="E372" s="1" t="n">
        <v>46303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44595</v>
      </c>
      <c r="E373" s="1" t="n">
        <v>46303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15064-2026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46303</v>
      </c>
      <c r="F374" t="inlineStr">
        <is>
          <t>VÄRMLANDS LÄN</t>
        </is>
      </c>
      <c r="G374" t="inlineStr">
        <is>
          <t>KRISTINEHAMN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15646-2026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46106</v>
      </c>
      <c r="E375" s="1" t="n">
        <v>46303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15827-2026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46107</v>
      </c>
      <c r="E376" s="1" t="n">
        <v>46303</v>
      </c>
      <c r="F376" t="inlineStr">
        <is>
          <t>VÄRMLANDS LÄN</t>
        </is>
      </c>
      <c r="G376" t="inlineStr">
        <is>
          <t>KRISTINEHAMN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46303</v>
      </c>
      <c r="F377" t="inlineStr">
        <is>
          <t>VÄRMLANDS LÄN</t>
        </is>
      </c>
      <c r="G377" t="inlineStr">
        <is>
          <t>KRISTINEHAMN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45243</v>
      </c>
      <c r="E378" s="1" t="n">
        <v>46303</v>
      </c>
      <c r="F378" t="inlineStr">
        <is>
          <t>VÄRMLANDS LÄN</t>
        </is>
      </c>
      <c r="G378" t="inlineStr">
        <is>
          <t>KRISTINEHAMN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46303</v>
      </c>
      <c r="F379" t="inlineStr">
        <is>
          <t>VÄRMLANDS LÄN</t>
        </is>
      </c>
      <c r="G379" t="inlineStr">
        <is>
          <t>KRISTINEHAMN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45322</v>
      </c>
      <c r="E380" s="1" t="n">
        <v>46303</v>
      </c>
      <c r="F380" t="inlineStr">
        <is>
          <t>VÄRMLANDS LÄN</t>
        </is>
      </c>
      <c r="G380" t="inlineStr">
        <is>
          <t>KRISTINEHAMN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61988-2023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46303</v>
      </c>
      <c r="F381" t="inlineStr">
        <is>
          <t>VÄRMLANDS LÄN</t>
        </is>
      </c>
      <c r="G381" t="inlineStr">
        <is>
          <t>KRISTINEHAMN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44978</v>
      </c>
      <c r="E382" s="1" t="n">
        <v>46303</v>
      </c>
      <c r="F382" t="inlineStr">
        <is>
          <t>VÄRMLANDS LÄN</t>
        </is>
      </c>
      <c r="G382" t="inlineStr">
        <is>
          <t>KRISTINEHAMN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28152-2022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44746</v>
      </c>
      <c r="E383" s="1" t="n">
        <v>46303</v>
      </c>
      <c r="F383" t="inlineStr">
        <is>
          <t>VÄRMLANDS LÄN</t>
        </is>
      </c>
      <c r="G383" t="inlineStr">
        <is>
          <t>KRISTINEHAMN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45639</v>
      </c>
      <c r="E384" s="1" t="n">
        <v>46303</v>
      </c>
      <c r="F384" t="inlineStr">
        <is>
          <t>VÄRMLANDS LÄN</t>
        </is>
      </c>
      <c r="G384" t="inlineStr">
        <is>
          <t>KRISTINEHAMN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45450</v>
      </c>
      <c r="E385" s="1" t="n">
        <v>46303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Kommuner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22896-2023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45072</v>
      </c>
      <c r="E386" s="1" t="n">
        <v>46303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32821-2023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45112</v>
      </c>
      <c r="E387" s="1" t="n">
        <v>46303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Kommuner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39779-2023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45167</v>
      </c>
      <c r="E388" s="1" t="n">
        <v>46303</v>
      </c>
      <c r="F388" t="inlineStr">
        <is>
          <t>VÄRMLANDS LÄN</t>
        </is>
      </c>
      <c r="G388" t="inlineStr">
        <is>
          <t>KRISTINEHAMN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46129</v>
      </c>
      <c r="E389" s="1" t="n">
        <v>46303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Sveaskog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18909-2026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46129</v>
      </c>
      <c r="E390" s="1" t="n">
        <v>46303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32821-2023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45112</v>
      </c>
      <c r="E391" s="1" t="n">
        <v>46303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Kommuner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8557-2023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44972</v>
      </c>
      <c r="E392" s="1" t="n">
        <v>46303</v>
      </c>
      <c r="F392" t="inlineStr">
        <is>
          <t>VÄRMLANDS LÄN</t>
        </is>
      </c>
      <c r="G392" t="inlineStr">
        <is>
          <t>KRISTINEHAMN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19226-2026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46303</v>
      </c>
      <c r="F393" t="inlineStr">
        <is>
          <t>VÄRMLANDS LÄN</t>
        </is>
      </c>
      <c r="G393" t="inlineStr">
        <is>
          <t>KRISTINEHAMN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21861-2023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45068</v>
      </c>
      <c r="E394" s="1" t="n">
        <v>46303</v>
      </c>
      <c r="F394" t="inlineStr">
        <is>
          <t>VÄRMLANDS LÄN</t>
        </is>
      </c>
      <c r="G394" t="inlineStr">
        <is>
          <t>KRISTINEHAMN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47466-2023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45202</v>
      </c>
      <c r="E395" s="1" t="n">
        <v>46303</v>
      </c>
      <c r="F395" t="inlineStr">
        <is>
          <t>VÄRMLANDS LÄN</t>
        </is>
      </c>
      <c r="G395" t="inlineStr">
        <is>
          <t>KRISTINEHAMN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15406-2024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45401</v>
      </c>
      <c r="E396" s="1" t="n">
        <v>46303</v>
      </c>
      <c r="F396" t="inlineStr">
        <is>
          <t>VÄRMLANDS LÄN</t>
        </is>
      </c>
      <c r="G396" t="inlineStr">
        <is>
          <t>KRISTINEHAMN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34891-2023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45141</v>
      </c>
      <c r="E397" s="1" t="n">
        <v>46303</v>
      </c>
      <c r="F397" t="inlineStr">
        <is>
          <t>VÄRMLANDS LÄN</t>
        </is>
      </c>
      <c r="G397" t="inlineStr">
        <is>
          <t>KRISTINEHAMN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46303</v>
      </c>
      <c r="F398" t="inlineStr">
        <is>
          <t>VÄRMLANDS LÄN</t>
        </is>
      </c>
      <c r="G398" t="inlineStr">
        <is>
          <t>KRISTINEHAMN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46303</v>
      </c>
      <c r="F399" t="inlineStr">
        <is>
          <t>VÄRMLANDS LÄN</t>
        </is>
      </c>
      <c r="G399" t="inlineStr">
        <is>
          <t>KRISTINEHAMN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38946-2025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45887</v>
      </c>
      <c r="E400" s="1" t="n">
        <v>46303</v>
      </c>
      <c r="F400" t="inlineStr">
        <is>
          <t>VÄRMLANDS LÄN</t>
        </is>
      </c>
      <c r="G400" t="inlineStr">
        <is>
          <t>KRISTINEHAMN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45315</v>
      </c>
      <c r="E401" s="1" t="n">
        <v>46303</v>
      </c>
      <c r="F401" t="inlineStr">
        <is>
          <t>VÄRMLANDS LÄN</t>
        </is>
      </c>
      <c r="G401" t="inlineStr">
        <is>
          <t>KRISTINEHAMN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42177-2025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45904</v>
      </c>
      <c r="E402" s="1" t="n">
        <v>46303</v>
      </c>
      <c r="F402" t="inlineStr">
        <is>
          <t>VÄRMLANDS LÄN</t>
        </is>
      </c>
      <c r="G402" t="inlineStr">
        <is>
          <t>KRISTINEHAMN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56668-2023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46303</v>
      </c>
      <c r="F403" t="inlineStr">
        <is>
          <t>VÄRMLANDS LÄN</t>
        </is>
      </c>
      <c r="G403" t="inlineStr">
        <is>
          <t>KRISTINEHAMN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45888</v>
      </c>
      <c r="E404" s="1" t="n">
        <v>46303</v>
      </c>
      <c r="F404" t="inlineStr">
        <is>
          <t>VÄRMLANDS LÄN</t>
        </is>
      </c>
      <c r="G404" t="inlineStr">
        <is>
          <t>KRISTINEHAMN</t>
        </is>
      </c>
      <c r="I404" t="n">
        <v>7.1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39778-2023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46303</v>
      </c>
      <c r="F405" t="inlineStr">
        <is>
          <t>VÄRMLANDS LÄN</t>
        </is>
      </c>
      <c r="G405" t="inlineStr">
        <is>
          <t>KRISTINEHAMN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45323</v>
      </c>
      <c r="E406" s="1" t="n">
        <v>46303</v>
      </c>
      <c r="F406" t="inlineStr">
        <is>
          <t>VÄRMLANDS LÄN</t>
        </is>
      </c>
      <c r="G406" t="inlineStr">
        <is>
          <t>KRISTINEHAMN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10032-2023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44985</v>
      </c>
      <c r="E407" s="1" t="n">
        <v>46303</v>
      </c>
      <c r="F407" t="inlineStr">
        <is>
          <t>VÄRMLANDS LÄN</t>
        </is>
      </c>
      <c r="G407" t="inlineStr">
        <is>
          <t>KRISTINEHAMN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11020-2023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44991</v>
      </c>
      <c r="E408" s="1" t="n">
        <v>46303</v>
      </c>
      <c r="F408" t="inlineStr">
        <is>
          <t>VÄRMLANDS LÄN</t>
        </is>
      </c>
      <c r="G408" t="inlineStr">
        <is>
          <t>KRISTINEHAMN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58284-2024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45631</v>
      </c>
      <c r="E409" s="1" t="n">
        <v>46303</v>
      </c>
      <c r="F409" t="inlineStr">
        <is>
          <t>VÄRMLANDS LÄN</t>
        </is>
      </c>
      <c r="G409" t="inlineStr">
        <is>
          <t>KRISTINEHAMN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27531-2022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44742</v>
      </c>
      <c r="E410" s="1" t="n">
        <v>46303</v>
      </c>
      <c r="F410" t="inlineStr">
        <is>
          <t>VÄRMLANDS LÄN</t>
        </is>
      </c>
      <c r="G410" t="inlineStr">
        <is>
          <t>KRISTINEHAMN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45705</v>
      </c>
      <c r="E411" s="1" t="n">
        <v>46303</v>
      </c>
      <c r="F411" t="inlineStr">
        <is>
          <t>VÄRMLANDS LÄN</t>
        </is>
      </c>
      <c r="G411" t="inlineStr">
        <is>
          <t>KRISTINEHAMN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45734</v>
      </c>
      <c r="E412" s="1" t="n">
        <v>46303</v>
      </c>
      <c r="F412" t="inlineStr">
        <is>
          <t>VÄRMLANDS LÄN</t>
        </is>
      </c>
      <c r="G412" t="inlineStr">
        <is>
          <t>KRISTINEHAMN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45202</v>
      </c>
      <c r="E413" s="1" t="n">
        <v>46303</v>
      </c>
      <c r="F413" t="inlineStr">
        <is>
          <t>VÄRMLANDS LÄN</t>
        </is>
      </c>
      <c r="G413" t="inlineStr">
        <is>
          <t>KRISTINEHAMN</t>
        </is>
      </c>
      <c r="I413" t="n">
        <v>10.4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46274</v>
      </c>
      <c r="E414" s="1" t="n">
        <v>46303</v>
      </c>
      <c r="F414" t="inlineStr">
        <is>
          <t>VÄRMLANDS LÄN</t>
        </is>
      </c>
      <c r="G414" t="inlineStr">
        <is>
          <t>KRISTINEHAMN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46274</v>
      </c>
      <c r="E415" s="1" t="n">
        <v>46303</v>
      </c>
      <c r="F415" t="inlineStr">
        <is>
          <t>VÄRMLANDS LÄN</t>
        </is>
      </c>
      <c r="G415" t="inlineStr">
        <is>
          <t>KRISTINEHAMN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51700-2023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45222</v>
      </c>
      <c r="E416" s="1" t="n">
        <v>46303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Bergvik skog väst AB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12458-2024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45379</v>
      </c>
      <c r="E417" s="1" t="n">
        <v>46303</v>
      </c>
      <c r="F417" t="inlineStr">
        <is>
          <t>VÄRMLANDS LÄN</t>
        </is>
      </c>
      <c r="G417" t="inlineStr">
        <is>
          <t>KRISTINEHAMN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31829-2026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46230</v>
      </c>
      <c r="E418" s="1" t="n">
        <v>46303</v>
      </c>
      <c r="F418" t="inlineStr">
        <is>
          <t>VÄRMLANDS LÄN</t>
        </is>
      </c>
      <c r="G418" t="inlineStr">
        <is>
          <t>KRISTINEHAMN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59203-2024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45636</v>
      </c>
      <c r="E419" s="1" t="n">
        <v>46303</v>
      </c>
      <c r="F419" t="inlineStr">
        <is>
          <t>VÄRMLANDS LÄN</t>
        </is>
      </c>
      <c r="G419" t="inlineStr">
        <is>
          <t>KRISTINEHAMN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46282</v>
      </c>
      <c r="E420" s="1" t="n">
        <v>46303</v>
      </c>
      <c r="F420" t="inlineStr">
        <is>
          <t>VÄRMLANDS LÄN</t>
        </is>
      </c>
      <c r="G420" t="inlineStr">
        <is>
          <t>KRISTINEHAMN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46281</v>
      </c>
      <c r="E421" s="1" t="n">
        <v>46303</v>
      </c>
      <c r="F421" t="inlineStr">
        <is>
          <t>VÄRMLANDS LÄN</t>
        </is>
      </c>
      <c r="G421" t="inlineStr">
        <is>
          <t>KRISTINEHAMN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38128-2026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46281</v>
      </c>
      <c r="E422" s="1" t="n">
        <v>46303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14.1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38485-2026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46282</v>
      </c>
      <c r="E423" s="1" t="n">
        <v>46303</v>
      </c>
      <c r="F423" t="inlineStr">
        <is>
          <t>VÄRMLANDS LÄN</t>
        </is>
      </c>
      <c r="G423" t="inlineStr">
        <is>
          <t>KRISTINEHAMN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46282</v>
      </c>
      <c r="E424" s="1" t="n">
        <v>46303</v>
      </c>
      <c r="F424" t="inlineStr">
        <is>
          <t>VÄRMLANDS LÄN</t>
        </is>
      </c>
      <c r="G424" t="inlineStr">
        <is>
          <t>KRISTINEHAMN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38840-2026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46286</v>
      </c>
      <c r="E425" s="1" t="n">
        <v>46303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46293</v>
      </c>
      <c r="E426" s="1" t="n">
        <v>46303</v>
      </c>
      <c r="F426" t="inlineStr">
        <is>
          <t>VÄRMLANDS LÄN</t>
        </is>
      </c>
      <c r="G426" t="inlineStr">
        <is>
          <t>KRISTINEHAMN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30986-2026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46213</v>
      </c>
      <c r="E427" s="1" t="n">
        <v>46303</v>
      </c>
      <c r="F427" t="inlineStr">
        <is>
          <t>VÄRMLANDS LÄN</t>
        </is>
      </c>
      <c r="G427" t="inlineStr">
        <is>
          <t>KRISTINEHAMN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46287</v>
      </c>
      <c r="E428" s="1" t="n">
        <v>46303</v>
      </c>
      <c r="F428" t="inlineStr">
        <is>
          <t>VÄRMLANDS LÄN</t>
        </is>
      </c>
      <c r="G428" t="inlineStr">
        <is>
          <t>KRISTINEHAMN</t>
        </is>
      </c>
      <c r="I428" t="n">
        <v>10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41778-2026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46302</v>
      </c>
      <c r="E429" s="1" t="n">
        <v>46303</v>
      </c>
      <c r="F429" t="inlineStr">
        <is>
          <t>VÄRMLANDS LÄN</t>
        </is>
      </c>
      <c r="G429" t="inlineStr">
        <is>
          <t>KRISTINEHAMN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1219-2020</t>
        </is>
      </c>
      <c r="B430" t="inlineStr">
        <is>
          <t>samrådsanmälan</t>
        </is>
      </c>
      <c r="C430" t="n">
        <v/>
      </c>
      <c r="D430" s="1" t="n">
        <v>43980</v>
      </c>
      <c r="E430" s="1" t="n">
        <v>46303</v>
      </c>
      <c r="F430" t="inlineStr">
        <is>
          <t>VÄRMLANDS LÄN</t>
        </is>
      </c>
      <c r="G430" t="inlineStr">
        <is>
          <t>KRISTINEHAMN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1815-2022</t>
        </is>
      </c>
      <c r="B431" t="inlineStr">
        <is>
          <t>samrådsanmälan</t>
        </is>
      </c>
      <c r="C431" t="inlineStr">
        <is>
          <t>Åtgärd i nyckelbiotop</t>
        </is>
      </c>
      <c r="D431" s="1" t="n">
        <v>44657</v>
      </c>
      <c r="E431" s="1" t="n">
        <v>46303</v>
      </c>
      <c r="F431" t="inlineStr">
        <is>
          <t>VÄRMLANDS LÄN</t>
        </is>
      </c>
      <c r="G431" t="inlineStr">
        <is>
          <t>KRISTINEHAMN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2879-2022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44711</v>
      </c>
      <c r="E432" s="1" t="n">
        <v>46303</v>
      </c>
      <c r="F432" t="inlineStr">
        <is>
          <t>VÄRMLANDS LÄN</t>
        </is>
      </c>
      <c r="G432" t="inlineStr">
        <is>
          <t>KRISTINEHAMN</t>
        </is>
      </c>
      <c r="I432" t="n">
        <v>25.9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2393-2022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44690</v>
      </c>
      <c r="E433" s="1" t="n">
        <v>46303</v>
      </c>
      <c r="F433" t="inlineStr">
        <is>
          <t>VÄRMLANDS LÄN</t>
        </is>
      </c>
      <c r="G433" t="inlineStr">
        <is>
          <t>KRISTINEHAMN</t>
        </is>
      </c>
      <c r="I433" t="n">
        <v>51.7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4147-2023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46303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13.5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4149-2023</t>
        </is>
      </c>
      <c r="B435" t="inlineStr">
        <is>
          <t>samrådsanmälan</t>
        </is>
      </c>
      <c r="C435" t="inlineStr">
        <is>
          <t>Skogsgödsling</t>
        </is>
      </c>
      <c r="D435" s="1" t="n">
        <v>45247</v>
      </c>
      <c r="E435" s="1" t="n">
        <v>46303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Naturvårdsverket</t>
        </is>
      </c>
      <c r="I435" t="n">
        <v>9.5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2254-2023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45103</v>
      </c>
      <c r="E436" s="1" t="n">
        <v>46303</v>
      </c>
      <c r="F436" t="inlineStr">
        <is>
          <t>VÄRMLANDS LÄN</t>
        </is>
      </c>
      <c r="G436" t="inlineStr">
        <is>
          <t>KRISTINEHAMN</t>
        </is>
      </c>
      <c r="I436" t="n">
        <v>51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1899-2024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46303</v>
      </c>
      <c r="F437" t="inlineStr">
        <is>
          <t>VÄRMLANDS LÄN</t>
        </is>
      </c>
      <c r="G437" t="inlineStr">
        <is>
          <t>KRISTINEHAMN</t>
        </is>
      </c>
      <c r="I437" t="n">
        <v>21.4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2301-2024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45463</v>
      </c>
      <c r="E438" s="1" t="n">
        <v>46303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Bergvik skog väst AB</t>
        </is>
      </c>
      <c r="I438" t="n">
        <v>28.1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2553-2024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45475</v>
      </c>
      <c r="E439" s="1" t="n">
        <v>46303</v>
      </c>
      <c r="F439" t="inlineStr">
        <is>
          <t>VÄRMLANDS LÄN</t>
        </is>
      </c>
      <c r="G439" t="inlineStr">
        <is>
          <t>KRISTINEHAMN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3378-2024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45533</v>
      </c>
      <c r="E440" s="1" t="n">
        <v>46303</v>
      </c>
      <c r="F440" t="inlineStr">
        <is>
          <t>VÄRMLANDS LÄN</t>
        </is>
      </c>
      <c r="G440" t="inlineStr">
        <is>
          <t>KRISTINEHAMN</t>
        </is>
      </c>
      <c r="I440" t="n">
        <v>53.7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1903-2024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45442</v>
      </c>
      <c r="E441" s="1" t="n">
        <v>46303</v>
      </c>
      <c r="F441" t="inlineStr">
        <is>
          <t>VÄRMLANDS LÄN</t>
        </is>
      </c>
      <c r="G441" t="inlineStr">
        <is>
          <t>KRISTINEHAMN</t>
        </is>
      </c>
      <c r="I441" t="n">
        <v>104.3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717-2023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44985</v>
      </c>
      <c r="E442" s="1" t="n">
        <v>46303</v>
      </c>
      <c r="F442" t="inlineStr">
        <is>
          <t>VÄRMLANDS LÄN</t>
        </is>
      </c>
      <c r="G442" t="inlineStr">
        <is>
          <t>KRISTINEHAMN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1412-2024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45414</v>
      </c>
      <c r="E443" s="1" t="n">
        <v>46303</v>
      </c>
      <c r="F443" t="inlineStr">
        <is>
          <t>VÄRMLANDS LÄN</t>
        </is>
      </c>
      <c r="G443" t="inlineStr">
        <is>
          <t>KRISTINEHAMN</t>
        </is>
      </c>
      <c r="I443" t="n">
        <v>42.9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1900-2024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46303</v>
      </c>
      <c r="F444" t="inlineStr">
        <is>
          <t>VÄRMLANDS LÄN</t>
        </is>
      </c>
      <c r="G444" t="inlineStr">
        <is>
          <t>KRISTINEHAMN</t>
        </is>
      </c>
      <c r="I444" t="n">
        <v>63.5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3374-2024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45533</v>
      </c>
      <c r="E445" s="1" t="n">
        <v>46303</v>
      </c>
      <c r="F445" t="inlineStr">
        <is>
          <t>VÄRMLANDS LÄN</t>
        </is>
      </c>
      <c r="G445" t="inlineStr">
        <is>
          <t>KRISTINEHAMN</t>
        </is>
      </c>
      <c r="I445" t="n">
        <v>18.3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2464-2023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45118</v>
      </c>
      <c r="E446" s="1" t="n">
        <v>46303</v>
      </c>
      <c r="F446" t="inlineStr">
        <is>
          <t>VÄRMLANDS LÄN</t>
        </is>
      </c>
      <c r="G446" t="inlineStr">
        <is>
          <t>KRISTINEHAMN</t>
        </is>
      </c>
      <c r="I446" t="n">
        <v>42.3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4146-2023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45247</v>
      </c>
      <c r="E447" s="1" t="n">
        <v>46303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3007-2024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45512</v>
      </c>
      <c r="E448" s="1" t="n">
        <v>46303</v>
      </c>
      <c r="F448" t="inlineStr">
        <is>
          <t>VÄRMLANDS LÄN</t>
        </is>
      </c>
      <c r="G448" t="inlineStr">
        <is>
          <t>KRISTINEHAMN</t>
        </is>
      </c>
      <c r="I448" t="n">
        <v>56.9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1418-2025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45783</v>
      </c>
      <c r="E449" s="1" t="n">
        <v>46303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1546-2025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45792</v>
      </c>
      <c r="E450" s="1" t="n">
        <v>46303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1698-2025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45805</v>
      </c>
      <c r="E451" s="1" t="n">
        <v>46303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121-2026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46040</v>
      </c>
      <c r="E452" s="1" t="n">
        <v>46303</v>
      </c>
      <c r="F452" t="inlineStr">
        <is>
          <t>VÄRMLANDS LÄN</t>
        </is>
      </c>
      <c r="G452" t="inlineStr">
        <is>
          <t>KRISTINEHAMN</t>
        </is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865-2026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46106</v>
      </c>
      <c r="E453" s="1" t="n">
        <v>46303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>
      <c r="A454" t="inlineStr">
        <is>
          <t>S 99-2026</t>
        </is>
      </c>
      <c r="B454" t="inlineStr">
        <is>
          <t>samrådsanmälan</t>
        </is>
      </c>
      <c r="C454" t="inlineStr">
        <is>
          <t>Skogsgödsling</t>
        </is>
      </c>
      <c r="D454" s="1" t="n">
        <v>46036</v>
      </c>
      <c r="E454" s="1" t="n">
        <v>46303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Naturvårdsverket</t>
        </is>
      </c>
      <c r="I454" t="n">
        <v>80.8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2026-10-08T02:02:59Z</dcterms:created>
  <dcterms:modified xmlns:dcterms="http://purl.org/dc/terms/" xmlns:xsi="http://www.w3.org/2001/XMLSchema-instance" xsi:type="dcterms:W3CDTF">2026-10-08T02:03:00Z</dcterms:modified>
</cp:coreProperties>
</file>