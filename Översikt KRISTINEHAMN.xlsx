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46232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46232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46232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46232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46232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46232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46232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46232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46232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46232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60714-2025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45996</v>
      </c>
      <c r="E25" s="1" t="n">
        <v>46232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Björksplintborre</t>
        </is>
      </c>
      <c r="W25">
        <f>HYPERLINK("https://klasma.github.io/Logging_1781/artfynd/A 60714-2025 artfynd.xlsx", "A 60714-2025")</f>
        <v/>
      </c>
      <c r="X25">
        <f>HYPERLINK("https://klasma.github.io/Logging_1781/kartor/A 60714-2025 karta.png", "A 60714-2025")</f>
        <v/>
      </c>
      <c r="Y25">
        <f>HYPERLINK("https://klasma.github.io/Logging_1781/kartor_geotiff/A 60714-2025 georefererad karta.tif", "A 60714-2025")</f>
        <v/>
      </c>
      <c r="AA25">
        <f>HYPERLINK("https://klasma.github.io/Logging_1781/klagomål/A 60714-2025 FSC-klagomål.docx", "A 60714-2025")</f>
        <v/>
      </c>
      <c r="AB25">
        <f>HYPERLINK("https://klasma.github.io/Logging_1781/klagomålsmail/A 60714-2025 FSC-klagomål mail.docx", "A 60714-2025")</f>
        <v/>
      </c>
      <c r="AC25">
        <f>HYPERLINK("https://klasma.github.io/Logging_1781/tillsyn/A 60714-2025 tillsynsbegäran.docx", "A 60714-2025")</f>
        <v/>
      </c>
      <c r="AD25">
        <f>HYPERLINK("https://klasma.github.io/Logging_1781/tillsynsmail/A 60714-2025 tillsynsbegäran mail.docx", "A 60714-2025")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46232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46232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46232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46232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46232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46232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46232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46232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46232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46232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46232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46232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46232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46232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46232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46232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46232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46232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46232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46232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46232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46232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46232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46232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46232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46232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46232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46232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46232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46232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46232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46232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46232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46232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46232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46232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46232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46232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46232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46232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46232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46232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46232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46232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44449</v>
      </c>
      <c r="E70" s="1" t="n">
        <v>46232</v>
      </c>
      <c r="F70" t="inlineStr">
        <is>
          <t>VÄRMLANDS LÄN</t>
        </is>
      </c>
      <c r="G70" t="inlineStr">
        <is>
          <t>KRISTINEHAMN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66439-2021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46232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46232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46232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46232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46232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46232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46232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46232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46232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46232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46232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46232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46232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46232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46232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46232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46232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46232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46232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46232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46232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46232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46232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46232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46232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46232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46232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46232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46232</v>
      </c>
      <c r="F99" t="inlineStr">
        <is>
          <t>VÄRMLANDS LÄN</t>
        </is>
      </c>
      <c r="G99" t="inlineStr">
        <is>
          <t>KRISTINEHAMN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46232</v>
      </c>
      <c r="F100" t="inlineStr">
        <is>
          <t>VÄRMLANDS LÄN</t>
        </is>
      </c>
      <c r="G100" t="inlineStr">
        <is>
          <t>KRISTINEHAMN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46232</v>
      </c>
      <c r="F101" t="inlineStr">
        <is>
          <t>VÄRMLANDS LÄN</t>
        </is>
      </c>
      <c r="G101" t="inlineStr">
        <is>
          <t>KRISTINEHAMN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45081</v>
      </c>
      <c r="E102" s="1" t="n">
        <v>46232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68505-2021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44525</v>
      </c>
      <c r="E103" s="1" t="n">
        <v>46232</v>
      </c>
      <c r="F103" t="inlineStr">
        <is>
          <t>VÄRMLANDS LÄN</t>
        </is>
      </c>
      <c r="G103" t="inlineStr">
        <is>
          <t>KRISTINEHAMN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46232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46232</v>
      </c>
      <c r="F105" t="inlineStr">
        <is>
          <t>VÄRMLANDS LÄN</t>
        </is>
      </c>
      <c r="G105" t="inlineStr">
        <is>
          <t>KRISTINEHAMN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45095</v>
      </c>
      <c r="E106" s="1" t="n">
        <v>46232</v>
      </c>
      <c r="F106" t="inlineStr">
        <is>
          <t>VÄRMLANDS LÄN</t>
        </is>
      </c>
      <c r="G106" t="inlineStr">
        <is>
          <t>KRISTINEHAMN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46232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46232</v>
      </c>
      <c r="F108" t="inlineStr">
        <is>
          <t>VÄRMLANDS LÄN</t>
        </is>
      </c>
      <c r="G108" t="inlineStr">
        <is>
          <t>KRISTINEHAMN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46232</v>
      </c>
      <c r="F109" t="inlineStr">
        <is>
          <t>VÄRMLANDS LÄN</t>
        </is>
      </c>
      <c r="G109" t="inlineStr">
        <is>
          <t>KRISTINEHAMN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46232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45442</v>
      </c>
      <c r="E111" s="1" t="n">
        <v>46232</v>
      </c>
      <c r="F111" t="inlineStr">
        <is>
          <t>VÄRMLANDS LÄN</t>
        </is>
      </c>
      <c r="G111" t="inlineStr">
        <is>
          <t>KRISTINEHAMN</t>
        </is>
      </c>
      <c r="I111" t="n">
        <v>14.9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46232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Kommuner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46232</v>
      </c>
      <c r="F113" t="inlineStr">
        <is>
          <t>VÄRMLANDS LÄN</t>
        </is>
      </c>
      <c r="G113" t="inlineStr">
        <is>
          <t>KRISTINEHAMN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46232</v>
      </c>
      <c r="F114" t="inlineStr">
        <is>
          <t>VÄRMLANDS LÄN</t>
        </is>
      </c>
      <c r="G114" t="inlineStr">
        <is>
          <t>KRISTINEHAMN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45456</v>
      </c>
      <c r="E115" s="1" t="n">
        <v>46232</v>
      </c>
      <c r="F115" t="inlineStr">
        <is>
          <t>VÄRMLANDS LÄN</t>
        </is>
      </c>
      <c r="G115" t="inlineStr">
        <is>
          <t>KRISTINEHAMN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45202</v>
      </c>
      <c r="E116" s="1" t="n">
        <v>46232</v>
      </c>
      <c r="F116" t="inlineStr">
        <is>
          <t>VÄRMLANDS LÄN</t>
        </is>
      </c>
      <c r="G116" t="inlineStr">
        <is>
          <t>KRISTINEHAMN</t>
        </is>
      </c>
      <c r="I116" t="n">
        <v>10.4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46232</v>
      </c>
      <c r="F117" t="inlineStr">
        <is>
          <t>VÄRMLANDS LÄN</t>
        </is>
      </c>
      <c r="G117" t="inlineStr">
        <is>
          <t>KRISTINEHAMN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46232</v>
      </c>
      <c r="F118" t="inlineStr">
        <is>
          <t>VÄRMLANDS LÄN</t>
        </is>
      </c>
      <c r="G118" t="inlineStr">
        <is>
          <t>KRISTINEHAMN</t>
        </is>
      </c>
      <c r="I118" t="n">
        <v>8.699999999999999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46232</v>
      </c>
      <c r="F119" t="inlineStr">
        <is>
          <t>VÄRMLANDS LÄN</t>
        </is>
      </c>
      <c r="G119" t="inlineStr">
        <is>
          <t>KRISTINEHAMN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46232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22637-2024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45447</v>
      </c>
      <c r="E121" s="1" t="n">
        <v>46232</v>
      </c>
      <c r="F121" t="inlineStr">
        <is>
          <t>VÄRMLANDS LÄN</t>
        </is>
      </c>
      <c r="G121" t="inlineStr">
        <is>
          <t>KRISTINEHAMN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46232</v>
      </c>
      <c r="F122" t="inlineStr">
        <is>
          <t>VÄRMLANDS LÄN</t>
        </is>
      </c>
      <c r="G122" t="inlineStr">
        <is>
          <t>KRISTINEHAMN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45662</v>
      </c>
      <c r="E123" s="1" t="n">
        <v>46232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45553</v>
      </c>
      <c r="E124" s="1" t="n">
        <v>46232</v>
      </c>
      <c r="F124" t="inlineStr">
        <is>
          <t>VÄRMLANDS LÄN</t>
        </is>
      </c>
      <c r="G124" t="inlineStr">
        <is>
          <t>KRISTINEHAMN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46232</v>
      </c>
      <c r="F125" t="inlineStr">
        <is>
          <t>VÄRMLANDS LÄN</t>
        </is>
      </c>
      <c r="G125" t="inlineStr">
        <is>
          <t>KRISTINEHAMN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46232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45701</v>
      </c>
      <c r="E127" s="1" t="n">
        <v>46232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Naturvårdsverket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45802</v>
      </c>
      <c r="E128" s="1" t="n">
        <v>46232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Naturvårdsverket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46232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45044</v>
      </c>
      <c r="E130" s="1" t="n">
        <v>46232</v>
      </c>
      <c r="F130" t="inlineStr">
        <is>
          <t>VÄRMLANDS LÄN</t>
        </is>
      </c>
      <c r="G130" t="inlineStr">
        <is>
          <t>KRISTINEHAMN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46232</v>
      </c>
      <c r="F131" t="inlineStr">
        <is>
          <t>VÄRMLANDS LÄN</t>
        </is>
      </c>
      <c r="G131" t="inlineStr">
        <is>
          <t>KRISTINEHAMN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46232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46232</v>
      </c>
      <c r="F133" t="inlineStr">
        <is>
          <t>VÄRMLANDS LÄN</t>
        </is>
      </c>
      <c r="G133" t="inlineStr">
        <is>
          <t>KRISTINEHAMN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61034-2021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44497</v>
      </c>
      <c r="E134" s="1" t="n">
        <v>46232</v>
      </c>
      <c r="F134" t="inlineStr">
        <is>
          <t>VÄRMLANDS LÄN</t>
        </is>
      </c>
      <c r="G134" t="inlineStr">
        <is>
          <t>KRISTINEHAMN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46232</v>
      </c>
      <c r="F135" t="inlineStr">
        <is>
          <t>VÄRMLANDS LÄN</t>
        </is>
      </c>
      <c r="G135" t="inlineStr">
        <is>
          <t>KRISTINEHAMN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46232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46232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46232</v>
      </c>
      <c r="F138" t="inlineStr">
        <is>
          <t>VÄRMLANDS LÄN</t>
        </is>
      </c>
      <c r="G138" t="inlineStr">
        <is>
          <t>KRISTINEHAMN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46232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46232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Sveaskog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46232</v>
      </c>
      <c r="F141" t="inlineStr">
        <is>
          <t>VÄRMLANDS LÄN</t>
        </is>
      </c>
      <c r="G141" t="inlineStr">
        <is>
          <t>KRISTINEHAMN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46232</v>
      </c>
      <c r="F142" t="inlineStr">
        <is>
          <t>VÄRMLANDS LÄN</t>
        </is>
      </c>
      <c r="G142" t="inlineStr">
        <is>
          <t>KRISTINEHAMN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46232</v>
      </c>
      <c r="F143" t="inlineStr">
        <is>
          <t>VÄRMLANDS LÄN</t>
        </is>
      </c>
      <c r="G143" t="inlineStr">
        <is>
          <t>KRISTINEHAMN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46232</v>
      </c>
      <c r="F144" t="inlineStr">
        <is>
          <t>VÄRMLANDS LÄN</t>
        </is>
      </c>
      <c r="G144" t="inlineStr">
        <is>
          <t>KRISTINEHAMN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46232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46232</v>
      </c>
      <c r="F146" t="inlineStr">
        <is>
          <t>VÄRMLANDS LÄN</t>
        </is>
      </c>
      <c r="G146" t="inlineStr">
        <is>
          <t>KRISTINEHAMN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46232</v>
      </c>
      <c r="F147" t="inlineStr">
        <is>
          <t>VÄRMLANDS LÄN</t>
        </is>
      </c>
      <c r="G147" t="inlineStr">
        <is>
          <t>KRISTINEHAMN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46232</v>
      </c>
      <c r="F148" t="inlineStr">
        <is>
          <t>VÄRMLANDS LÄN</t>
        </is>
      </c>
      <c r="G148" t="inlineStr">
        <is>
          <t>KRISTINEHAMN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46232</v>
      </c>
      <c r="F149" t="inlineStr">
        <is>
          <t>VÄRMLANDS LÄN</t>
        </is>
      </c>
      <c r="G149" t="inlineStr">
        <is>
          <t>KRISTINEHAMN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46232</v>
      </c>
      <c r="F150" t="inlineStr">
        <is>
          <t>VÄRMLANDS LÄN</t>
        </is>
      </c>
      <c r="G150" t="inlineStr">
        <is>
          <t>KRISTINEHAMN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46232</v>
      </c>
      <c r="F151" t="inlineStr">
        <is>
          <t>VÄRMLANDS LÄN</t>
        </is>
      </c>
      <c r="G151" t="inlineStr">
        <is>
          <t>KRISTINEHAMN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46232</v>
      </c>
      <c r="F152" t="inlineStr">
        <is>
          <t>VÄRMLANDS LÄN</t>
        </is>
      </c>
      <c r="G152" t="inlineStr">
        <is>
          <t>KRISTINEHAMN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46232</v>
      </c>
      <c r="F153" t="inlineStr">
        <is>
          <t>VÄRMLANDS LÄN</t>
        </is>
      </c>
      <c r="G153" t="inlineStr">
        <is>
          <t>KRISTINEHAMN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46232</v>
      </c>
      <c r="F154" t="inlineStr">
        <is>
          <t>VÄRMLANDS LÄN</t>
        </is>
      </c>
      <c r="G154" t="inlineStr">
        <is>
          <t>KRISTINEHAMN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46232</v>
      </c>
      <c r="F155" t="inlineStr">
        <is>
          <t>VÄRMLANDS LÄN</t>
        </is>
      </c>
      <c r="G155" t="inlineStr">
        <is>
          <t>KRISTINEHAMN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46232</v>
      </c>
      <c r="F156" t="inlineStr">
        <is>
          <t>VÄRMLANDS LÄN</t>
        </is>
      </c>
      <c r="G156" t="inlineStr">
        <is>
          <t>KRISTINEHAMN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12261-2024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46232</v>
      </c>
      <c r="F157" t="inlineStr">
        <is>
          <t>VÄRMLANDS LÄN</t>
        </is>
      </c>
      <c r="G157" t="inlineStr">
        <is>
          <t>KRISTINEHAMN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46232</v>
      </c>
      <c r="F158" t="inlineStr">
        <is>
          <t>VÄRMLANDS LÄN</t>
        </is>
      </c>
      <c r="G158" t="inlineStr">
        <is>
          <t>KRISTINEHAMN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46232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45364</v>
      </c>
      <c r="E160" s="1" t="n">
        <v>46232</v>
      </c>
      <c r="F160" t="inlineStr">
        <is>
          <t>VÄRMLANDS LÄN</t>
        </is>
      </c>
      <c r="G160" t="inlineStr">
        <is>
          <t>KRISTINEHAMN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46232</v>
      </c>
      <c r="F161" t="inlineStr">
        <is>
          <t>VÄRMLANDS LÄN</t>
        </is>
      </c>
      <c r="G161" t="inlineStr">
        <is>
          <t>KRISTINEHAMN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46232</v>
      </c>
      <c r="F162" t="inlineStr">
        <is>
          <t>VÄRMLANDS LÄN</t>
        </is>
      </c>
      <c r="G162" t="inlineStr">
        <is>
          <t>KRISTINEHAMN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45905</v>
      </c>
      <c r="E163" s="1" t="n">
        <v>46232</v>
      </c>
      <c r="F163" t="inlineStr">
        <is>
          <t>VÄRMLANDS LÄN</t>
        </is>
      </c>
      <c r="G163" t="inlineStr">
        <is>
          <t>KRISTINEHAMN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46232</v>
      </c>
      <c r="F164" t="inlineStr">
        <is>
          <t>VÄRMLANDS LÄN</t>
        </is>
      </c>
      <c r="G164" t="inlineStr">
        <is>
          <t>KRISTINEHAMN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46232</v>
      </c>
      <c r="F165" t="inlineStr">
        <is>
          <t>VÄRMLANDS LÄN</t>
        </is>
      </c>
      <c r="G165" t="inlineStr">
        <is>
          <t>KRISTINEHAMN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46232</v>
      </c>
      <c r="F166" t="inlineStr">
        <is>
          <t>VÄRMLANDS LÄN</t>
        </is>
      </c>
      <c r="G166" t="inlineStr">
        <is>
          <t>KRISTINEHAMN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46232</v>
      </c>
      <c r="F167" t="inlineStr">
        <is>
          <t>VÄRMLANDS LÄN</t>
        </is>
      </c>
      <c r="G167" t="inlineStr">
        <is>
          <t>KRISTINEHAMN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45833</v>
      </c>
      <c r="E168" s="1" t="n">
        <v>46232</v>
      </c>
      <c r="F168" t="inlineStr">
        <is>
          <t>VÄRMLANDS LÄN</t>
        </is>
      </c>
      <c r="G168" t="inlineStr">
        <is>
          <t>KRISTINEHAMN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45833</v>
      </c>
      <c r="E169" s="1" t="n">
        <v>46232</v>
      </c>
      <c r="F169" t="inlineStr">
        <is>
          <t>VÄRMLANDS LÄN</t>
        </is>
      </c>
      <c r="G169" t="inlineStr">
        <is>
          <t>KRISTINEHAMN</t>
        </is>
      </c>
      <c r="I169" t="n">
        <v>20.1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45202</v>
      </c>
      <c r="E170" s="1" t="n">
        <v>46232</v>
      </c>
      <c r="F170" t="inlineStr">
        <is>
          <t>VÄRMLANDS LÄN</t>
        </is>
      </c>
      <c r="G170" t="inlineStr">
        <is>
          <t>KRISTINEHAMN</t>
        </is>
      </c>
      <c r="I170" t="n">
        <v>10.1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10999-2024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45370</v>
      </c>
      <c r="E171" s="1" t="n">
        <v>46232</v>
      </c>
      <c r="F171" t="inlineStr">
        <is>
          <t>VÄRMLANDS LÄN</t>
        </is>
      </c>
      <c r="G171" t="inlineStr">
        <is>
          <t>KRISTINEHAMN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46232</v>
      </c>
      <c r="F172" t="inlineStr">
        <is>
          <t>VÄRMLANDS LÄN</t>
        </is>
      </c>
      <c r="G172" t="inlineStr">
        <is>
          <t>KRISTINEHAMN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45000</v>
      </c>
      <c r="E173" s="1" t="n">
        <v>46232</v>
      </c>
      <c r="F173" t="inlineStr">
        <is>
          <t>VÄRMLANDS LÄN</t>
        </is>
      </c>
      <c r="G173" t="inlineStr">
        <is>
          <t>KRISTINEHAMN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46232</v>
      </c>
      <c r="F174" t="inlineStr">
        <is>
          <t>VÄRMLANDS LÄN</t>
        </is>
      </c>
      <c r="G174" t="inlineStr">
        <is>
          <t>KRISTINEHAMN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46232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46232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46232</v>
      </c>
      <c r="F177" t="inlineStr">
        <is>
          <t>VÄRMLANDS LÄN</t>
        </is>
      </c>
      <c r="G177" t="inlineStr">
        <is>
          <t>KRISTINEHAMN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46232</v>
      </c>
      <c r="F178" t="inlineStr">
        <is>
          <t>VÄRMLANDS LÄN</t>
        </is>
      </c>
      <c r="G178" t="inlineStr">
        <is>
          <t>KRISTINEHAMN</t>
        </is>
      </c>
      <c r="I178" t="n">
        <v>8.699999999999999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45782</v>
      </c>
      <c r="E179" s="1" t="n">
        <v>46232</v>
      </c>
      <c r="F179" t="inlineStr">
        <is>
          <t>VÄRMLANDS LÄN</t>
        </is>
      </c>
      <c r="G179" t="inlineStr">
        <is>
          <t>KRISTINEHAMN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46232</v>
      </c>
      <c r="F180" t="inlineStr">
        <is>
          <t>VÄRMLANDS LÄN</t>
        </is>
      </c>
      <c r="G180" t="inlineStr">
        <is>
          <t>KRISTINEHAMN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46232</v>
      </c>
      <c r="F181" t="inlineStr">
        <is>
          <t>VÄRMLANDS LÄN</t>
        </is>
      </c>
      <c r="G181" t="inlineStr">
        <is>
          <t>KRISTINEHAMN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45379</v>
      </c>
      <c r="E182" s="1" t="n">
        <v>46232</v>
      </c>
      <c r="F182" t="inlineStr">
        <is>
          <t>VÄRMLANDS LÄN</t>
        </is>
      </c>
      <c r="G182" t="inlineStr">
        <is>
          <t>KRISTINEHAMN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46232</v>
      </c>
      <c r="F183" t="inlineStr">
        <is>
          <t>VÄRMLANDS LÄN</t>
        </is>
      </c>
      <c r="G183" t="inlineStr">
        <is>
          <t>KRISTINEHAMN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45933</v>
      </c>
      <c r="E184" s="1" t="n">
        <v>46232</v>
      </c>
      <c r="F184" t="inlineStr">
        <is>
          <t>VÄRMLANDS LÄN</t>
        </is>
      </c>
      <c r="G184" t="inlineStr">
        <is>
          <t>KRISTINEHAMN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46232</v>
      </c>
      <c r="F185" t="inlineStr">
        <is>
          <t>VÄRMLANDS LÄN</t>
        </is>
      </c>
      <c r="G185" t="inlineStr">
        <is>
          <t>KRISTINEHAMN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6259-2026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46051</v>
      </c>
      <c r="E186" s="1" t="n">
        <v>46232</v>
      </c>
      <c r="F186" t="inlineStr">
        <is>
          <t>VÄRMLANDS LÄN</t>
        </is>
      </c>
      <c r="G186" t="inlineStr">
        <is>
          <t>KRISTINEHAMN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45666</v>
      </c>
      <c r="E187" s="1" t="n">
        <v>46232</v>
      </c>
      <c r="F187" t="inlineStr">
        <is>
          <t>VÄRMLANDS LÄN</t>
        </is>
      </c>
      <c r="G187" t="inlineStr">
        <is>
          <t>KRISTINEHAMN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44965</v>
      </c>
      <c r="E188" s="1" t="n">
        <v>46232</v>
      </c>
      <c r="F188" t="inlineStr">
        <is>
          <t>VÄRMLANDS LÄN</t>
        </is>
      </c>
      <c r="G188" t="inlineStr">
        <is>
          <t>KRISTINEHAMN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46232</v>
      </c>
      <c r="F189" t="inlineStr">
        <is>
          <t>VÄRMLANDS LÄN</t>
        </is>
      </c>
      <c r="G189" t="inlineStr">
        <is>
          <t>KRISTINEHAMN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46232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46232</v>
      </c>
      <c r="F191" t="inlineStr">
        <is>
          <t>VÄRMLANDS LÄN</t>
        </is>
      </c>
      <c r="G191" t="inlineStr">
        <is>
          <t>KRISTINEHAMN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46232</v>
      </c>
      <c r="F192" t="inlineStr">
        <is>
          <t>VÄRMLANDS LÄN</t>
        </is>
      </c>
      <c r="G192" t="inlineStr">
        <is>
          <t>KRISTINEHAMN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37267-2025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45876</v>
      </c>
      <c r="E193" s="1" t="n">
        <v>46232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37266-2025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45876</v>
      </c>
      <c r="E194" s="1" t="n">
        <v>46232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46232</v>
      </c>
      <c r="F195" t="inlineStr">
        <is>
          <t>VÄRMLANDS LÄN</t>
        </is>
      </c>
      <c r="G195" t="inlineStr">
        <is>
          <t>KRISTINEHAMN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26042-2022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44734</v>
      </c>
      <c r="E196" s="1" t="n">
        <v>46232</v>
      </c>
      <c r="F196" t="inlineStr">
        <is>
          <t>VÄRMLANDS LÄN</t>
        </is>
      </c>
      <c r="G196" t="inlineStr">
        <is>
          <t>KRISTINEHAMN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45944</v>
      </c>
      <c r="E197" s="1" t="n">
        <v>46232</v>
      </c>
      <c r="F197" t="inlineStr">
        <is>
          <t>VÄRMLANDS LÄN</t>
        </is>
      </c>
      <c r="G197" t="inlineStr">
        <is>
          <t>KRISTINEHAMN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45313</v>
      </c>
      <c r="E198" s="1" t="n">
        <v>46232</v>
      </c>
      <c r="F198" t="inlineStr">
        <is>
          <t>VÄRMLANDS LÄN</t>
        </is>
      </c>
      <c r="G198" t="inlineStr">
        <is>
          <t>KRISTINEHAMN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45647</v>
      </c>
      <c r="E199" s="1" t="n">
        <v>46232</v>
      </c>
      <c r="F199" t="inlineStr">
        <is>
          <t>VÄRMLANDS LÄN</t>
        </is>
      </c>
      <c r="G199" t="inlineStr">
        <is>
          <t>KRISTINEHAMN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46232</v>
      </c>
      <c r="F200" t="inlineStr">
        <is>
          <t>VÄRMLANDS LÄN</t>
        </is>
      </c>
      <c r="G200" t="inlineStr">
        <is>
          <t>KRISTINEHAMN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45202</v>
      </c>
      <c r="E201" s="1" t="n">
        <v>46232</v>
      </c>
      <c r="F201" t="inlineStr">
        <is>
          <t>VÄRMLANDS LÄN</t>
        </is>
      </c>
      <c r="G201" t="inlineStr">
        <is>
          <t>KRISTINEHAMN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46232</v>
      </c>
      <c r="F202" t="inlineStr">
        <is>
          <t>VÄRMLANDS LÄN</t>
        </is>
      </c>
      <c r="G202" t="inlineStr">
        <is>
          <t>KRISTINEHAMN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46232</v>
      </c>
      <c r="F203" t="inlineStr">
        <is>
          <t>VÄRMLANDS LÄN</t>
        </is>
      </c>
      <c r="G203" t="inlineStr">
        <is>
          <t>KRISTINEHAMN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13459-2024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45387</v>
      </c>
      <c r="E204" s="1" t="n">
        <v>46232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19638-2025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45770</v>
      </c>
      <c r="E205" s="1" t="n">
        <v>46232</v>
      </c>
      <c r="F205" t="inlineStr">
        <is>
          <t>VÄRMLANDS LÄN</t>
        </is>
      </c>
      <c r="G205" t="inlineStr">
        <is>
          <t>KRISTINEHAMN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46232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46232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46232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46232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46232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46232</v>
      </c>
      <c r="F211" t="inlineStr">
        <is>
          <t>VÄRMLANDS LÄN</t>
        </is>
      </c>
      <c r="G211" t="inlineStr">
        <is>
          <t>KRISTINEHAMN</t>
        </is>
      </c>
      <c r="I211" t="n">
        <v>19.4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45208</v>
      </c>
      <c r="E212" s="1" t="n">
        <v>46232</v>
      </c>
      <c r="F212" t="inlineStr">
        <is>
          <t>VÄRMLANDS LÄN</t>
        </is>
      </c>
      <c r="G212" t="inlineStr">
        <is>
          <t>KRISTINEHAMN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44474</v>
      </c>
      <c r="E213" s="1" t="n">
        <v>46232</v>
      </c>
      <c r="F213" t="inlineStr">
        <is>
          <t>VÄRMLANDS LÄN</t>
        </is>
      </c>
      <c r="G213" t="inlineStr">
        <is>
          <t>KRISTINEHAMN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44656</v>
      </c>
      <c r="E214" s="1" t="n">
        <v>46232</v>
      </c>
      <c r="F214" t="inlineStr">
        <is>
          <t>VÄRMLANDS LÄN</t>
        </is>
      </c>
      <c r="G214" t="inlineStr">
        <is>
          <t>KRISTINEHAMN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46232</v>
      </c>
      <c r="F215" t="inlineStr">
        <is>
          <t>VÄRMLANDS LÄN</t>
        </is>
      </c>
      <c r="G215" t="inlineStr">
        <is>
          <t>KRISTINEHAMN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56315-2025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45974</v>
      </c>
      <c r="E216" s="1" t="n">
        <v>46232</v>
      </c>
      <c r="F216" t="inlineStr">
        <is>
          <t>VÄRMLANDS LÄN</t>
        </is>
      </c>
      <c r="G216" t="inlineStr">
        <is>
          <t>KRISTINEHAMN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46232</v>
      </c>
      <c r="F217" t="inlineStr">
        <is>
          <t>VÄRMLANDS LÄN</t>
        </is>
      </c>
      <c r="G217" t="inlineStr">
        <is>
          <t>KRISTINEHAMN</t>
        </is>
      </c>
      <c r="I217" t="n">
        <v>15.9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45079</v>
      </c>
      <c r="E218" s="1" t="n">
        <v>46232</v>
      </c>
      <c r="F218" t="inlineStr">
        <is>
          <t>VÄRMLANDS LÄN</t>
        </is>
      </c>
      <c r="G218" t="inlineStr">
        <is>
          <t>KRISTINEHAMN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45681</v>
      </c>
      <c r="E219" s="1" t="n">
        <v>46232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46232</v>
      </c>
      <c r="F220" t="inlineStr">
        <is>
          <t>VÄRMLANDS LÄN</t>
        </is>
      </c>
      <c r="G220" t="inlineStr">
        <is>
          <t>KRISTINEHAMN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13505-2022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44648</v>
      </c>
      <c r="E221" s="1" t="n">
        <v>46232</v>
      </c>
      <c r="F221" t="inlineStr">
        <is>
          <t>VÄRMLANDS LÄN</t>
        </is>
      </c>
      <c r="G221" t="inlineStr">
        <is>
          <t>KRISTINEHAMN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45698</v>
      </c>
      <c r="E222" s="1" t="n">
        <v>46232</v>
      </c>
      <c r="F222" t="inlineStr">
        <is>
          <t>VÄRMLANDS LÄN</t>
        </is>
      </c>
      <c r="G222" t="inlineStr">
        <is>
          <t>KRISTINEHAMN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46083</v>
      </c>
      <c r="E223" s="1" t="n">
        <v>46232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46232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Kommuner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46232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45379</v>
      </c>
      <c r="E226" s="1" t="n">
        <v>46232</v>
      </c>
      <c r="F226" t="inlineStr">
        <is>
          <t>VÄRMLANDS LÄN</t>
        </is>
      </c>
      <c r="G226" t="inlineStr">
        <is>
          <t>KRISTINEHAMN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46232</v>
      </c>
      <c r="F227" t="inlineStr">
        <is>
          <t>VÄRMLANDS LÄN</t>
        </is>
      </c>
      <c r="G227" t="inlineStr">
        <is>
          <t>KRISTINEHAMN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44473</v>
      </c>
      <c r="E228" s="1" t="n">
        <v>46232</v>
      </c>
      <c r="F228" t="inlineStr">
        <is>
          <t>VÄRMLANDS LÄN</t>
        </is>
      </c>
      <c r="G228" t="inlineStr">
        <is>
          <t>KRISTINEHAMN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45995</v>
      </c>
      <c r="E229" s="1" t="n">
        <v>46232</v>
      </c>
      <c r="F229" t="inlineStr">
        <is>
          <t>VÄRMLANDS LÄN</t>
        </is>
      </c>
      <c r="G229" t="inlineStr">
        <is>
          <t>KRISTINEHAMN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45995</v>
      </c>
      <c r="E230" s="1" t="n">
        <v>46232</v>
      </c>
      <c r="F230" t="inlineStr">
        <is>
          <t>VÄRMLANDS LÄN</t>
        </is>
      </c>
      <c r="G230" t="inlineStr">
        <is>
          <t>KRISTINEHAMN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45361</v>
      </c>
      <c r="E231" s="1" t="n">
        <v>46232</v>
      </c>
      <c r="F231" t="inlineStr">
        <is>
          <t>VÄRMLANDS LÄN</t>
        </is>
      </c>
      <c r="G231" t="inlineStr">
        <is>
          <t>KRISTINEHAMN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46232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60942-2025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46232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Bergvik skog väst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46232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46232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46092</v>
      </c>
      <c r="E236" s="1" t="n">
        <v>46232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46232</v>
      </c>
      <c r="F237" t="inlineStr">
        <is>
          <t>VÄRMLANDS LÄN</t>
        </is>
      </c>
      <c r="G237" t="inlineStr">
        <is>
          <t>KRISTINEHAMN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46232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46232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46232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46232</v>
      </c>
      <c r="F241" t="inlineStr">
        <is>
          <t>VÄRMLANDS LÄN</t>
        </is>
      </c>
      <c r="G241" t="inlineStr">
        <is>
          <t>KRISTINEHAMN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46232</v>
      </c>
      <c r="F242" t="inlineStr">
        <is>
          <t>VÄRMLANDS LÄN</t>
        </is>
      </c>
      <c r="G242" t="inlineStr">
        <is>
          <t>KRISTINEHAMN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46092</v>
      </c>
      <c r="E243" s="1" t="n">
        <v>46232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46232</v>
      </c>
      <c r="F244" t="inlineStr">
        <is>
          <t>VÄRMLANDS LÄN</t>
        </is>
      </c>
      <c r="G244" t="inlineStr">
        <is>
          <t>KRISTINEHAMN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46232</v>
      </c>
      <c r="F245" t="inlineStr">
        <is>
          <t>VÄRMLANDS LÄN</t>
        </is>
      </c>
      <c r="G245" t="inlineStr">
        <is>
          <t>KRISTINEHAMN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46232</v>
      </c>
      <c r="F246" t="inlineStr">
        <is>
          <t>VÄRMLANDS LÄN</t>
        </is>
      </c>
      <c r="G246" t="inlineStr">
        <is>
          <t>KRISTINEHAMN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46232</v>
      </c>
      <c r="F247" t="inlineStr">
        <is>
          <t>VÄRMLANDS LÄN</t>
        </is>
      </c>
      <c r="G247" t="inlineStr">
        <is>
          <t>KRISTINEHAMN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45450</v>
      </c>
      <c r="E248" s="1" t="n">
        <v>46232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Kommuner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46232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46232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Sveaskog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68526-2021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44526</v>
      </c>
      <c r="E251" s="1" t="n">
        <v>46232</v>
      </c>
      <c r="F251" t="inlineStr">
        <is>
          <t>VÄRMLANDS LÄN</t>
        </is>
      </c>
      <c r="G251" t="inlineStr">
        <is>
          <t>KRISTINEHAMN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68530-2021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44526</v>
      </c>
      <c r="E252" s="1" t="n">
        <v>46232</v>
      </c>
      <c r="F252" t="inlineStr">
        <is>
          <t>VÄRMLANDS LÄN</t>
        </is>
      </c>
      <c r="G252" t="inlineStr">
        <is>
          <t>KRISTINEHAMN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40988-2021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44421</v>
      </c>
      <c r="E253" s="1" t="n">
        <v>46232</v>
      </c>
      <c r="F253" t="inlineStr">
        <is>
          <t>VÄRMLANDS LÄN</t>
        </is>
      </c>
      <c r="G253" t="inlineStr">
        <is>
          <t>KRISTINEHAMN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46094</v>
      </c>
      <c r="E254" s="1" t="n">
        <v>46232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46232</v>
      </c>
      <c r="F255" t="inlineStr">
        <is>
          <t>VÄRMLANDS LÄN</t>
        </is>
      </c>
      <c r="G255" t="inlineStr">
        <is>
          <t>KRISTINEHAMN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46232</v>
      </c>
      <c r="F256" t="inlineStr">
        <is>
          <t>VÄRMLANDS LÄN</t>
        </is>
      </c>
      <c r="G256" t="inlineStr">
        <is>
          <t>KRISTINEHAMN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46232</v>
      </c>
      <c r="F257" t="inlineStr">
        <is>
          <t>VÄRMLANDS LÄN</t>
        </is>
      </c>
      <c r="G257" t="inlineStr">
        <is>
          <t>KRISTINEHAMN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45068</v>
      </c>
      <c r="E258" s="1" t="n">
        <v>46232</v>
      </c>
      <c r="F258" t="inlineStr">
        <is>
          <t>VÄRMLANDS LÄN</t>
        </is>
      </c>
      <c r="G258" t="inlineStr">
        <is>
          <t>KRISTINEHAMN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46232</v>
      </c>
      <c r="F259" t="inlineStr">
        <is>
          <t>VÄRMLANDS LÄN</t>
        </is>
      </c>
      <c r="G259" t="inlineStr">
        <is>
          <t>KRISTINEHAMN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46232</v>
      </c>
      <c r="F260" t="inlineStr">
        <is>
          <t>VÄRMLANDS LÄN</t>
        </is>
      </c>
      <c r="G260" t="inlineStr">
        <is>
          <t>KRISTINEHAMN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46232</v>
      </c>
      <c r="F261" t="inlineStr">
        <is>
          <t>VÄRMLANDS LÄN</t>
        </is>
      </c>
      <c r="G261" t="inlineStr">
        <is>
          <t>KRISTINEHAMN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46232</v>
      </c>
      <c r="F262" t="inlineStr">
        <is>
          <t>VÄRMLANDS LÄN</t>
        </is>
      </c>
      <c r="G262" t="inlineStr">
        <is>
          <t>KRISTINEHAMN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44923</v>
      </c>
      <c r="E263" s="1" t="n">
        <v>46232</v>
      </c>
      <c r="F263" t="inlineStr">
        <is>
          <t>VÄRMLANDS LÄN</t>
        </is>
      </c>
      <c r="G263" t="inlineStr">
        <is>
          <t>KRISTINEHAMN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46232</v>
      </c>
      <c r="F264" t="inlineStr">
        <is>
          <t>VÄRMLANDS LÄN</t>
        </is>
      </c>
      <c r="G264" t="inlineStr">
        <is>
          <t>KRISTINEHAMN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62770-2023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45268</v>
      </c>
      <c r="E265" s="1" t="n">
        <v>46232</v>
      </c>
      <c r="F265" t="inlineStr">
        <is>
          <t>VÄRMLANDS LÄN</t>
        </is>
      </c>
      <c r="G265" t="inlineStr">
        <is>
          <t>KRISTINEHAMN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45359</v>
      </c>
      <c r="E266" s="1" t="n">
        <v>46232</v>
      </c>
      <c r="F266" t="inlineStr">
        <is>
          <t>VÄRMLANDS LÄN</t>
        </is>
      </c>
      <c r="G266" t="inlineStr">
        <is>
          <t>KRISTINEHAMN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52750-2021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44466</v>
      </c>
      <c r="E267" s="1" t="n">
        <v>46232</v>
      </c>
      <c r="F267" t="inlineStr">
        <is>
          <t>VÄRMLANDS LÄN</t>
        </is>
      </c>
      <c r="G267" t="inlineStr">
        <is>
          <t>KRISTINEHAMN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46232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46101</v>
      </c>
      <c r="E269" s="1" t="n">
        <v>46232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Sveaskog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46232</v>
      </c>
      <c r="F270" t="inlineStr">
        <is>
          <t>VÄRMLANDS LÄN</t>
        </is>
      </c>
      <c r="G270" t="inlineStr">
        <is>
          <t>KRISTINEHAMN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15646-2026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46106</v>
      </c>
      <c r="E271" s="1" t="n">
        <v>46232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46232</v>
      </c>
      <c r="F272" t="inlineStr">
        <is>
          <t>VÄRMLANDS LÄN</t>
        </is>
      </c>
      <c r="G272" t="inlineStr">
        <is>
          <t>KRISTINEHAMN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45167</v>
      </c>
      <c r="E273" s="1" t="n">
        <v>46232</v>
      </c>
      <c r="F273" t="inlineStr">
        <is>
          <t>VÄRMLANDS LÄN</t>
        </is>
      </c>
      <c r="G273" t="inlineStr">
        <is>
          <t>KRISTINEHAMN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46232</v>
      </c>
      <c r="F274" t="inlineStr">
        <is>
          <t>VÄRMLANDS LÄN</t>
        </is>
      </c>
      <c r="G274" t="inlineStr">
        <is>
          <t>KRISTINEHAMN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58616-2021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44489</v>
      </c>
      <c r="E275" s="1" t="n">
        <v>46232</v>
      </c>
      <c r="F275" t="inlineStr">
        <is>
          <t>VÄRMLANDS LÄN</t>
        </is>
      </c>
      <c r="G275" t="inlineStr">
        <is>
          <t>KRISTINEHAMN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45453</v>
      </c>
      <c r="E276" s="1" t="n">
        <v>46232</v>
      </c>
      <c r="F276" t="inlineStr">
        <is>
          <t>VÄRMLANDS LÄN</t>
        </is>
      </c>
      <c r="G276" t="inlineStr">
        <is>
          <t>KRISTINEHAMN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45666</v>
      </c>
      <c r="E277" s="1" t="n">
        <v>46232</v>
      </c>
      <c r="F277" t="inlineStr">
        <is>
          <t>VÄRMLANDS LÄN</t>
        </is>
      </c>
      <c r="G277" t="inlineStr">
        <is>
          <t>KRISTINEHAMN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45322</v>
      </c>
      <c r="E278" s="1" t="n">
        <v>46232</v>
      </c>
      <c r="F278" t="inlineStr">
        <is>
          <t>VÄRMLANDS LÄN</t>
        </is>
      </c>
      <c r="G278" t="inlineStr">
        <is>
          <t>KRISTINEHAMN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62777-2023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45268</v>
      </c>
      <c r="E279" s="1" t="n">
        <v>46232</v>
      </c>
      <c r="F279" t="inlineStr">
        <is>
          <t>VÄRMLANDS LÄN</t>
        </is>
      </c>
      <c r="G279" t="inlineStr">
        <is>
          <t>KRISTINEHAMN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32821-2023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45112</v>
      </c>
      <c r="E280" s="1" t="n">
        <v>46232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Kommuner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46129</v>
      </c>
      <c r="E281" s="1" t="n">
        <v>46232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46129</v>
      </c>
      <c r="E282" s="1" t="n">
        <v>46232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45461</v>
      </c>
      <c r="E283" s="1" t="n">
        <v>46232</v>
      </c>
      <c r="F283" t="inlineStr">
        <is>
          <t>VÄRMLANDS LÄN</t>
        </is>
      </c>
      <c r="G283" t="inlineStr">
        <is>
          <t>KRISTINEHAMN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45313</v>
      </c>
      <c r="E284" s="1" t="n">
        <v>46232</v>
      </c>
      <c r="F284" t="inlineStr">
        <is>
          <t>VÄRMLANDS LÄN</t>
        </is>
      </c>
      <c r="G284" t="inlineStr">
        <is>
          <t>KRISTINEHAMN</t>
        </is>
      </c>
      <c r="I284" t="n">
        <v>11.2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32821-2023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45112</v>
      </c>
      <c r="E285" s="1" t="n">
        <v>46232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44595</v>
      </c>
      <c r="E286" s="1" t="n">
        <v>46232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46232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Kommuner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46232</v>
      </c>
      <c r="F288" t="inlineStr">
        <is>
          <t>VÄRMLANDS LÄN</t>
        </is>
      </c>
      <c r="G288" t="inlineStr">
        <is>
          <t>KRISTINEHAMN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45302</v>
      </c>
      <c r="E289" s="1" t="n">
        <v>46232</v>
      </c>
      <c r="F289" t="inlineStr">
        <is>
          <t>VÄRMLANDS LÄN</t>
        </is>
      </c>
      <c r="G289" t="inlineStr">
        <is>
          <t>KRISTINEHAMN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47915-2022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44855</v>
      </c>
      <c r="E290" s="1" t="n">
        <v>46232</v>
      </c>
      <c r="F290" t="inlineStr">
        <is>
          <t>VÄRMLANDS LÄN</t>
        </is>
      </c>
      <c r="G290" t="inlineStr">
        <is>
          <t>KRISTINEHAMN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45636</v>
      </c>
      <c r="E291" s="1" t="n">
        <v>46232</v>
      </c>
      <c r="F291" t="inlineStr">
        <is>
          <t>VÄRMLANDS LÄN</t>
        </is>
      </c>
      <c r="G291" t="inlineStr">
        <is>
          <t>KRISTINEHAMN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45804</v>
      </c>
      <c r="E292" s="1" t="n">
        <v>46232</v>
      </c>
      <c r="F292" t="inlineStr">
        <is>
          <t>VÄRMLANDS LÄN</t>
        </is>
      </c>
      <c r="G292" t="inlineStr">
        <is>
          <t>KRISTINEHAMN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47951-2021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44448</v>
      </c>
      <c r="E293" s="1" t="n">
        <v>46232</v>
      </c>
      <c r="F293" t="inlineStr">
        <is>
          <t>VÄRMLANDS LÄN</t>
        </is>
      </c>
      <c r="G293" t="inlineStr">
        <is>
          <t>KRISTINEHAMN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45478</v>
      </c>
      <c r="E294" s="1" t="n">
        <v>46232</v>
      </c>
      <c r="F294" t="inlineStr">
        <is>
          <t>VÄRMLANDS LÄN</t>
        </is>
      </c>
      <c r="G294" t="inlineStr">
        <is>
          <t>KRISTINEHAMN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45478</v>
      </c>
      <c r="E295" s="1" t="n">
        <v>46232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46232</v>
      </c>
      <c r="F296" t="inlineStr">
        <is>
          <t>VÄRMLANDS LÄN</t>
        </is>
      </c>
      <c r="G296" t="inlineStr">
        <is>
          <t>KRISTINEHAMN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45315</v>
      </c>
      <c r="E297" s="1" t="n">
        <v>46232</v>
      </c>
      <c r="F297" t="inlineStr">
        <is>
          <t>VÄRMLANDS LÄN</t>
        </is>
      </c>
      <c r="G297" t="inlineStr">
        <is>
          <t>KRISTINEHAMN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46232</v>
      </c>
      <c r="F298" t="inlineStr">
        <is>
          <t>VÄRMLANDS LÄN</t>
        </is>
      </c>
      <c r="G298" t="inlineStr">
        <is>
          <t>KRISTINEHAMN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46232</v>
      </c>
      <c r="F299" t="inlineStr">
        <is>
          <t>VÄRMLANDS LÄN</t>
        </is>
      </c>
      <c r="G299" t="inlineStr">
        <is>
          <t>KRISTINEHAMN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46232</v>
      </c>
      <c r="F300" t="inlineStr">
        <is>
          <t>VÄRMLANDS LÄN</t>
        </is>
      </c>
      <c r="G300" t="inlineStr">
        <is>
          <t>KRISTINEHAMN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46232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Naturvårdsverket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28152-2022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44746</v>
      </c>
      <c r="E302" s="1" t="n">
        <v>46232</v>
      </c>
      <c r="F302" t="inlineStr">
        <is>
          <t>VÄRMLANDS LÄN</t>
        </is>
      </c>
      <c r="G302" t="inlineStr">
        <is>
          <t>KRISTINEHAMN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45600</v>
      </c>
      <c r="E303" s="1" t="n">
        <v>46232</v>
      </c>
      <c r="F303" t="inlineStr">
        <is>
          <t>VÄRMLANDS LÄN</t>
        </is>
      </c>
      <c r="G303" t="inlineStr">
        <is>
          <t>KRISTINEHAMN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46232</v>
      </c>
      <c r="F304" t="inlineStr">
        <is>
          <t>VÄRMLANDS LÄN</t>
        </is>
      </c>
      <c r="G304" t="inlineStr">
        <is>
          <t>KRISTINEHAMN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45756</v>
      </c>
      <c r="E305" s="1" t="n">
        <v>46232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44941</v>
      </c>
      <c r="E306" s="1" t="n">
        <v>46232</v>
      </c>
      <c r="F306" t="inlineStr">
        <is>
          <t>VÄRMLANDS LÄN</t>
        </is>
      </c>
      <c r="G306" t="inlineStr">
        <is>
          <t>KRISTINEHAMN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45121</v>
      </c>
      <c r="E307" s="1" t="n">
        <v>46232</v>
      </c>
      <c r="F307" t="inlineStr">
        <is>
          <t>VÄRMLANDS LÄN</t>
        </is>
      </c>
      <c r="G307" t="inlineStr">
        <is>
          <t>KRISTINEHAMN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45198</v>
      </c>
      <c r="E308" s="1" t="n">
        <v>46232</v>
      </c>
      <c r="F308" t="inlineStr">
        <is>
          <t>VÄRMLANDS LÄN</t>
        </is>
      </c>
      <c r="G308" t="inlineStr">
        <is>
          <t>KRISTINEHAMN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46232</v>
      </c>
      <c r="F309" t="inlineStr">
        <is>
          <t>VÄRMLANDS LÄN</t>
        </is>
      </c>
      <c r="G309" t="inlineStr">
        <is>
          <t>KRISTINEHAMN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56572-2024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45625</v>
      </c>
      <c r="E310" s="1" t="n">
        <v>46232</v>
      </c>
      <c r="F310" t="inlineStr">
        <is>
          <t>VÄRMLANDS LÄN</t>
        </is>
      </c>
      <c r="G310" t="inlineStr">
        <is>
          <t>KRISTINEHAMN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46232</v>
      </c>
      <c r="F311" t="inlineStr">
        <is>
          <t>VÄRMLANDS LÄN</t>
        </is>
      </c>
      <c r="G311" t="inlineStr">
        <is>
          <t>KRISTINEHAMN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45450</v>
      </c>
      <c r="E312" s="1" t="n">
        <v>46232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45593</v>
      </c>
      <c r="E313" s="1" t="n">
        <v>46232</v>
      </c>
      <c r="F313" t="inlineStr">
        <is>
          <t>VÄRMLANDS LÄN</t>
        </is>
      </c>
      <c r="G313" t="inlineStr">
        <is>
          <t>KRISTINEHAMN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46232</v>
      </c>
      <c r="F314" t="inlineStr">
        <is>
          <t>VÄRMLANDS LÄN</t>
        </is>
      </c>
      <c r="G314" t="inlineStr">
        <is>
          <t>KRISTINEHAMN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46232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Bergvik skog väst AB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46232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Naturvårdsverket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46141</v>
      </c>
      <c r="E317" s="1" t="n">
        <v>46232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Naturvårdsverket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46232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46232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46232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46232</v>
      </c>
      <c r="F321" t="inlineStr">
        <is>
          <t>VÄRMLANDS LÄN</t>
        </is>
      </c>
      <c r="G321" t="inlineStr">
        <is>
          <t>KRISTINEHAMN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45749</v>
      </c>
      <c r="E322" s="1" t="n">
        <v>46232</v>
      </c>
      <c r="F322" t="inlineStr">
        <is>
          <t>VÄRMLANDS LÄN</t>
        </is>
      </c>
      <c r="G322" t="inlineStr">
        <is>
          <t>KRISTINEHAMN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46232</v>
      </c>
      <c r="F323" t="inlineStr">
        <is>
          <t>VÄRMLANDS LÄN</t>
        </is>
      </c>
      <c r="G323" t="inlineStr">
        <is>
          <t>KRISTINEHAMN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45127</v>
      </c>
      <c r="E324" s="1" t="n">
        <v>46232</v>
      </c>
      <c r="F324" t="inlineStr">
        <is>
          <t>VÄRMLANDS LÄN</t>
        </is>
      </c>
      <c r="G324" t="inlineStr">
        <is>
          <t>KRISTINEHAMN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42408-2022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44831</v>
      </c>
      <c r="E325" s="1" t="n">
        <v>46232</v>
      </c>
      <c r="F325" t="inlineStr">
        <is>
          <t>VÄRMLANDS LÄN</t>
        </is>
      </c>
      <c r="G325" t="inlineStr">
        <is>
          <t>KRISTINEHAMN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46232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46232</v>
      </c>
      <c r="F327" t="inlineStr">
        <is>
          <t>VÄRMLANDS LÄN</t>
        </is>
      </c>
      <c r="G327" t="inlineStr">
        <is>
          <t>KRISTINEHAMN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46232</v>
      </c>
      <c r="F328" t="inlineStr">
        <is>
          <t>VÄRMLANDS LÄN</t>
        </is>
      </c>
      <c r="G328" t="inlineStr">
        <is>
          <t>KRISTINEHAMN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46232</v>
      </c>
      <c r="F329" t="inlineStr">
        <is>
          <t>VÄRMLANDS LÄN</t>
        </is>
      </c>
      <c r="G329" t="inlineStr">
        <is>
          <t>KRISTINEHAMN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46232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61942-2022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46232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Kommuner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41857-2023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45176</v>
      </c>
      <c r="E332" s="1" t="n">
        <v>46232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Naturvårdsverket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45243</v>
      </c>
      <c r="E333" s="1" t="n">
        <v>46232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46232</v>
      </c>
      <c r="F334" t="inlineStr">
        <is>
          <t>VÄRMLANDS LÄN</t>
        </is>
      </c>
      <c r="G334" t="inlineStr">
        <is>
          <t>KRISTINEHAMN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46232</v>
      </c>
      <c r="F335" t="inlineStr">
        <is>
          <t>VÄRMLANDS LÄN</t>
        </is>
      </c>
      <c r="G335" t="inlineStr">
        <is>
          <t>KRISTINEHAMN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46232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46232</v>
      </c>
      <c r="F337" t="inlineStr">
        <is>
          <t>VÄRMLANDS LÄN</t>
        </is>
      </c>
      <c r="G337" t="inlineStr">
        <is>
          <t>KRISTINEHAMN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46232</v>
      </c>
      <c r="F338" t="inlineStr">
        <is>
          <t>VÄRMLANDS LÄN</t>
        </is>
      </c>
      <c r="G338" t="inlineStr">
        <is>
          <t>KRISTINEHAMN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46232</v>
      </c>
      <c r="F339" t="inlineStr">
        <is>
          <t>VÄRMLANDS LÄN</t>
        </is>
      </c>
      <c r="G339" t="inlineStr">
        <is>
          <t>KRISTINEHAMN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23706-2022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46232</v>
      </c>
      <c r="F340" t="inlineStr">
        <is>
          <t>VÄRMLANDS LÄN</t>
        </is>
      </c>
      <c r="G340" t="inlineStr">
        <is>
          <t>KRISTINEHAMN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45002</v>
      </c>
      <c r="E341" s="1" t="n">
        <v>46232</v>
      </c>
      <c r="F341" t="inlineStr">
        <is>
          <t>VÄRMLANDS LÄN</t>
        </is>
      </c>
      <c r="G341" t="inlineStr">
        <is>
          <t>KRISTINEHAMN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44677</v>
      </c>
      <c r="E342" s="1" t="n">
        <v>46232</v>
      </c>
      <c r="F342" t="inlineStr">
        <is>
          <t>VÄRMLANDS LÄN</t>
        </is>
      </c>
      <c r="G342" t="inlineStr">
        <is>
          <t>KRISTINEHAMN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46232</v>
      </c>
      <c r="F343" t="inlineStr">
        <is>
          <t>VÄRMLANDS LÄN</t>
        </is>
      </c>
      <c r="G343" t="inlineStr">
        <is>
          <t>KRISTINEHAMN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46232</v>
      </c>
      <c r="F344" t="inlineStr">
        <is>
          <t>VÄRMLANDS LÄN</t>
        </is>
      </c>
      <c r="G344" t="inlineStr">
        <is>
          <t>KRISTINEHAMN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46232</v>
      </c>
      <c r="F345" t="inlineStr">
        <is>
          <t>VÄRMLANDS LÄN</t>
        </is>
      </c>
      <c r="G345" t="inlineStr">
        <is>
          <t>KRISTINEHAMN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45097</v>
      </c>
      <c r="E346" s="1" t="n">
        <v>46232</v>
      </c>
      <c r="F346" t="inlineStr">
        <is>
          <t>VÄRMLANDS LÄN</t>
        </is>
      </c>
      <c r="G346" t="inlineStr">
        <is>
          <t>KRISTINEHAMN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22060-2026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46149</v>
      </c>
      <c r="E347" s="1" t="n">
        <v>46232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46232</v>
      </c>
      <c r="F348" t="inlineStr">
        <is>
          <t>VÄRMLANDS LÄN</t>
        </is>
      </c>
      <c r="G348" t="inlineStr">
        <is>
          <t>KRISTINEHAMN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21844-2026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46150</v>
      </c>
      <c r="E349" s="1" t="n">
        <v>46232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38490-2021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44407</v>
      </c>
      <c r="E350" s="1" t="n">
        <v>46232</v>
      </c>
      <c r="F350" t="inlineStr">
        <is>
          <t>VÄRMLANDS LÄN</t>
        </is>
      </c>
      <c r="G350" t="inlineStr">
        <is>
          <t>KRISTINEHAMN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21842-2026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46232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46232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46232</v>
      </c>
      <c r="F353" t="inlineStr">
        <is>
          <t>VÄRMLANDS LÄN</t>
        </is>
      </c>
      <c r="G353" t="inlineStr">
        <is>
          <t>KRISTINEHAMN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46232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45442</v>
      </c>
      <c r="E355" s="1" t="n">
        <v>46232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45226</v>
      </c>
      <c r="E356" s="1" t="n">
        <v>46232</v>
      </c>
      <c r="F356" t="inlineStr">
        <is>
          <t>VÄRMLANDS LÄN</t>
        </is>
      </c>
      <c r="G356" t="inlineStr">
        <is>
          <t>KRISTINEHAMN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46232</v>
      </c>
      <c r="F357" t="inlineStr">
        <is>
          <t>VÄRMLANDS LÄN</t>
        </is>
      </c>
      <c r="G357" t="inlineStr">
        <is>
          <t>KRISTINEHAMN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46232</v>
      </c>
      <c r="F358" t="inlineStr">
        <is>
          <t>VÄRMLANDS LÄN</t>
        </is>
      </c>
      <c r="G358" t="inlineStr">
        <is>
          <t>KRISTINEHAMN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45341</v>
      </c>
      <c r="E359" s="1" t="n">
        <v>46232</v>
      </c>
      <c r="F359" t="inlineStr">
        <is>
          <t>VÄRMLANDS LÄN</t>
        </is>
      </c>
      <c r="G359" t="inlineStr">
        <is>
          <t>KRISTINEHAMN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45569</v>
      </c>
      <c r="E360" s="1" t="n">
        <v>46232</v>
      </c>
      <c r="F360" t="inlineStr">
        <is>
          <t>VÄRMLANDS LÄN</t>
        </is>
      </c>
      <c r="G360" t="inlineStr">
        <is>
          <t>KRISTINEHAMN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46232</v>
      </c>
      <c r="F361" t="inlineStr">
        <is>
          <t>VÄRMLANDS LÄN</t>
        </is>
      </c>
      <c r="G361" t="inlineStr">
        <is>
          <t>KRISTINEHAMN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45341</v>
      </c>
      <c r="E362" s="1" t="n">
        <v>46232</v>
      </c>
      <c r="F362" t="inlineStr">
        <is>
          <t>VÄRMLANDS LÄN</t>
        </is>
      </c>
      <c r="G362" t="inlineStr">
        <is>
          <t>KRISTINEHAMN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45260</v>
      </c>
      <c r="E363" s="1" t="n">
        <v>46232</v>
      </c>
      <c r="F363" t="inlineStr">
        <is>
          <t>VÄRMLANDS LÄN</t>
        </is>
      </c>
      <c r="G363" t="inlineStr">
        <is>
          <t>KRISTINEHAMN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45679</v>
      </c>
      <c r="E364" s="1" t="n">
        <v>46232</v>
      </c>
      <c r="F364" t="inlineStr">
        <is>
          <t>VÄRMLANDS LÄN</t>
        </is>
      </c>
      <c r="G364" t="inlineStr">
        <is>
          <t>KRISTINEHAMN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45379</v>
      </c>
      <c r="E365" s="1" t="n">
        <v>46232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12423-2024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45379</v>
      </c>
      <c r="E366" s="1" t="n">
        <v>46232</v>
      </c>
      <c r="F366" t="inlineStr">
        <is>
          <t>VÄRMLANDS LÄN</t>
        </is>
      </c>
      <c r="G366" t="inlineStr">
        <is>
          <t>KRISTINEHAMN</t>
        </is>
      </c>
      <c r="I366" t="n">
        <v>12.6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44431</v>
      </c>
      <c r="E367" s="1" t="n">
        <v>46232</v>
      </c>
      <c r="F367" t="inlineStr">
        <is>
          <t>VÄRMLANDS LÄN</t>
        </is>
      </c>
      <c r="G367" t="inlineStr">
        <is>
          <t>KRISTINEHAMN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44454</v>
      </c>
      <c r="E368" s="1" t="n">
        <v>46232</v>
      </c>
      <c r="F368" t="inlineStr">
        <is>
          <t>VÄRMLANDS LÄN</t>
        </is>
      </c>
      <c r="G368" t="inlineStr">
        <is>
          <t>KRISTINEHAMN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54690-2022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44883</v>
      </c>
      <c r="E369" s="1" t="n">
        <v>46232</v>
      </c>
      <c r="F369" t="inlineStr">
        <is>
          <t>VÄRMLANDS LÄN</t>
        </is>
      </c>
      <c r="G369" t="inlineStr">
        <is>
          <t>KRISTINEHAMN</t>
        </is>
      </c>
      <c r="I369" t="n">
        <v>11.1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46161</v>
      </c>
      <c r="E370" s="1" t="n">
        <v>46232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44085-2023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45188</v>
      </c>
      <c r="E371" s="1" t="n">
        <v>46232</v>
      </c>
      <c r="F371" t="inlineStr">
        <is>
          <t>VÄRMLANDS LÄN</t>
        </is>
      </c>
      <c r="G371" t="inlineStr">
        <is>
          <t>KRISTINEHAMN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22896-2023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45072</v>
      </c>
      <c r="E372" s="1" t="n">
        <v>46232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Bergvik skog väst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44985</v>
      </c>
      <c r="E373" s="1" t="n">
        <v>46232</v>
      </c>
      <c r="F373" t="inlineStr">
        <is>
          <t>VÄRMLANDS LÄN</t>
        </is>
      </c>
      <c r="G373" t="inlineStr">
        <is>
          <t>KRISTINEHAMN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46205</v>
      </c>
      <c r="E374" s="1" t="n">
        <v>46232</v>
      </c>
      <c r="F374" t="inlineStr">
        <is>
          <t>VÄRMLANDS LÄN</t>
        </is>
      </c>
      <c r="G374" t="inlineStr">
        <is>
          <t>KRISTINEHAMN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46205</v>
      </c>
      <c r="E375" s="1" t="n">
        <v>46232</v>
      </c>
      <c r="F375" t="inlineStr">
        <is>
          <t>VÄRMLANDS LÄN</t>
        </is>
      </c>
      <c r="G375" t="inlineStr">
        <is>
          <t>KRISTINEHAMN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46232</v>
      </c>
      <c r="F376" t="inlineStr">
        <is>
          <t>VÄRMLANDS LÄN</t>
        </is>
      </c>
      <c r="G376" t="inlineStr">
        <is>
          <t>KRISTINEHAMN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47091-2022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44851</v>
      </c>
      <c r="E377" s="1" t="n">
        <v>46232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Kommuner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45181</v>
      </c>
      <c r="E378" s="1" t="n">
        <v>46232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23294-2026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46232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Sveaskog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45082</v>
      </c>
      <c r="E380" s="1" t="n">
        <v>46232</v>
      </c>
      <c r="F380" t="inlineStr">
        <is>
          <t>VÄRMLANDS LÄN</t>
        </is>
      </c>
      <c r="G380" t="inlineStr">
        <is>
          <t>KRISTINEHAMN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44637</v>
      </c>
      <c r="E381" s="1" t="n">
        <v>46232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45690-2021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44441</v>
      </c>
      <c r="E382" s="1" t="n">
        <v>46232</v>
      </c>
      <c r="F382" t="inlineStr">
        <is>
          <t>VÄRMLANDS LÄN</t>
        </is>
      </c>
      <c r="G382" t="inlineStr">
        <is>
          <t>KRISTINEHAMN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45513</v>
      </c>
      <c r="E383" s="1" t="n">
        <v>46232</v>
      </c>
      <c r="F383" t="inlineStr">
        <is>
          <t>VÄRMLANDS LÄN</t>
        </is>
      </c>
      <c r="G383" t="inlineStr">
        <is>
          <t>KRISTINEHAMN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45141</v>
      </c>
      <c r="E384" s="1" t="n">
        <v>46232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45386</v>
      </c>
      <c r="E385" s="1" t="n">
        <v>46232</v>
      </c>
      <c r="F385" t="inlineStr">
        <is>
          <t>VÄRMLANDS LÄN</t>
        </is>
      </c>
      <c r="G385" t="inlineStr">
        <is>
          <t>KRISTINEHAMN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28759-2022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46232</v>
      </c>
      <c r="F386" t="inlineStr">
        <is>
          <t>VÄRMLANDS LÄN</t>
        </is>
      </c>
      <c r="G386" t="inlineStr">
        <is>
          <t>KRISTINEHAMN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44985</v>
      </c>
      <c r="E387" s="1" t="n">
        <v>46232</v>
      </c>
      <c r="F387" t="inlineStr">
        <is>
          <t>VÄRMLANDS LÄN</t>
        </is>
      </c>
      <c r="G387" t="inlineStr">
        <is>
          <t>KRISTINEHAMN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46232</v>
      </c>
      <c r="F388" t="inlineStr">
        <is>
          <t>VÄRMLANDS LÄN</t>
        </is>
      </c>
      <c r="G388" t="inlineStr">
        <is>
          <t>KRISTINEHAMN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44987</v>
      </c>
      <c r="E389" s="1" t="n">
        <v>46232</v>
      </c>
      <c r="F389" t="inlineStr">
        <is>
          <t>VÄRMLANDS LÄN</t>
        </is>
      </c>
      <c r="G389" t="inlineStr">
        <is>
          <t>KRISTINEHAMN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44924</v>
      </c>
      <c r="E390" s="1" t="n">
        <v>46232</v>
      </c>
      <c r="F390" t="inlineStr">
        <is>
          <t>VÄRMLANDS LÄN</t>
        </is>
      </c>
      <c r="G390" t="inlineStr">
        <is>
          <t>KRISTINEHAMN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48405-2023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45201</v>
      </c>
      <c r="E391" s="1" t="n">
        <v>46232</v>
      </c>
      <c r="F391" t="inlineStr">
        <is>
          <t>VÄRMLANDS LÄN</t>
        </is>
      </c>
      <c r="G391" t="inlineStr">
        <is>
          <t>KRISTINEHAMN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46232</v>
      </c>
      <c r="F392" t="inlineStr">
        <is>
          <t>VÄRMLANDS LÄN</t>
        </is>
      </c>
      <c r="G392" t="inlineStr">
        <is>
          <t>KRISTINEHAMN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45377</v>
      </c>
      <c r="E393" s="1" t="n">
        <v>46232</v>
      </c>
      <c r="F393" t="inlineStr">
        <is>
          <t>VÄRMLANDS LÄN</t>
        </is>
      </c>
      <c r="G393" t="inlineStr">
        <is>
          <t>KRISTINEHAMN</t>
        </is>
      </c>
      <c r="I393" t="n">
        <v>13.2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46232</v>
      </c>
      <c r="F394" t="inlineStr">
        <is>
          <t>VÄRMLANDS LÄN</t>
        </is>
      </c>
      <c r="G394" t="inlineStr">
        <is>
          <t>KRISTINEHAMN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46232</v>
      </c>
      <c r="F395" t="inlineStr">
        <is>
          <t>VÄRMLANDS LÄN</t>
        </is>
      </c>
      <c r="G395" t="inlineStr">
        <is>
          <t>KRISTINEHAMN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24570-2026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46170</v>
      </c>
      <c r="E396" s="1" t="n">
        <v>46232</v>
      </c>
      <c r="F396" t="inlineStr">
        <is>
          <t>VÄRMLANDS LÄN</t>
        </is>
      </c>
      <c r="G396" t="inlineStr">
        <is>
          <t>KRISTINEHAMN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10522-2024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45366</v>
      </c>
      <c r="E397" s="1" t="n">
        <v>46232</v>
      </c>
      <c r="F397" t="inlineStr">
        <is>
          <t>VÄRMLANDS LÄN</t>
        </is>
      </c>
      <c r="G397" t="inlineStr">
        <is>
          <t>KRISTINEHAMN</t>
        </is>
      </c>
      <c r="I397" t="n">
        <v>19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62623-2023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46232</v>
      </c>
      <c r="F398" t="inlineStr">
        <is>
          <t>VÄRMLANDS LÄN</t>
        </is>
      </c>
      <c r="G398" t="inlineStr">
        <is>
          <t>KRISTINEHAMN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61988-2023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46232</v>
      </c>
      <c r="F399" t="inlineStr">
        <is>
          <t>VÄRMLANDS LÄN</t>
        </is>
      </c>
      <c r="G399" t="inlineStr">
        <is>
          <t>KRISTINEHAMN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45656</v>
      </c>
      <c r="E400" s="1" t="n">
        <v>46232</v>
      </c>
      <c r="F400" t="inlineStr">
        <is>
          <t>VÄRMLANDS LÄN</t>
        </is>
      </c>
      <c r="G400" t="inlineStr">
        <is>
          <t>KRISTINEHAMN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46171</v>
      </c>
      <c r="E401" s="1" t="n">
        <v>46232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59144-2021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44490</v>
      </c>
      <c r="E402" s="1" t="n">
        <v>46232</v>
      </c>
      <c r="F402" t="inlineStr">
        <is>
          <t>VÄRMLANDS LÄN</t>
        </is>
      </c>
      <c r="G402" t="inlineStr">
        <is>
          <t>KRISTINEHAMN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4180-2024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45323</v>
      </c>
      <c r="E403" s="1" t="n">
        <v>46232</v>
      </c>
      <c r="F403" t="inlineStr">
        <is>
          <t>VÄRMLANDS LÄN</t>
        </is>
      </c>
      <c r="G403" t="inlineStr">
        <is>
          <t>KRISTINEHAMN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44651</v>
      </c>
      <c r="E404" s="1" t="n">
        <v>46232</v>
      </c>
      <c r="F404" t="inlineStr">
        <is>
          <t>VÄRMLANDS LÄN</t>
        </is>
      </c>
      <c r="G404" t="inlineStr">
        <is>
          <t>KRISTINEHAMN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45379</v>
      </c>
      <c r="E405" s="1" t="n">
        <v>46232</v>
      </c>
      <c r="F405" t="inlineStr">
        <is>
          <t>VÄRMLANDS LÄN</t>
        </is>
      </c>
      <c r="G405" t="inlineStr">
        <is>
          <t>KRISTINEHAMN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46232</v>
      </c>
      <c r="F406" t="inlineStr">
        <is>
          <t>VÄRMLANDS LÄN</t>
        </is>
      </c>
      <c r="G406" t="inlineStr">
        <is>
          <t>KRISTINEHAMN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44722</v>
      </c>
      <c r="E407" s="1" t="n">
        <v>46232</v>
      </c>
      <c r="F407" t="inlineStr">
        <is>
          <t>VÄRMLANDS LÄN</t>
        </is>
      </c>
      <c r="G407" t="inlineStr">
        <is>
          <t>KRISTINEHAMN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46175</v>
      </c>
      <c r="E408" s="1" t="n">
        <v>46232</v>
      </c>
      <c r="F408" t="inlineStr">
        <is>
          <t>VÄRMLANDS LÄN</t>
        </is>
      </c>
      <c r="G408" t="inlineStr">
        <is>
          <t>KRISTINEHAMN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46232</v>
      </c>
      <c r="F409" t="inlineStr">
        <is>
          <t>VÄRMLANDS LÄN</t>
        </is>
      </c>
      <c r="G409" t="inlineStr">
        <is>
          <t>KRISTINEHAMN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45705</v>
      </c>
      <c r="E410" s="1" t="n">
        <v>46232</v>
      </c>
      <c r="F410" t="inlineStr">
        <is>
          <t>VÄRMLANDS LÄN</t>
        </is>
      </c>
      <c r="G410" t="inlineStr">
        <is>
          <t>KRISTINEHAMN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46232</v>
      </c>
      <c r="F411" t="inlineStr">
        <is>
          <t>VÄRMLANDS LÄN</t>
        </is>
      </c>
      <c r="G411" t="inlineStr">
        <is>
          <t>KRISTINEHAMN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70126-2021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44533</v>
      </c>
      <c r="E412" s="1" t="n">
        <v>46232</v>
      </c>
      <c r="F412" t="inlineStr">
        <is>
          <t>VÄRMLANDS LÄN</t>
        </is>
      </c>
      <c r="G412" t="inlineStr">
        <is>
          <t>KRISTINEHAMN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46526-2022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46232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45595</v>
      </c>
      <c r="E414" s="1" t="n">
        <v>46232</v>
      </c>
      <c r="F414" t="inlineStr">
        <is>
          <t>VÄRMLANDS LÄN</t>
        </is>
      </c>
      <c r="G414" t="inlineStr">
        <is>
          <t>KRISTINEHAMN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45081</v>
      </c>
      <c r="E415" s="1" t="n">
        <v>46232</v>
      </c>
      <c r="F415" t="inlineStr">
        <is>
          <t>VÄRMLANDS LÄN</t>
        </is>
      </c>
      <c r="G415" t="inlineStr">
        <is>
          <t>KRISTINEHAMN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41297-2021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44424</v>
      </c>
      <c r="E416" s="1" t="n">
        <v>46232</v>
      </c>
      <c r="F416" t="inlineStr">
        <is>
          <t>VÄRMLANDS LÄN</t>
        </is>
      </c>
      <c r="G416" t="inlineStr">
        <is>
          <t>KRISTINEHAMN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45701</v>
      </c>
      <c r="E417" s="1" t="n">
        <v>46232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Naturvårdsverket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44994</v>
      </c>
      <c r="E418" s="1" t="n">
        <v>46232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46037</v>
      </c>
      <c r="E419" s="1" t="n">
        <v>46232</v>
      </c>
      <c r="F419" t="inlineStr">
        <is>
          <t>VÄRMLANDS LÄN</t>
        </is>
      </c>
      <c r="G419" t="inlineStr">
        <is>
          <t>KRISTINEHAMN</t>
        </is>
      </c>
      <c r="I419" t="n">
        <v>11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31829-2026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46230</v>
      </c>
      <c r="E420" s="1" t="n">
        <v>46232</v>
      </c>
      <c r="F420" t="inlineStr">
        <is>
          <t>VÄRMLANDS LÄN</t>
        </is>
      </c>
      <c r="G420" t="inlineStr">
        <is>
          <t>KRISTINEHAMN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45243</v>
      </c>
      <c r="E421" s="1" t="n">
        <v>46232</v>
      </c>
      <c r="F421" t="inlineStr">
        <is>
          <t>VÄRMLANDS LÄN</t>
        </is>
      </c>
      <c r="G421" t="inlineStr">
        <is>
          <t>KRISTINEHAMN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56522-2021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44480</v>
      </c>
      <c r="E422" s="1" t="n">
        <v>46232</v>
      </c>
      <c r="F422" t="inlineStr">
        <is>
          <t>VÄRMLANDS LÄN</t>
        </is>
      </c>
      <c r="G422" t="inlineStr">
        <is>
          <t>KRISTINEHAMN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45315</v>
      </c>
      <c r="E423" s="1" t="n">
        <v>46232</v>
      </c>
      <c r="F423" t="inlineStr">
        <is>
          <t>VÄRMLANDS LÄN</t>
        </is>
      </c>
      <c r="G423" t="inlineStr">
        <is>
          <t>KRISTINEHAMN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45344</v>
      </c>
      <c r="E424" s="1" t="n">
        <v>46232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Naturvårdsverket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65050-2023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45282</v>
      </c>
      <c r="E425" s="1" t="n">
        <v>46232</v>
      </c>
      <c r="F425" t="inlineStr">
        <is>
          <t>VÄRMLANDS LÄN</t>
        </is>
      </c>
      <c r="G425" t="inlineStr">
        <is>
          <t>KRISTINEHAMN</t>
        </is>
      </c>
      <c r="I425" t="n">
        <v>9.6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45243</v>
      </c>
      <c r="E426" s="1" t="n">
        <v>46232</v>
      </c>
      <c r="F426" t="inlineStr">
        <is>
          <t>VÄRMLANDS LÄN</t>
        </is>
      </c>
      <c r="G426" t="inlineStr">
        <is>
          <t>KRISTINEHAMN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46232</v>
      </c>
      <c r="F427" t="inlineStr">
        <is>
          <t>VÄRMLANDS LÄN</t>
        </is>
      </c>
      <c r="G427" t="inlineStr">
        <is>
          <t>KRISTINEHAMN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45118</v>
      </c>
      <c r="E428" s="1" t="n">
        <v>46232</v>
      </c>
      <c r="F428" t="inlineStr">
        <is>
          <t>VÄRMLANDS LÄN</t>
        </is>
      </c>
      <c r="G428" t="inlineStr">
        <is>
          <t>KRISTINEHAMN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45769</v>
      </c>
      <c r="E429" s="1" t="n">
        <v>46232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Kyrkan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45159</v>
      </c>
      <c r="E430" s="1" t="n">
        <v>46232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44888</v>
      </c>
      <c r="E431" s="1" t="n">
        <v>46232</v>
      </c>
      <c r="F431" t="inlineStr">
        <is>
          <t>VÄRMLANDS LÄN</t>
        </is>
      </c>
      <c r="G431" t="inlineStr">
        <is>
          <t>KRISTINEHAMN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23707-2022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44722</v>
      </c>
      <c r="E432" s="1" t="n">
        <v>46232</v>
      </c>
      <c r="F432" t="inlineStr">
        <is>
          <t>VÄRMLANDS LÄN</t>
        </is>
      </c>
      <c r="G432" t="inlineStr">
        <is>
          <t>KRISTINEHAMN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45379</v>
      </c>
      <c r="E433" s="1" t="n">
        <v>46232</v>
      </c>
      <c r="F433" t="inlineStr">
        <is>
          <t>VÄRMLANDS LÄN</t>
        </is>
      </c>
      <c r="G433" t="inlineStr">
        <is>
          <t>KRISTINEHAMN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28834-2024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45478</v>
      </c>
      <c r="E434" s="1" t="n">
        <v>46232</v>
      </c>
      <c r="F434" t="inlineStr">
        <is>
          <t>VÄRMLANDS LÄN</t>
        </is>
      </c>
      <c r="G434" t="inlineStr">
        <is>
          <t>KRISTINEHAMN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44770</v>
      </c>
      <c r="E435" s="1" t="n">
        <v>46232</v>
      </c>
      <c r="F435" t="inlineStr">
        <is>
          <t>VÄRMLANDS LÄN</t>
        </is>
      </c>
      <c r="G435" t="inlineStr">
        <is>
          <t>KRISTINEHAMN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45701</v>
      </c>
      <c r="E436" s="1" t="n">
        <v>46232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21602-2025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45783</v>
      </c>
      <c r="E437" s="1" t="n">
        <v>46232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45636</v>
      </c>
      <c r="E438" s="1" t="n">
        <v>46232</v>
      </c>
      <c r="F438" t="inlineStr">
        <is>
          <t>VÄRMLANDS LÄN</t>
        </is>
      </c>
      <c r="G438" t="inlineStr">
        <is>
          <t>KRISTINEHAMN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44805</v>
      </c>
      <c r="E439" s="1" t="n">
        <v>46232</v>
      </c>
      <c r="F439" t="inlineStr">
        <is>
          <t>VÄRMLANDS LÄN</t>
        </is>
      </c>
      <c r="G439" t="inlineStr">
        <is>
          <t>KRISTINEHAMN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23510-2025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45792</v>
      </c>
      <c r="E440" s="1" t="n">
        <v>46232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23498-2025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45792</v>
      </c>
      <c r="E441" s="1" t="n">
        <v>46232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Sveaskog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23501-2025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45792</v>
      </c>
      <c r="E442" s="1" t="n">
        <v>46232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45792</v>
      </c>
      <c r="E443" s="1" t="n">
        <v>46232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23502-2025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45792</v>
      </c>
      <c r="E444" s="1" t="n">
        <v>46232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46232</v>
      </c>
      <c r="F445" t="inlineStr">
        <is>
          <t>VÄRMLANDS LÄN</t>
        </is>
      </c>
      <c r="G445" t="inlineStr">
        <is>
          <t>KRISTINEHAMN</t>
        </is>
      </c>
      <c r="I445" t="n">
        <v>11.2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46232</v>
      </c>
      <c r="F446" t="inlineStr">
        <is>
          <t>VÄRMLANDS LÄN</t>
        </is>
      </c>
      <c r="G446" t="inlineStr">
        <is>
          <t>KRISTINEHAMN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16427-2024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45407</v>
      </c>
      <c r="E447" s="1" t="n">
        <v>46232</v>
      </c>
      <c r="F447" t="inlineStr">
        <is>
          <t>VÄRMLANDS LÄN</t>
        </is>
      </c>
      <c r="G447" t="inlineStr">
        <is>
          <t>KRISTINEHAMN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45674</v>
      </c>
      <c r="E448" s="1" t="n">
        <v>46232</v>
      </c>
      <c r="F448" t="inlineStr">
        <is>
          <t>VÄRMLANDS LÄN</t>
        </is>
      </c>
      <c r="G448" t="inlineStr">
        <is>
          <t>KRISTINEHAMN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65055-2023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45282</v>
      </c>
      <c r="E449" s="1" t="n">
        <v>46232</v>
      </c>
      <c r="F449" t="inlineStr">
        <is>
          <t>VÄRMLANDS LÄN</t>
        </is>
      </c>
      <c r="G449" t="inlineStr">
        <is>
          <t>KRISTINEHAMN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45799</v>
      </c>
      <c r="E450" s="1" t="n">
        <v>46232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45575</v>
      </c>
      <c r="E451" s="1" t="n">
        <v>46232</v>
      </c>
      <c r="F451" t="inlineStr">
        <is>
          <t>VÄRMLANDS LÄN</t>
        </is>
      </c>
      <c r="G451" t="inlineStr">
        <is>
          <t>KRISTINEHAMN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1219-2020</t>
        </is>
      </c>
      <c r="B452" t="inlineStr">
        <is>
          <t>samrådsanmälan</t>
        </is>
      </c>
      <c r="C452" t="n">
        <v/>
      </c>
      <c r="D452" s="1" t="n">
        <v>43980</v>
      </c>
      <c r="E452" s="1" t="n">
        <v>46232</v>
      </c>
      <c r="F452" t="inlineStr">
        <is>
          <t>VÄRMLANDS LÄN</t>
        </is>
      </c>
      <c r="G452" t="inlineStr">
        <is>
          <t>KRISTINEHAMN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4147-2023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46232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13.5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4149-2023</t>
        </is>
      </c>
      <c r="B454" t="inlineStr">
        <is>
          <t>samrådsanmälan</t>
        </is>
      </c>
      <c r="C454" t="inlineStr">
        <is>
          <t>Skogsgödsling</t>
        </is>
      </c>
      <c r="D454" s="1" t="n">
        <v>45247</v>
      </c>
      <c r="E454" s="1" t="n">
        <v>46232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Naturvårdsverket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1815-2022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44657</v>
      </c>
      <c r="E455" s="1" t="n">
        <v>46232</v>
      </c>
      <c r="F455" t="inlineStr">
        <is>
          <t>VÄRMLANDS LÄN</t>
        </is>
      </c>
      <c r="G455" t="inlineStr">
        <is>
          <t>KRISTINEHAMN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2254-2023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45103</v>
      </c>
      <c r="E456" s="1" t="n">
        <v>46232</v>
      </c>
      <c r="F456" t="inlineStr">
        <is>
          <t>VÄRMLANDS LÄN</t>
        </is>
      </c>
      <c r="G456" t="inlineStr">
        <is>
          <t>KRISTINEHAMN</t>
        </is>
      </c>
      <c r="I456" t="n">
        <v>51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2879-2022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44711</v>
      </c>
      <c r="E457" s="1" t="n">
        <v>46232</v>
      </c>
      <c r="F457" t="inlineStr">
        <is>
          <t>VÄRMLANDS LÄN</t>
        </is>
      </c>
      <c r="G457" t="inlineStr">
        <is>
          <t>KRISTINEHAMN</t>
        </is>
      </c>
      <c r="I457" t="n">
        <v>25.9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46232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46232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46232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46232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2393-2022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44690</v>
      </c>
      <c r="E462" s="1" t="n">
        <v>46232</v>
      </c>
      <c r="F462" t="inlineStr">
        <is>
          <t>VÄRMLANDS LÄN</t>
        </is>
      </c>
      <c r="G462" t="inlineStr">
        <is>
          <t>KRISTINEHAMN</t>
        </is>
      </c>
      <c r="I462" t="n">
        <v>51.7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1903-2024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45442</v>
      </c>
      <c r="E463" s="1" t="n">
        <v>46232</v>
      </c>
      <c r="F463" t="inlineStr">
        <is>
          <t>VÄRMLANDS LÄN</t>
        </is>
      </c>
      <c r="G463" t="inlineStr">
        <is>
          <t>KRISTINEHAMN</t>
        </is>
      </c>
      <c r="I463" t="n">
        <v>104.3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717-2023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44985</v>
      </c>
      <c r="E464" s="1" t="n">
        <v>46232</v>
      </c>
      <c r="F464" t="inlineStr">
        <is>
          <t>VÄRMLANDS LÄN</t>
        </is>
      </c>
      <c r="G464" t="inlineStr">
        <is>
          <t>KRISTINEHAMN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1412-2024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45414</v>
      </c>
      <c r="E465" s="1" t="n">
        <v>46232</v>
      </c>
      <c r="F465" t="inlineStr">
        <is>
          <t>VÄRMLANDS LÄN</t>
        </is>
      </c>
      <c r="G465" t="inlineStr">
        <is>
          <t>KRISTINEHAMN</t>
        </is>
      </c>
      <c r="I465" t="n">
        <v>42.9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1900-2024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45442</v>
      </c>
      <c r="E466" s="1" t="n">
        <v>46232</v>
      </c>
      <c r="F466" t="inlineStr">
        <is>
          <t>VÄRMLANDS LÄN</t>
        </is>
      </c>
      <c r="G466" t="inlineStr">
        <is>
          <t>KRISTINEHAMN</t>
        </is>
      </c>
      <c r="I466" t="n">
        <v>63.5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3374-2024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45533</v>
      </c>
      <c r="E467" s="1" t="n">
        <v>46232</v>
      </c>
      <c r="F467" t="inlineStr">
        <is>
          <t>VÄRMLANDS LÄN</t>
        </is>
      </c>
      <c r="G467" t="inlineStr">
        <is>
          <t>KRISTINEHAMN</t>
        </is>
      </c>
      <c r="I467" t="n">
        <v>18.3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2464-2023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45118</v>
      </c>
      <c r="E468" s="1" t="n">
        <v>46232</v>
      </c>
      <c r="F468" t="inlineStr">
        <is>
          <t>VÄRMLANDS LÄN</t>
        </is>
      </c>
      <c r="G468" t="inlineStr">
        <is>
          <t>KRISTINEHAMN</t>
        </is>
      </c>
      <c r="I468" t="n">
        <v>42.3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4146-2023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45247</v>
      </c>
      <c r="E469" s="1" t="n">
        <v>46232</v>
      </c>
      <c r="F469" t="inlineStr">
        <is>
          <t>VÄRMLANDS LÄN</t>
        </is>
      </c>
      <c r="G469" t="inlineStr">
        <is>
          <t>KRISTINEHAMN</t>
        </is>
      </c>
      <c r="H469" t="inlineStr">
        <is>
          <t>Bergvik skog väst AB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3007-2024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45512</v>
      </c>
      <c r="E470" s="1" t="n">
        <v>46232</v>
      </c>
      <c r="F470" t="inlineStr">
        <is>
          <t>VÄRMLANDS LÄN</t>
        </is>
      </c>
      <c r="G470" t="inlineStr">
        <is>
          <t>KRISTINEHAMN</t>
        </is>
      </c>
      <c r="I470" t="n">
        <v>56.9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1418-2025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45783</v>
      </c>
      <c r="E471" s="1" t="n">
        <v>46232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1546-2025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45792</v>
      </c>
      <c r="E472" s="1" t="n">
        <v>46232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1698-2025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45805</v>
      </c>
      <c r="E473" s="1" t="n">
        <v>46232</v>
      </c>
      <c r="F473" t="inlineStr">
        <is>
          <t>VÄRMLANDS LÄN</t>
        </is>
      </c>
      <c r="G473" t="inlineStr">
        <is>
          <t>KRISTINEHAMN</t>
        </is>
      </c>
      <c r="H473" t="inlineStr">
        <is>
          <t>Sveaskog</t>
        </is>
      </c>
      <c r="I473" t="n">
        <v>12.6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121-2026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46040</v>
      </c>
      <c r="E474" s="1" t="n">
        <v>46232</v>
      </c>
      <c r="F474" t="inlineStr">
        <is>
          <t>VÄRMLANDS LÄN</t>
        </is>
      </c>
      <c r="G474" t="inlineStr">
        <is>
          <t>KRISTINEHAMN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46106</v>
      </c>
      <c r="E475" s="1" t="n">
        <v>46232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Sveaskog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99-2026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46036</v>
      </c>
      <c r="E476" s="1" t="n">
        <v>46232</v>
      </c>
      <c r="F476" t="inlineStr">
        <is>
          <t>VÄRMLANDS LÄN</t>
        </is>
      </c>
      <c r="G476" t="inlineStr">
        <is>
          <t>KRISTINEHAMN</t>
        </is>
      </c>
      <c r="H476" t="inlineStr">
        <is>
          <t>Naturvårdsverket</t>
        </is>
      </c>
      <c r="I476" t="n">
        <v>80.8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2026-07-29T01:50:54Z</dcterms:created>
  <dcterms:modified xmlns:dcterms="http://purl.org/dc/terms/" xmlns:xsi="http://www.w3.org/2001/XMLSchema-instance" xsi:type="dcterms:W3CDTF">2026-07-29T01:50:55Z</dcterms:modified>
</cp:coreProperties>
</file>