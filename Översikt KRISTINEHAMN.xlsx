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46262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46262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46262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46262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46262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46262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46262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58021-2025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46262</v>
      </c>
      <c r="F24" t="inlineStr">
        <is>
          <t>VÄRMLANDS LÄN</t>
        </is>
      </c>
      <c r="G24" t="inlineStr">
        <is>
          <t>KRISTINEHAMN</t>
        </is>
      </c>
      <c r="I24" t="n">
        <v>4.2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HYPERLINK("https://klasma.github.io/Logging_1781/artfynd/A 58021-2025 artfynd.xlsx", "A 58021-2025")</f>
        <v/>
      </c>
      <c r="X24">
        <f>HYPERLINK("https://klasma.github.io/Logging_1781/kartor/A 58021-2025 karta.png", "A 58021-2025")</f>
        <v/>
      </c>
      <c r="Y24">
        <f>HYPERLINK("https://klasma.github.io/Logging_1781/kartor_geotiff/A 58021-2025 georefererad karta.tif", "A 58021-2025")</f>
        <v/>
      </c>
      <c r="AA24">
        <f>HYPERLINK("https://klasma.github.io/Logging_1781/klagomål/A 58021-2025 FSC-klagomål.docx", "A 58021-2025")</f>
        <v/>
      </c>
      <c r="AB24">
        <f>HYPERLINK("https://klasma.github.io/Logging_1781/klagomålsmail/A 58021-2025 FSC-klagomål mail.docx", "A 58021-2025")</f>
        <v/>
      </c>
      <c r="AC24">
        <f>HYPERLINK("https://klasma.github.io/Logging_1781/tillsyn/A 58021-2025 tillsynsbegäran.docx", "A 58021-2025")</f>
        <v/>
      </c>
      <c r="AD24">
        <f>HYPERLINK("https://klasma.github.io/Logging_1781/tillsynsmail/A 58021-2025 tillsynsbegäran mail.docx", "A 58021-2025")</f>
        <v/>
      </c>
    </row>
    <row r="25" ht="15" customHeight="1">
      <c r="A25" t="inlineStr">
        <is>
          <t>A 28394-2025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46262</v>
      </c>
      <c r="F25" t="inlineStr">
        <is>
          <t>VÄRMLANDS LÄN</t>
        </is>
      </c>
      <c r="G25" t="inlineStr">
        <is>
          <t>KRISTINEHAMN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vårtrattskivling</t>
        </is>
      </c>
      <c r="W25">
        <f>HYPERLINK("https://klasma.github.io/Logging_1781/artfynd/A 28394-2025 artfynd.xlsx", "A 28394-2025")</f>
        <v/>
      </c>
      <c r="X25">
        <f>HYPERLINK("https://klasma.github.io/Logging_1781/kartor/A 28394-2025 karta.png", "A 28394-2025")</f>
        <v/>
      </c>
      <c r="Y25">
        <f>HYPERLINK("https://klasma.github.io/Logging_1781/kartor_geotiff/A 28394-2025 georefererad karta.tif", "A 28394-2025")</f>
        <v/>
      </c>
      <c r="AA25">
        <f>HYPERLINK("https://klasma.github.io/Logging_1781/klagomål/A 28394-2025 FSC-klagomål.docx", "A 28394-2025")</f>
        <v/>
      </c>
      <c r="AB25">
        <f>HYPERLINK("https://klasma.github.io/Logging_1781/klagomålsmail/A 28394-2025 FSC-klagomål mail.docx", "A 28394-2025")</f>
        <v/>
      </c>
      <c r="AC25">
        <f>HYPERLINK("https://klasma.github.io/Logging_1781/tillsyn/A 28394-2025 tillsynsbegäran.docx", "A 28394-2025")</f>
        <v/>
      </c>
      <c r="AD25">
        <f>HYPERLINK("https://klasma.github.io/Logging_1781/tillsynsmail/A 28394-2025 tillsynsbegäran mail.docx", "A 28394-2025")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46262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46262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8714-2024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45356</v>
      </c>
      <c r="E28" s="1" t="n">
        <v>46262</v>
      </c>
      <c r="F28" t="inlineStr">
        <is>
          <t>VÄRMLANDS LÄN</t>
        </is>
      </c>
      <c r="G28" t="inlineStr">
        <is>
          <t>KRISTINEHAMN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Bombmurkla</t>
        </is>
      </c>
      <c r="W28">
        <f>HYPERLINK("https://klasma.github.io/Logging_1781/artfynd/A 8714-2024 artfynd.xlsx", "A 8714-2024")</f>
        <v/>
      </c>
      <c r="X28">
        <f>HYPERLINK("https://klasma.github.io/Logging_1781/kartor/A 8714-2024 karta.png", "A 8714-2024")</f>
        <v/>
      </c>
      <c r="Y28">
        <f>HYPERLINK("https://klasma.github.io/Logging_1781/kartor_geotiff/A 8714-2024 georefererad karta.tif", "A 8714-2024")</f>
        <v/>
      </c>
      <c r="AA28">
        <f>HYPERLINK("https://klasma.github.io/Logging_1781/klagomål/A 8714-2024 FSC-klagomål.docx", "A 8714-2024")</f>
        <v/>
      </c>
      <c r="AB28">
        <f>HYPERLINK("https://klasma.github.io/Logging_1781/klagomålsmail/A 8714-2024 FSC-klagomål mail.docx", "A 8714-2024")</f>
        <v/>
      </c>
      <c r="AC28">
        <f>HYPERLINK("https://klasma.github.io/Logging_1781/tillsyn/A 8714-2024 tillsynsbegäran.docx", "A 8714-2024")</f>
        <v/>
      </c>
      <c r="AD28">
        <f>HYPERLINK("https://klasma.github.io/Logging_1781/tillsynsmail/A 8714-2024 tillsynsbegäran mail.docx", "A 8714-2024")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46262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46262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46262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46262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46262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46262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46262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46262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46262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46262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46262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46262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46262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46262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46262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46262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46262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46262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46262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46262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46262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46262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46262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46262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46262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46262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46262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46262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46262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46262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46262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46262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46262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46262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46262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46262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46262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46262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46262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46262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46262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46262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46262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46262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46262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46262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46262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46262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46262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46262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46262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46262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46262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46262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46262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46262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46262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46262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46262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46262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46262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46262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46262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45081</v>
      </c>
      <c r="E94" s="1" t="n">
        <v>46262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46262</v>
      </c>
      <c r="F95" t="inlineStr">
        <is>
          <t>VÄRMLANDS LÄN</t>
        </is>
      </c>
      <c r="G95" t="inlineStr">
        <is>
          <t>KRISTINEHAMN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48416-2021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46262</v>
      </c>
      <c r="F96" t="inlineStr">
        <is>
          <t>VÄRMLANDS LÄN</t>
        </is>
      </c>
      <c r="G96" t="inlineStr">
        <is>
          <t>KRISTINEHAMN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45442</v>
      </c>
      <c r="E97" s="1" t="n">
        <v>46262</v>
      </c>
      <c r="F97" t="inlineStr">
        <is>
          <t>VÄRMLANDS LÄN</t>
        </is>
      </c>
      <c r="G97" t="inlineStr">
        <is>
          <t>KRISTINEHAMN</t>
        </is>
      </c>
      <c r="I97" t="n">
        <v>14.9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46262</v>
      </c>
      <c r="F98" t="inlineStr">
        <is>
          <t>VÄRMLANDS LÄN</t>
        </is>
      </c>
      <c r="G98" t="inlineStr">
        <is>
          <t>KRISTINEHAMN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46262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68505-2021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46262</v>
      </c>
      <c r="F100" t="inlineStr">
        <is>
          <t>VÄRMLANDS LÄN</t>
        </is>
      </c>
      <c r="G100" t="inlineStr">
        <is>
          <t>KRISTINEHAMN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46262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46262</v>
      </c>
      <c r="F102" t="inlineStr">
        <is>
          <t>VÄRMLANDS LÄN</t>
        </is>
      </c>
      <c r="G102" t="inlineStr">
        <is>
          <t>KRISTINEHAMN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45095</v>
      </c>
      <c r="E103" s="1" t="n">
        <v>46262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44974</v>
      </c>
      <c r="E104" s="1" t="n">
        <v>46262</v>
      </c>
      <c r="F104" t="inlineStr">
        <is>
          <t>VÄRMLANDS LÄN</t>
        </is>
      </c>
      <c r="G104" t="inlineStr">
        <is>
          <t>KRISTINEHAMN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45783</v>
      </c>
      <c r="E105" s="1" t="n">
        <v>46262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46262</v>
      </c>
      <c r="F106" t="inlineStr">
        <is>
          <t>VÄRMLANDS LÄN</t>
        </is>
      </c>
      <c r="G106" t="inlineStr">
        <is>
          <t>KRISTINEHAMN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46262</v>
      </c>
      <c r="F107" t="inlineStr">
        <is>
          <t>VÄRMLANDS LÄN</t>
        </is>
      </c>
      <c r="G107" t="inlineStr">
        <is>
          <t>KRISTINEHAMN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46262</v>
      </c>
      <c r="F108" t="inlineStr">
        <is>
          <t>VÄRMLANDS LÄN</t>
        </is>
      </c>
      <c r="G108" t="inlineStr">
        <is>
          <t>KRISTINEHAMN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46262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Kommuner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44805</v>
      </c>
      <c r="E110" s="1" t="n">
        <v>46262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46262</v>
      </c>
      <c r="F111" t="inlineStr">
        <is>
          <t>VÄRMLANDS LÄN</t>
        </is>
      </c>
      <c r="G111" t="inlineStr">
        <is>
          <t>KRISTINEHAMN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44497</v>
      </c>
      <c r="E112" s="1" t="n">
        <v>46262</v>
      </c>
      <c r="F112" t="inlineStr">
        <is>
          <t>VÄRMLANDS LÄN</t>
        </is>
      </c>
      <c r="G112" t="inlineStr">
        <is>
          <t>KRISTINEHAMN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23510-2025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45792</v>
      </c>
      <c r="E113" s="1" t="n">
        <v>46262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45792</v>
      </c>
      <c r="E114" s="1" t="n">
        <v>46262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46262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51616-2023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46262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46262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45600</v>
      </c>
      <c r="E118" s="1" t="n">
        <v>46262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46262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46262</v>
      </c>
      <c r="F120" t="inlineStr">
        <is>
          <t>VÄRMLANDS LÄN</t>
        </is>
      </c>
      <c r="G120" t="inlineStr">
        <is>
          <t>KRISTINEHAMN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46262</v>
      </c>
      <c r="F121" t="inlineStr">
        <is>
          <t>VÄRMLANDS LÄN</t>
        </is>
      </c>
      <c r="G121" t="inlineStr">
        <is>
          <t>KRISTINEHAMN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46262</v>
      </c>
      <c r="F122" t="inlineStr">
        <is>
          <t>VÄRMLANDS LÄN</t>
        </is>
      </c>
      <c r="G122" t="inlineStr">
        <is>
          <t>KRISTINEHAMN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46262</v>
      </c>
      <c r="F123" t="inlineStr">
        <is>
          <t>VÄRMLANDS LÄN</t>
        </is>
      </c>
      <c r="G123" t="inlineStr">
        <is>
          <t>KRISTINEHAMN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45407</v>
      </c>
      <c r="E124" s="1" t="n">
        <v>46262</v>
      </c>
      <c r="F124" t="inlineStr">
        <is>
          <t>VÄRMLANDS LÄN</t>
        </is>
      </c>
      <c r="G124" t="inlineStr">
        <is>
          <t>KRISTINEHAMN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45693</v>
      </c>
      <c r="E125" s="1" t="n">
        <v>46262</v>
      </c>
      <c r="F125" t="inlineStr">
        <is>
          <t>VÄRMLANDS LÄN</t>
        </is>
      </c>
      <c r="G125" t="inlineStr">
        <is>
          <t>KRISTINEHAMN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45674</v>
      </c>
      <c r="E126" s="1" t="n">
        <v>46262</v>
      </c>
      <c r="F126" t="inlineStr">
        <is>
          <t>VÄRMLANDS LÄN</t>
        </is>
      </c>
      <c r="G126" t="inlineStr">
        <is>
          <t>KRISTINEHAMN</t>
        </is>
      </c>
      <c r="I126" t="n">
        <v>9.699999999999999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46262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45477</v>
      </c>
      <c r="E128" s="1" t="n">
        <v>46262</v>
      </c>
      <c r="F128" t="inlineStr">
        <is>
          <t>VÄRMLANDS LÄN</t>
        </is>
      </c>
      <c r="G128" t="inlineStr">
        <is>
          <t>KRISTINEHAMN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46262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46262</v>
      </c>
      <c r="F130" t="inlineStr">
        <is>
          <t>VÄRMLANDS LÄN</t>
        </is>
      </c>
      <c r="G130" t="inlineStr">
        <is>
          <t>KRISTINEHAMN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46262</v>
      </c>
      <c r="F131" t="inlineStr">
        <is>
          <t>VÄRMLANDS LÄN</t>
        </is>
      </c>
      <c r="G131" t="inlineStr">
        <is>
          <t>KRISTINEHAMN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46262</v>
      </c>
      <c r="F132" t="inlineStr">
        <is>
          <t>VÄRMLANDS LÄN</t>
        </is>
      </c>
      <c r="G132" t="inlineStr">
        <is>
          <t>KRISTINEHAMN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46262</v>
      </c>
      <c r="F133" t="inlineStr">
        <is>
          <t>VÄRMLANDS LÄN</t>
        </is>
      </c>
      <c r="G133" t="inlineStr">
        <is>
          <t>KRISTINEHAMN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46262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45802</v>
      </c>
      <c r="E135" s="1" t="n">
        <v>46262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Naturvårdsverket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46262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45447</v>
      </c>
      <c r="E137" s="1" t="n">
        <v>46262</v>
      </c>
      <c r="F137" t="inlineStr">
        <is>
          <t>VÄRMLANDS LÄN</t>
        </is>
      </c>
      <c r="G137" t="inlineStr">
        <is>
          <t>KRISTINEHAMN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46262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45662</v>
      </c>
      <c r="E139" s="1" t="n">
        <v>46262</v>
      </c>
      <c r="F139" t="inlineStr">
        <is>
          <t>VÄRMLANDS LÄN</t>
        </is>
      </c>
      <c r="G139" t="inlineStr">
        <is>
          <t>KRISTINEHAMN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46262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46262</v>
      </c>
      <c r="F141" t="inlineStr">
        <is>
          <t>VÄRMLANDS LÄN</t>
        </is>
      </c>
      <c r="G141" t="inlineStr">
        <is>
          <t>KRISTINEHAMN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46262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46262</v>
      </c>
      <c r="F143" t="inlineStr">
        <is>
          <t>VÄRMLANDS LÄN</t>
        </is>
      </c>
      <c r="G143" t="inlineStr">
        <is>
          <t>KRISTINEHAMN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45959</v>
      </c>
      <c r="E144" s="1" t="n">
        <v>46262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46262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Naturvårdsverket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46262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46262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46262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46262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Naturvårdsverket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46262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Naturvårdsverket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56315-2025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45974</v>
      </c>
      <c r="E151" s="1" t="n">
        <v>46262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46262</v>
      </c>
      <c r="F152" t="inlineStr">
        <is>
          <t>VÄRMLANDS LÄN</t>
        </is>
      </c>
      <c r="G152" t="inlineStr">
        <is>
          <t>KRISTINEHAMN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46262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46262</v>
      </c>
      <c r="F154" t="inlineStr">
        <is>
          <t>VÄRMLANDS LÄN</t>
        </is>
      </c>
      <c r="G154" t="inlineStr">
        <is>
          <t>KRISTINEHAMN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46262</v>
      </c>
      <c r="F155" t="inlineStr">
        <is>
          <t>VÄRMLANDS LÄN</t>
        </is>
      </c>
      <c r="G155" t="inlineStr">
        <is>
          <t>KRISTINEHAMN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45701</v>
      </c>
      <c r="E156" s="1" t="n">
        <v>46262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Naturvårdsverket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46262</v>
      </c>
      <c r="F157" t="inlineStr">
        <is>
          <t>VÄRMLANDS LÄN</t>
        </is>
      </c>
      <c r="G157" t="inlineStr">
        <is>
          <t>KRISTINEHAMN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46262</v>
      </c>
      <c r="F158" t="inlineStr">
        <is>
          <t>VÄRMLANDS LÄN</t>
        </is>
      </c>
      <c r="G158" t="inlineStr">
        <is>
          <t>KRISTINEHAMN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46262</v>
      </c>
      <c r="F159" t="inlineStr">
        <is>
          <t>VÄRMLANDS LÄN</t>
        </is>
      </c>
      <c r="G159" t="inlineStr">
        <is>
          <t>KRISTINEHAMN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46262</v>
      </c>
      <c r="F160" t="inlineStr">
        <is>
          <t>VÄRMLANDS LÄN</t>
        </is>
      </c>
      <c r="G160" t="inlineStr">
        <is>
          <t>KRISTINEHAMN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45364</v>
      </c>
      <c r="E161" s="1" t="n">
        <v>46262</v>
      </c>
      <c r="F161" t="inlineStr">
        <is>
          <t>VÄRMLANDS LÄN</t>
        </is>
      </c>
      <c r="G161" t="inlineStr">
        <is>
          <t>KRISTINEHAMN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46262</v>
      </c>
      <c r="F162" t="inlineStr">
        <is>
          <t>VÄRMLANDS LÄN</t>
        </is>
      </c>
      <c r="G162" t="inlineStr">
        <is>
          <t>KRISTINEHAMN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31528-2025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46262</v>
      </c>
      <c r="F163" t="inlineStr">
        <is>
          <t>VÄRMLANDS LÄN</t>
        </is>
      </c>
      <c r="G163" t="inlineStr">
        <is>
          <t>KRISTINEHAMN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46262</v>
      </c>
      <c r="F164" t="inlineStr">
        <is>
          <t>VÄRMLANDS LÄN</t>
        </is>
      </c>
      <c r="G164" t="inlineStr">
        <is>
          <t>KRISTINEHAMN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46262</v>
      </c>
      <c r="F165" t="inlineStr">
        <is>
          <t>VÄRMLANDS LÄN</t>
        </is>
      </c>
      <c r="G165" t="inlineStr">
        <is>
          <t>KRISTINEHAMN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31327-2025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45833</v>
      </c>
      <c r="E166" s="1" t="n">
        <v>46262</v>
      </c>
      <c r="F166" t="inlineStr">
        <is>
          <t>VÄRMLANDS LÄN</t>
        </is>
      </c>
      <c r="G166" t="inlineStr">
        <is>
          <t>KRISTINEHAMN</t>
        </is>
      </c>
      <c r="I166" t="n">
        <v>20.1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46262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45044</v>
      </c>
      <c r="E168" s="1" t="n">
        <v>46262</v>
      </c>
      <c r="F168" t="inlineStr">
        <is>
          <t>VÄRMLANDS LÄN</t>
        </is>
      </c>
      <c r="G168" t="inlineStr">
        <is>
          <t>KRISTINEHAMN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46262</v>
      </c>
      <c r="F169" t="inlineStr">
        <is>
          <t>VÄRMLANDS LÄN</t>
        </is>
      </c>
      <c r="G169" t="inlineStr">
        <is>
          <t>KRISTINEHAMN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46262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46262</v>
      </c>
      <c r="F171" t="inlineStr">
        <is>
          <t>VÄRMLANDS LÄN</t>
        </is>
      </c>
      <c r="G171" t="inlineStr">
        <is>
          <t>KRISTINEHAMN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46262</v>
      </c>
      <c r="F172" t="inlineStr">
        <is>
          <t>VÄRMLANDS LÄN</t>
        </is>
      </c>
      <c r="G172" t="inlineStr">
        <is>
          <t>KRISTINEHAMN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46262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Naturvårdsverket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46262</v>
      </c>
      <c r="F174" t="inlineStr">
        <is>
          <t>VÄRMLANDS LÄN</t>
        </is>
      </c>
      <c r="G174" t="inlineStr">
        <is>
          <t>KRISTINEHAMN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44741</v>
      </c>
      <c r="E175" s="1" t="n">
        <v>46262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46262</v>
      </c>
      <c r="F176" t="inlineStr">
        <is>
          <t>VÄRMLANDS LÄN</t>
        </is>
      </c>
      <c r="G176" t="inlineStr">
        <is>
          <t>KRISTINEHAMN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45782</v>
      </c>
      <c r="E177" s="1" t="n">
        <v>46262</v>
      </c>
      <c r="F177" t="inlineStr">
        <is>
          <t>VÄRMLANDS LÄN</t>
        </is>
      </c>
      <c r="G177" t="inlineStr">
        <is>
          <t>KRISTINEHAMN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44917</v>
      </c>
      <c r="E178" s="1" t="n">
        <v>46262</v>
      </c>
      <c r="F178" t="inlineStr">
        <is>
          <t>VÄRMLANDS LÄN</t>
        </is>
      </c>
      <c r="G178" t="inlineStr">
        <is>
          <t>KRISTINEHAMN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46262</v>
      </c>
      <c r="F179" t="inlineStr">
        <is>
          <t>VÄRMLANDS LÄN</t>
        </is>
      </c>
      <c r="G179" t="inlineStr">
        <is>
          <t>KRISTINEHAMN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45995</v>
      </c>
      <c r="E180" s="1" t="n">
        <v>46262</v>
      </c>
      <c r="F180" t="inlineStr">
        <is>
          <t>VÄRMLANDS LÄN</t>
        </is>
      </c>
      <c r="G180" t="inlineStr">
        <is>
          <t>KRISTINEHAMN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46262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46262</v>
      </c>
      <c r="F182" t="inlineStr">
        <is>
          <t>VÄRMLANDS LÄN</t>
        </is>
      </c>
      <c r="G182" t="inlineStr">
        <is>
          <t>KRISTINEHAMN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46262</v>
      </c>
      <c r="F183" t="inlineStr">
        <is>
          <t>VÄRMLANDS LÄN</t>
        </is>
      </c>
      <c r="G183" t="inlineStr">
        <is>
          <t>KRISTINEHAMN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27531-2022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46262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44965</v>
      </c>
      <c r="E185" s="1" t="n">
        <v>46262</v>
      </c>
      <c r="F185" t="inlineStr">
        <is>
          <t>VÄRMLANDS LÄN</t>
        </is>
      </c>
      <c r="G185" t="inlineStr">
        <is>
          <t>KRISTINEHAMN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46262</v>
      </c>
      <c r="F186" t="inlineStr">
        <is>
          <t>VÄRMLANDS LÄN</t>
        </is>
      </c>
      <c r="G186" t="inlineStr">
        <is>
          <t>KRISTINEHAMN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46262</v>
      </c>
      <c r="F187" t="inlineStr">
        <is>
          <t>VÄRMLANDS LÄN</t>
        </is>
      </c>
      <c r="G187" t="inlineStr">
        <is>
          <t>KRISTINEHAMN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60381-2025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45995</v>
      </c>
      <c r="E188" s="1" t="n">
        <v>46262</v>
      </c>
      <c r="F188" t="inlineStr">
        <is>
          <t>VÄRMLANDS LÄN</t>
        </is>
      </c>
      <c r="G188" t="inlineStr">
        <is>
          <t>KRISTINEHAMN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45944</v>
      </c>
      <c r="E189" s="1" t="n">
        <v>46262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45876</v>
      </c>
      <c r="E190" s="1" t="n">
        <v>46262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37266-2025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45876</v>
      </c>
      <c r="E191" s="1" t="n">
        <v>46262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46262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46262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46262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45000</v>
      </c>
      <c r="E195" s="1" t="n">
        <v>46262</v>
      </c>
      <c r="F195" t="inlineStr">
        <is>
          <t>VÄRMLANDS LÄN</t>
        </is>
      </c>
      <c r="G195" t="inlineStr">
        <is>
          <t>KRISTINEHAMN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46262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Bergvik skog väst AB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46262</v>
      </c>
      <c r="F197" t="inlineStr">
        <is>
          <t>VÄRMLANDS LÄN</t>
        </is>
      </c>
      <c r="G197" t="inlineStr">
        <is>
          <t>KRISTINEHAMN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46262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46262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Bergvik skog väst AB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46262</v>
      </c>
      <c r="F200" t="inlineStr">
        <is>
          <t>VÄRMLANDS LÄN</t>
        </is>
      </c>
      <c r="G200" t="inlineStr">
        <is>
          <t>KRISTINEHAMN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46262</v>
      </c>
      <c r="F201" t="inlineStr">
        <is>
          <t>VÄRMLANDS LÄN</t>
        </is>
      </c>
      <c r="G201" t="inlineStr">
        <is>
          <t>KRISTINEHAMN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46262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19447-2024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46262</v>
      </c>
      <c r="F203" t="inlineStr">
        <is>
          <t>VÄRMLANDS LÄN</t>
        </is>
      </c>
      <c r="G203" t="inlineStr">
        <is>
          <t>KRISTINEHAMN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46262</v>
      </c>
      <c r="F204" t="inlineStr">
        <is>
          <t>VÄRMLANDS LÄN</t>
        </is>
      </c>
      <c r="G204" t="inlineStr">
        <is>
          <t>KRISTINEHAMN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45678</v>
      </c>
      <c r="E205" s="1" t="n">
        <v>46262</v>
      </c>
      <c r="F205" t="inlineStr">
        <is>
          <t>VÄRMLANDS LÄN</t>
        </is>
      </c>
      <c r="G205" t="inlineStr">
        <is>
          <t>KRISTINEHAMN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46262</v>
      </c>
      <c r="F206" t="inlineStr">
        <is>
          <t>VÄRMLANDS LÄN</t>
        </is>
      </c>
      <c r="G206" t="inlineStr">
        <is>
          <t>KRISTINEHAMN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46262</v>
      </c>
      <c r="F207" t="inlineStr">
        <is>
          <t>VÄRMLANDS LÄN</t>
        </is>
      </c>
      <c r="G207" t="inlineStr">
        <is>
          <t>KRISTINEHAMN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45456</v>
      </c>
      <c r="E208" s="1" t="n">
        <v>46262</v>
      </c>
      <c r="F208" t="inlineStr">
        <is>
          <t>VÄRMLANDS LÄN</t>
        </is>
      </c>
      <c r="G208" t="inlineStr">
        <is>
          <t>KRISTINEHAMN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46009</v>
      </c>
      <c r="E209" s="1" t="n">
        <v>46262</v>
      </c>
      <c r="F209" t="inlineStr">
        <is>
          <t>VÄRMLANDS LÄN</t>
        </is>
      </c>
      <c r="G209" t="inlineStr">
        <is>
          <t>KRISTINEHAMN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46262</v>
      </c>
      <c r="F210" t="inlineStr">
        <is>
          <t>VÄRMLANDS LÄN</t>
        </is>
      </c>
      <c r="G210" t="inlineStr">
        <is>
          <t>KRISTINEHAMN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46262</v>
      </c>
      <c r="F211" t="inlineStr">
        <is>
          <t>VÄRMLANDS LÄN</t>
        </is>
      </c>
      <c r="G211" t="inlineStr">
        <is>
          <t>KRISTINEHAMN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46262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39779-2023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46262</v>
      </c>
      <c r="F213" t="inlineStr">
        <is>
          <t>VÄRMLANDS LÄN</t>
        </is>
      </c>
      <c r="G213" t="inlineStr">
        <is>
          <t>KRISTINEHAMN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46262</v>
      </c>
      <c r="F214" t="inlineStr">
        <is>
          <t>VÄRMLANDS LÄN</t>
        </is>
      </c>
      <c r="G214" t="inlineStr">
        <is>
          <t>KRISTINEHAMN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46262</v>
      </c>
      <c r="F215" t="inlineStr">
        <is>
          <t>VÄRMLANDS LÄN</t>
        </is>
      </c>
      <c r="G215" t="inlineStr">
        <is>
          <t>KRISTINEHAMN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26042-2022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44734</v>
      </c>
      <c r="E216" s="1" t="n">
        <v>46262</v>
      </c>
      <c r="F216" t="inlineStr">
        <is>
          <t>VÄRMLANDS LÄN</t>
        </is>
      </c>
      <c r="G216" t="inlineStr">
        <is>
          <t>KRISTINEHAMN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45313</v>
      </c>
      <c r="E217" s="1" t="n">
        <v>46262</v>
      </c>
      <c r="F217" t="inlineStr">
        <is>
          <t>VÄRMLANDS LÄN</t>
        </is>
      </c>
      <c r="G217" t="inlineStr">
        <is>
          <t>KRISTINEHAMN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45647</v>
      </c>
      <c r="E218" s="1" t="n">
        <v>46262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54603-2021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46262</v>
      </c>
      <c r="F219" t="inlineStr">
        <is>
          <t>VÄRMLANDS LÄN</t>
        </is>
      </c>
      <c r="G219" t="inlineStr">
        <is>
          <t>KRISTINEHAMN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46262</v>
      </c>
      <c r="F220" t="inlineStr">
        <is>
          <t>VÄRMLANDS LÄN</t>
        </is>
      </c>
      <c r="G220" t="inlineStr">
        <is>
          <t>KRISTINEHAMN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46262</v>
      </c>
      <c r="F221" t="inlineStr">
        <is>
          <t>VÄRMLANDS LÄN</t>
        </is>
      </c>
      <c r="G221" t="inlineStr">
        <is>
          <t>KRISTINEHAMN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46262</v>
      </c>
      <c r="F222" t="inlineStr">
        <is>
          <t>VÄRMLANDS LÄN</t>
        </is>
      </c>
      <c r="G222" t="inlineStr">
        <is>
          <t>KRISTINEHAMN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46262</v>
      </c>
      <c r="F223" t="inlineStr">
        <is>
          <t>VÄRMLANDS LÄN</t>
        </is>
      </c>
      <c r="G223" t="inlineStr">
        <is>
          <t>KRISTINEHAMN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46262</v>
      </c>
      <c r="F224" t="inlineStr">
        <is>
          <t>VÄRMLANDS LÄN</t>
        </is>
      </c>
      <c r="G224" t="inlineStr">
        <is>
          <t>KRISTINEHAMN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13459-2024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45387</v>
      </c>
      <c r="E225" s="1" t="n">
        <v>46262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45770</v>
      </c>
      <c r="E226" s="1" t="n">
        <v>46262</v>
      </c>
      <c r="F226" t="inlineStr">
        <is>
          <t>VÄRMLANDS LÄN</t>
        </is>
      </c>
      <c r="G226" t="inlineStr">
        <is>
          <t>KRISTINEHAMN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46262</v>
      </c>
      <c r="F227" t="inlineStr">
        <is>
          <t>VÄRMLANDS LÄN</t>
        </is>
      </c>
      <c r="G227" t="inlineStr">
        <is>
          <t>KRISTINEHAMN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46262</v>
      </c>
      <c r="F228" t="inlineStr">
        <is>
          <t>VÄRMLANDS LÄN</t>
        </is>
      </c>
      <c r="G228" t="inlineStr">
        <is>
          <t>KRISTINEHAMN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46262</v>
      </c>
      <c r="F229" t="inlineStr">
        <is>
          <t>VÄRMLANDS LÄN</t>
        </is>
      </c>
      <c r="G229" t="inlineStr">
        <is>
          <t>KRISTINEHAMN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45252</v>
      </c>
      <c r="E230" s="1" t="n">
        <v>46262</v>
      </c>
      <c r="F230" t="inlineStr">
        <is>
          <t>VÄRMLANDS LÄN</t>
        </is>
      </c>
      <c r="G230" t="inlineStr">
        <is>
          <t>KRISTINEHAMN</t>
        </is>
      </c>
      <c r="I230" t="n">
        <v>19.4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45208</v>
      </c>
      <c r="E231" s="1" t="n">
        <v>46262</v>
      </c>
      <c r="F231" t="inlineStr">
        <is>
          <t>VÄRMLANDS LÄN</t>
        </is>
      </c>
      <c r="G231" t="inlineStr">
        <is>
          <t>KRISTINEHAMN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46262</v>
      </c>
      <c r="F232" t="inlineStr">
        <is>
          <t>VÄRMLANDS LÄN</t>
        </is>
      </c>
      <c r="G232" t="inlineStr">
        <is>
          <t>KRISTINEHAMN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46262</v>
      </c>
      <c r="F233" t="inlineStr">
        <is>
          <t>VÄRMLANDS LÄN</t>
        </is>
      </c>
      <c r="G233" t="inlineStr">
        <is>
          <t>KRISTINEHAMN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55003-2021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44474</v>
      </c>
      <c r="E234" s="1" t="n">
        <v>46262</v>
      </c>
      <c r="F234" t="inlineStr">
        <is>
          <t>VÄRMLANDS LÄN</t>
        </is>
      </c>
      <c r="G234" t="inlineStr">
        <is>
          <t>KRISTINEHAMN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6259-2026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46051</v>
      </c>
      <c r="E235" s="1" t="n">
        <v>46262</v>
      </c>
      <c r="F235" t="inlineStr">
        <is>
          <t>VÄRMLANDS LÄN</t>
        </is>
      </c>
      <c r="G235" t="inlineStr">
        <is>
          <t>KRISTINEHAMN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46262</v>
      </c>
      <c r="F236" t="inlineStr">
        <is>
          <t>VÄRMLANDS LÄN</t>
        </is>
      </c>
      <c r="G236" t="inlineStr">
        <is>
          <t>KRISTINEHAMN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46262</v>
      </c>
      <c r="F237" t="inlineStr">
        <is>
          <t>VÄRMLANDS LÄN</t>
        </is>
      </c>
      <c r="G237" t="inlineStr">
        <is>
          <t>KRISTINEHAMN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46262</v>
      </c>
      <c r="F238" t="inlineStr">
        <is>
          <t>VÄRMLANDS LÄN</t>
        </is>
      </c>
      <c r="G238" t="inlineStr">
        <is>
          <t>KRISTINEHAMN</t>
        </is>
      </c>
      <c r="I238" t="n">
        <v>15.9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45079</v>
      </c>
      <c r="E239" s="1" t="n">
        <v>46262</v>
      </c>
      <c r="F239" t="inlineStr">
        <is>
          <t>VÄRMLANDS LÄN</t>
        </is>
      </c>
      <c r="G239" t="inlineStr">
        <is>
          <t>KRISTINEHAMN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46262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45366</v>
      </c>
      <c r="E241" s="1" t="n">
        <v>46262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44648</v>
      </c>
      <c r="E242" s="1" t="n">
        <v>46262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46262</v>
      </c>
      <c r="F243" t="inlineStr">
        <is>
          <t>VÄRMLANDS LÄN</t>
        </is>
      </c>
      <c r="G243" t="inlineStr">
        <is>
          <t>KRISTINEHAMN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46262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46262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46262</v>
      </c>
      <c r="F246" t="inlineStr">
        <is>
          <t>VÄRMLANDS LÄN</t>
        </is>
      </c>
      <c r="G246" t="inlineStr">
        <is>
          <t>KRISTINEHAMN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46262</v>
      </c>
      <c r="F247" t="inlineStr">
        <is>
          <t>VÄRMLANDS LÄN</t>
        </is>
      </c>
      <c r="G247" t="inlineStr">
        <is>
          <t>KRISTINEHAMN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54606-2021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44473</v>
      </c>
      <c r="E248" s="1" t="n">
        <v>46262</v>
      </c>
      <c r="F248" t="inlineStr">
        <is>
          <t>VÄRMLANDS LÄN</t>
        </is>
      </c>
      <c r="G248" t="inlineStr">
        <is>
          <t>KRISTINEHAMN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45361</v>
      </c>
      <c r="E249" s="1" t="n">
        <v>46262</v>
      </c>
      <c r="F249" t="inlineStr">
        <is>
          <t>VÄRMLANDS LÄN</t>
        </is>
      </c>
      <c r="G249" t="inlineStr">
        <is>
          <t>KRISTINEHAMN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45098</v>
      </c>
      <c r="E250" s="1" t="n">
        <v>46262</v>
      </c>
      <c r="F250" t="inlineStr">
        <is>
          <t>VÄRMLANDS LÄN</t>
        </is>
      </c>
      <c r="G250" t="inlineStr">
        <is>
          <t>KRISTINEHAMN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45392</v>
      </c>
      <c r="E251" s="1" t="n">
        <v>46262</v>
      </c>
      <c r="F251" t="inlineStr">
        <is>
          <t>VÄRMLANDS LÄN</t>
        </is>
      </c>
      <c r="G251" t="inlineStr">
        <is>
          <t>KRISTINEHAMN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46083</v>
      </c>
      <c r="E252" s="1" t="n">
        <v>46262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45679</v>
      </c>
      <c r="E253" s="1" t="n">
        <v>46262</v>
      </c>
      <c r="F253" t="inlineStr">
        <is>
          <t>VÄRMLANDS LÄN</t>
        </is>
      </c>
      <c r="G253" t="inlineStr">
        <is>
          <t>KRISTINEHAMN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45450</v>
      </c>
      <c r="E254" s="1" t="n">
        <v>46262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Kommuner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68526-2021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44526</v>
      </c>
      <c r="E255" s="1" t="n">
        <v>46262</v>
      </c>
      <c r="F255" t="inlineStr">
        <is>
          <t>VÄRMLANDS LÄN</t>
        </is>
      </c>
      <c r="G255" t="inlineStr">
        <is>
          <t>KRISTINEHAMN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68530-2021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44526</v>
      </c>
      <c r="E256" s="1" t="n">
        <v>46262</v>
      </c>
      <c r="F256" t="inlineStr">
        <is>
          <t>VÄRMLANDS LÄN</t>
        </is>
      </c>
      <c r="G256" t="inlineStr">
        <is>
          <t>KRISTINEHAMN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44712</v>
      </c>
      <c r="E257" s="1" t="n">
        <v>46262</v>
      </c>
      <c r="F257" t="inlineStr">
        <is>
          <t>VÄRMLANDS LÄN</t>
        </is>
      </c>
      <c r="G257" t="inlineStr">
        <is>
          <t>KRISTINEHAMN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46262</v>
      </c>
      <c r="F258" t="inlineStr">
        <is>
          <t>VÄRMLANDS LÄN</t>
        </is>
      </c>
      <c r="G258" t="inlineStr">
        <is>
          <t>KRISTINEHAMN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46262</v>
      </c>
      <c r="F259" t="inlineStr">
        <is>
          <t>VÄRMLANDS LÄN</t>
        </is>
      </c>
      <c r="G259" t="inlineStr">
        <is>
          <t>KRISTINEHAMN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45631</v>
      </c>
      <c r="E260" s="1" t="n">
        <v>46262</v>
      </c>
      <c r="F260" t="inlineStr">
        <is>
          <t>VÄRMLANDS LÄN</t>
        </is>
      </c>
      <c r="G260" t="inlineStr">
        <is>
          <t>KRISTINEHAMN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46262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44753</v>
      </c>
      <c r="E262" s="1" t="n">
        <v>46262</v>
      </c>
      <c r="F262" t="inlineStr">
        <is>
          <t>VÄRMLANDS LÄN</t>
        </is>
      </c>
      <c r="G262" t="inlineStr">
        <is>
          <t>KRISTINEHAMN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46092</v>
      </c>
      <c r="E263" s="1" t="n">
        <v>46262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28472-2024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45477</v>
      </c>
      <c r="E264" s="1" t="n">
        <v>46262</v>
      </c>
      <c r="F264" t="inlineStr">
        <is>
          <t>VÄRMLANDS LÄN</t>
        </is>
      </c>
      <c r="G264" t="inlineStr">
        <is>
          <t>KRISTINEHAMN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46262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46262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46262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46262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44923</v>
      </c>
      <c r="E269" s="1" t="n">
        <v>46262</v>
      </c>
      <c r="F269" t="inlineStr">
        <is>
          <t>VÄRMLANDS LÄN</t>
        </is>
      </c>
      <c r="G269" t="inlineStr">
        <is>
          <t>KRISTINEHAMN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46262</v>
      </c>
      <c r="F270" t="inlineStr">
        <is>
          <t>VÄRMLANDS LÄN</t>
        </is>
      </c>
      <c r="G270" t="inlineStr">
        <is>
          <t>KRISTINEHAMN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45268</v>
      </c>
      <c r="E271" s="1" t="n">
        <v>46262</v>
      </c>
      <c r="F271" t="inlineStr">
        <is>
          <t>VÄRMLANDS LÄN</t>
        </is>
      </c>
      <c r="G271" t="inlineStr">
        <is>
          <t>KRISTINEHAMN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45359</v>
      </c>
      <c r="E272" s="1" t="n">
        <v>46262</v>
      </c>
      <c r="F272" t="inlineStr">
        <is>
          <t>VÄRMLANDS LÄN</t>
        </is>
      </c>
      <c r="G272" t="inlineStr">
        <is>
          <t>KRISTINEHAMN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52750-2021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44466</v>
      </c>
      <c r="E273" s="1" t="n">
        <v>46262</v>
      </c>
      <c r="F273" t="inlineStr">
        <is>
          <t>VÄRMLANDS LÄN</t>
        </is>
      </c>
      <c r="G273" t="inlineStr">
        <is>
          <t>KRISTINEHAMN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46262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46262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46262</v>
      </c>
      <c r="F276" t="inlineStr">
        <is>
          <t>VÄRMLANDS LÄN</t>
        </is>
      </c>
      <c r="G276" t="inlineStr">
        <is>
          <t>KRISTINEHAMN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15646-2026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46106</v>
      </c>
      <c r="E277" s="1" t="n">
        <v>46262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46262</v>
      </c>
      <c r="F278" t="inlineStr">
        <is>
          <t>VÄRMLANDS LÄN</t>
        </is>
      </c>
      <c r="G278" t="inlineStr">
        <is>
          <t>KRISTINEHAMN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46262</v>
      </c>
      <c r="F279" t="inlineStr">
        <is>
          <t>VÄRMLANDS LÄN</t>
        </is>
      </c>
      <c r="G279" t="inlineStr">
        <is>
          <t>KRISTINEHAMN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46262</v>
      </c>
      <c r="F280" t="inlineStr">
        <is>
          <t>VÄRMLANDS LÄN</t>
        </is>
      </c>
      <c r="G280" t="inlineStr">
        <is>
          <t>KRISTINEHAMN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44489</v>
      </c>
      <c r="E281" s="1" t="n">
        <v>46262</v>
      </c>
      <c r="F281" t="inlineStr">
        <is>
          <t>VÄRMLANDS LÄN</t>
        </is>
      </c>
      <c r="G281" t="inlineStr">
        <is>
          <t>KRISTINEHAMN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46262</v>
      </c>
      <c r="F282" t="inlineStr">
        <is>
          <t>VÄRMLANDS LÄN</t>
        </is>
      </c>
      <c r="G282" t="inlineStr">
        <is>
          <t>KRISTINEHAMN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46262</v>
      </c>
      <c r="F283" t="inlineStr">
        <is>
          <t>VÄRMLANDS LÄN</t>
        </is>
      </c>
      <c r="G283" t="inlineStr">
        <is>
          <t>KRISTINEHAMN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32821-2023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45112</v>
      </c>
      <c r="E284" s="1" t="n">
        <v>46262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Kommuner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46262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18909-2026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46129</v>
      </c>
      <c r="E286" s="1" t="n">
        <v>46262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46262</v>
      </c>
      <c r="F287" t="inlineStr">
        <is>
          <t>VÄRMLANDS LÄN</t>
        </is>
      </c>
      <c r="G287" t="inlineStr">
        <is>
          <t>KRISTINEHAMN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45268</v>
      </c>
      <c r="E288" s="1" t="n">
        <v>46262</v>
      </c>
      <c r="F288" t="inlineStr">
        <is>
          <t>VÄRMLANDS LÄN</t>
        </is>
      </c>
      <c r="G288" t="inlineStr">
        <is>
          <t>KRISTINEHAMN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32821-2023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45112</v>
      </c>
      <c r="E289" s="1" t="n">
        <v>46262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45461</v>
      </c>
      <c r="E290" s="1" t="n">
        <v>46262</v>
      </c>
      <c r="F290" t="inlineStr">
        <is>
          <t>VÄRMLANDS LÄN</t>
        </is>
      </c>
      <c r="G290" t="inlineStr">
        <is>
          <t>KRISTINEHAMN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19226-2026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46262</v>
      </c>
      <c r="F291" t="inlineStr">
        <is>
          <t>VÄRMLANDS LÄN</t>
        </is>
      </c>
      <c r="G291" t="inlineStr">
        <is>
          <t>KRISTINEHAMN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45313</v>
      </c>
      <c r="E292" s="1" t="n">
        <v>46262</v>
      </c>
      <c r="F292" t="inlineStr">
        <is>
          <t>VÄRMLANDS LÄN</t>
        </is>
      </c>
      <c r="G292" t="inlineStr">
        <is>
          <t>KRISTINEHAMN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44595</v>
      </c>
      <c r="E293" s="1" t="n">
        <v>46262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Kommuner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44595</v>
      </c>
      <c r="E294" s="1" t="n">
        <v>46262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Kommuner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46262</v>
      </c>
      <c r="F295" t="inlineStr">
        <is>
          <t>VÄRMLANDS LÄN</t>
        </is>
      </c>
      <c r="G295" t="inlineStr">
        <is>
          <t>KRISTINEHAMN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26028-2025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46262</v>
      </c>
      <c r="F296" t="inlineStr">
        <is>
          <t>VÄRMLANDS LÄN</t>
        </is>
      </c>
      <c r="G296" t="inlineStr">
        <is>
          <t>KRISTINEHAMN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44855</v>
      </c>
      <c r="E297" s="1" t="n">
        <v>46262</v>
      </c>
      <c r="F297" t="inlineStr">
        <is>
          <t>VÄRMLANDS LÄN</t>
        </is>
      </c>
      <c r="G297" t="inlineStr">
        <is>
          <t>KRISTINEHAMN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46262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59203-2024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46262</v>
      </c>
      <c r="F299" t="inlineStr">
        <is>
          <t>VÄRMLANDS LÄN</t>
        </is>
      </c>
      <c r="G299" t="inlineStr">
        <is>
          <t>KRISTINEHAMN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20102-2026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46262</v>
      </c>
      <c r="F300" t="inlineStr">
        <is>
          <t>VÄRMLANDS LÄN</t>
        </is>
      </c>
      <c r="G300" t="inlineStr">
        <is>
          <t>KRISTINEHAMN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47951-2021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44448</v>
      </c>
      <c r="E301" s="1" t="n">
        <v>46262</v>
      </c>
      <c r="F301" t="inlineStr">
        <is>
          <t>VÄRMLANDS LÄN</t>
        </is>
      </c>
      <c r="G301" t="inlineStr">
        <is>
          <t>KRISTINEHAMN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46262</v>
      </c>
      <c r="F302" t="inlineStr">
        <is>
          <t>VÄRMLANDS LÄN</t>
        </is>
      </c>
      <c r="G302" t="inlineStr">
        <is>
          <t>KRISTINEHAMN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45478</v>
      </c>
      <c r="E303" s="1" t="n">
        <v>46262</v>
      </c>
      <c r="F303" t="inlineStr">
        <is>
          <t>VÄRMLANDS LÄN</t>
        </is>
      </c>
      <c r="G303" t="inlineStr">
        <is>
          <t>KRISTINEHAMN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46262</v>
      </c>
      <c r="F304" t="inlineStr">
        <is>
          <t>VÄRMLANDS LÄN</t>
        </is>
      </c>
      <c r="G304" t="inlineStr">
        <is>
          <t>KRISTINEHAMN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46262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Naturvårdsverket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45315</v>
      </c>
      <c r="E306" s="1" t="n">
        <v>46262</v>
      </c>
      <c r="F306" t="inlineStr">
        <is>
          <t>VÄRMLANDS LÄN</t>
        </is>
      </c>
      <c r="G306" t="inlineStr">
        <is>
          <t>KRISTINEHAMN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46262</v>
      </c>
      <c r="F307" t="inlineStr">
        <is>
          <t>VÄRMLANDS LÄN</t>
        </is>
      </c>
      <c r="G307" t="inlineStr">
        <is>
          <t>KRISTINEHAMN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46262</v>
      </c>
      <c r="F308" t="inlineStr">
        <is>
          <t>VÄRMLANDS LÄN</t>
        </is>
      </c>
      <c r="G308" t="inlineStr">
        <is>
          <t>KRISTINEHAMN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45756</v>
      </c>
      <c r="E309" s="1" t="n">
        <v>46262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44746</v>
      </c>
      <c r="E310" s="1" t="n">
        <v>46262</v>
      </c>
      <c r="F310" t="inlineStr">
        <is>
          <t>VÄRMLANDS LÄN</t>
        </is>
      </c>
      <c r="G310" t="inlineStr">
        <is>
          <t>KRISTINEHAMN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46262</v>
      </c>
      <c r="F311" t="inlineStr">
        <is>
          <t>VÄRMLANDS LÄN</t>
        </is>
      </c>
      <c r="G311" t="inlineStr">
        <is>
          <t>KRISTINEHAMN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44941</v>
      </c>
      <c r="E312" s="1" t="n">
        <v>46262</v>
      </c>
      <c r="F312" t="inlineStr">
        <is>
          <t>VÄRMLANDS LÄN</t>
        </is>
      </c>
      <c r="G312" t="inlineStr">
        <is>
          <t>KRISTINEHAMN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46262</v>
      </c>
      <c r="F313" t="inlineStr">
        <is>
          <t>VÄRMLANDS LÄN</t>
        </is>
      </c>
      <c r="G313" t="inlineStr">
        <is>
          <t>KRISTINEHAMN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45121</v>
      </c>
      <c r="E314" s="1" t="n">
        <v>46262</v>
      </c>
      <c r="F314" t="inlineStr">
        <is>
          <t>VÄRMLANDS LÄN</t>
        </is>
      </c>
      <c r="G314" t="inlineStr">
        <is>
          <t>KRISTINEHAMN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46262</v>
      </c>
      <c r="F315" t="inlineStr">
        <is>
          <t>VÄRMLANDS LÄN</t>
        </is>
      </c>
      <c r="G315" t="inlineStr">
        <is>
          <t>KRISTINEHAMN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46262</v>
      </c>
      <c r="F316" t="inlineStr">
        <is>
          <t>VÄRMLANDS LÄN</t>
        </is>
      </c>
      <c r="G316" t="inlineStr">
        <is>
          <t>KRISTINEHAMN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46262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46262</v>
      </c>
      <c r="F318" t="inlineStr">
        <is>
          <t>VÄRMLANDS LÄN</t>
        </is>
      </c>
      <c r="G318" t="inlineStr">
        <is>
          <t>KRISTINEHAMN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45450</v>
      </c>
      <c r="E319" s="1" t="n">
        <v>46262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Kommuner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48573-2024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45593</v>
      </c>
      <c r="E320" s="1" t="n">
        <v>46262</v>
      </c>
      <c r="F320" t="inlineStr">
        <is>
          <t>VÄRMLANDS LÄN</t>
        </is>
      </c>
      <c r="G320" t="inlineStr">
        <is>
          <t>KRISTINEHAMN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46262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46262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20686-2026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46262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Naturvårdsverket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46262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46262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14.2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45154</v>
      </c>
      <c r="E326" s="1" t="n">
        <v>46262</v>
      </c>
      <c r="F326" t="inlineStr">
        <is>
          <t>VÄRMLANDS LÄN</t>
        </is>
      </c>
      <c r="G326" t="inlineStr">
        <is>
          <t>KRISTINEHAMN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46262</v>
      </c>
      <c r="F327" t="inlineStr">
        <is>
          <t>VÄRMLANDS LÄN</t>
        </is>
      </c>
      <c r="G327" t="inlineStr">
        <is>
          <t>KRISTINEHAMN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45127</v>
      </c>
      <c r="E328" s="1" t="n">
        <v>46262</v>
      </c>
      <c r="F328" t="inlineStr">
        <is>
          <t>VÄRMLANDS LÄN</t>
        </is>
      </c>
      <c r="G328" t="inlineStr">
        <is>
          <t>KRISTINEHAMN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46262</v>
      </c>
      <c r="F329" t="inlineStr">
        <is>
          <t>VÄRMLANDS LÄN</t>
        </is>
      </c>
      <c r="G329" t="inlineStr">
        <is>
          <t>KRISTINEHAMN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45827</v>
      </c>
      <c r="E330" s="1" t="n">
        <v>46262</v>
      </c>
      <c r="F330" t="inlineStr">
        <is>
          <t>VÄRMLANDS LÄN</t>
        </is>
      </c>
      <c r="G330" t="inlineStr">
        <is>
          <t>KRISTINEHAMN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42408-2022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44831</v>
      </c>
      <c r="E331" s="1" t="n">
        <v>46262</v>
      </c>
      <c r="F331" t="inlineStr">
        <is>
          <t>VÄRMLANDS LÄN</t>
        </is>
      </c>
      <c r="G331" t="inlineStr">
        <is>
          <t>KRISTINEHAMN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39157-2025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46262</v>
      </c>
      <c r="F332" t="inlineStr">
        <is>
          <t>VÄRMLANDS LÄN</t>
        </is>
      </c>
      <c r="G332" t="inlineStr">
        <is>
          <t>KRISTINEHAMN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24710-2024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45460</v>
      </c>
      <c r="E333" s="1" t="n">
        <v>46262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46262</v>
      </c>
      <c r="F334" t="inlineStr">
        <is>
          <t>VÄRMLANDS LÄN</t>
        </is>
      </c>
      <c r="G334" t="inlineStr">
        <is>
          <t>KRISTINEHAMN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46262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61942-2022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44918</v>
      </c>
      <c r="E336" s="1" t="n">
        <v>46262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Kommuner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41857-2023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45176</v>
      </c>
      <c r="E337" s="1" t="n">
        <v>46262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Naturvårdsverket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46146</v>
      </c>
      <c r="E338" s="1" t="n">
        <v>46262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Sveaskog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22060-2026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46149</v>
      </c>
      <c r="E339" s="1" t="n">
        <v>46262</v>
      </c>
      <c r="F339" t="inlineStr">
        <is>
          <t>VÄRMLANDS LÄN</t>
        </is>
      </c>
      <c r="G339" t="inlineStr">
        <is>
          <t>KRISTINEHAMN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46262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46262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46262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46262</v>
      </c>
      <c r="F343" t="inlineStr">
        <is>
          <t>VÄRMLANDS LÄN</t>
        </is>
      </c>
      <c r="G343" t="inlineStr">
        <is>
          <t>KRISTINEHAMN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46262</v>
      </c>
      <c r="F344" t="inlineStr">
        <is>
          <t>VÄRMLANDS LÄN</t>
        </is>
      </c>
      <c r="G344" t="inlineStr">
        <is>
          <t>KRISTINEHAMN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46150</v>
      </c>
      <c r="E345" s="1" t="n">
        <v>46262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46262</v>
      </c>
      <c r="F346" t="inlineStr">
        <is>
          <t>VÄRMLANDS LÄN</t>
        </is>
      </c>
      <c r="G346" t="inlineStr">
        <is>
          <t>KRISTINEHAMN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44722</v>
      </c>
      <c r="E347" s="1" t="n">
        <v>46262</v>
      </c>
      <c r="F347" t="inlineStr">
        <is>
          <t>VÄRMLANDS LÄN</t>
        </is>
      </c>
      <c r="G347" t="inlineStr">
        <is>
          <t>KRISTINEHAMN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45002</v>
      </c>
      <c r="E348" s="1" t="n">
        <v>46262</v>
      </c>
      <c r="F348" t="inlineStr">
        <is>
          <t>VÄRMLANDS LÄN</t>
        </is>
      </c>
      <c r="G348" t="inlineStr">
        <is>
          <t>KRISTINEHAMN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17110-2022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46262</v>
      </c>
      <c r="F349" t="inlineStr">
        <is>
          <t>VÄRMLANDS LÄN</t>
        </is>
      </c>
      <c r="G349" t="inlineStr">
        <is>
          <t>KRISTINEHAMN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21842-2026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46262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47398-2023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45202</v>
      </c>
      <c r="E351" s="1" t="n">
        <v>46262</v>
      </c>
      <c r="F351" t="inlineStr">
        <is>
          <t>VÄRMLANDS LÄN</t>
        </is>
      </c>
      <c r="G351" t="inlineStr">
        <is>
          <t>KRISTINEHAMN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46262</v>
      </c>
      <c r="F352" t="inlineStr">
        <is>
          <t>VÄRMLANDS LÄN</t>
        </is>
      </c>
      <c r="G352" t="inlineStr">
        <is>
          <t>KRISTINEHAMN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46154</v>
      </c>
      <c r="E353" s="1" t="n">
        <v>46262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45302</v>
      </c>
      <c r="E354" s="1" t="n">
        <v>46262</v>
      </c>
      <c r="F354" t="inlineStr">
        <is>
          <t>VÄRMLANDS LÄN</t>
        </is>
      </c>
      <c r="G354" t="inlineStr">
        <is>
          <t>KRISTINEHAMN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45341</v>
      </c>
      <c r="E355" s="1" t="n">
        <v>46262</v>
      </c>
      <c r="F355" t="inlineStr">
        <is>
          <t>VÄRMLANDS LÄN</t>
        </is>
      </c>
      <c r="G355" t="inlineStr">
        <is>
          <t>KRISTINEHAMN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45569</v>
      </c>
      <c r="E356" s="1" t="n">
        <v>46262</v>
      </c>
      <c r="F356" t="inlineStr">
        <is>
          <t>VÄRMLANDS LÄN</t>
        </is>
      </c>
      <c r="G356" t="inlineStr">
        <is>
          <t>KRISTINEHAMN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15860-2023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45022</v>
      </c>
      <c r="E357" s="1" t="n">
        <v>46262</v>
      </c>
      <c r="F357" t="inlineStr">
        <is>
          <t>VÄRMLANDS LÄN</t>
        </is>
      </c>
      <c r="G357" t="inlineStr">
        <is>
          <t>KRISTINEHAMN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46262</v>
      </c>
      <c r="F358" t="inlineStr">
        <is>
          <t>VÄRMLANDS LÄN</t>
        </is>
      </c>
      <c r="G358" t="inlineStr">
        <is>
          <t>KRISTINEHAMN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46262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14340-2024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45393</v>
      </c>
      <c r="E360" s="1" t="n">
        <v>46262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46262</v>
      </c>
      <c r="F361" t="inlineStr">
        <is>
          <t>VÄRMLANDS LÄN</t>
        </is>
      </c>
      <c r="G361" t="inlineStr">
        <is>
          <t>KRISTINEHAMN</t>
        </is>
      </c>
      <c r="I361" t="n">
        <v>8.199999999999999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45058</v>
      </c>
      <c r="E362" s="1" t="n">
        <v>46262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21688-2024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45442</v>
      </c>
      <c r="E363" s="1" t="n">
        <v>46262</v>
      </c>
      <c r="F363" t="inlineStr">
        <is>
          <t>VÄRMLANDS LÄN</t>
        </is>
      </c>
      <c r="G363" t="inlineStr">
        <is>
          <t>KRISTINEHAMN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54548-2023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46262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54552-2023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45226</v>
      </c>
      <c r="E365" s="1" t="n">
        <v>46262</v>
      </c>
      <c r="F365" t="inlineStr">
        <is>
          <t>VÄRMLANDS LÄN</t>
        </is>
      </c>
      <c r="G365" t="inlineStr">
        <is>
          <t>KRISTINEHAMN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46262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45260</v>
      </c>
      <c r="E367" s="1" t="n">
        <v>46262</v>
      </c>
      <c r="F367" t="inlineStr">
        <is>
          <t>VÄRMLANDS LÄN</t>
        </is>
      </c>
      <c r="G367" t="inlineStr">
        <is>
          <t>KRISTINEHAMN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45679</v>
      </c>
      <c r="E368" s="1" t="n">
        <v>46262</v>
      </c>
      <c r="F368" t="inlineStr">
        <is>
          <t>VÄRMLANDS LÄN</t>
        </is>
      </c>
      <c r="G368" t="inlineStr">
        <is>
          <t>KRISTINEHAMN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45379</v>
      </c>
      <c r="E369" s="1" t="n">
        <v>46262</v>
      </c>
      <c r="F369" t="inlineStr">
        <is>
          <t>VÄRMLANDS LÄN</t>
        </is>
      </c>
      <c r="G369" t="inlineStr">
        <is>
          <t>KRISTINEHAMN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45379</v>
      </c>
      <c r="E370" s="1" t="n">
        <v>46262</v>
      </c>
      <c r="F370" t="inlineStr">
        <is>
          <t>VÄRMLANDS LÄN</t>
        </is>
      </c>
      <c r="G370" t="inlineStr">
        <is>
          <t>KRISTINEHAMN</t>
        </is>
      </c>
      <c r="I370" t="n">
        <v>12.6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24570-2026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46170</v>
      </c>
      <c r="E371" s="1" t="n">
        <v>46262</v>
      </c>
      <c r="F371" t="inlineStr">
        <is>
          <t>VÄRMLANDS LÄN</t>
        </is>
      </c>
      <c r="G371" t="inlineStr">
        <is>
          <t>KRISTINEHAMN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46262</v>
      </c>
      <c r="F372" t="inlineStr">
        <is>
          <t>VÄRMLANDS LÄN</t>
        </is>
      </c>
      <c r="G372" t="inlineStr">
        <is>
          <t>KRISTINEHAMN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46171</v>
      </c>
      <c r="E373" s="1" t="n">
        <v>46262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Sveaskog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54690-2022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44883</v>
      </c>
      <c r="E374" s="1" t="n">
        <v>46262</v>
      </c>
      <c r="F374" t="inlineStr">
        <is>
          <t>VÄRMLANDS LÄN</t>
        </is>
      </c>
      <c r="G374" t="inlineStr">
        <is>
          <t>KRISTINEHAMN</t>
        </is>
      </c>
      <c r="I374" t="n">
        <v>11.1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46262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22896-2023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45072</v>
      </c>
      <c r="E376" s="1" t="n">
        <v>46262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10032-2023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44985</v>
      </c>
      <c r="E377" s="1" t="n">
        <v>46262</v>
      </c>
      <c r="F377" t="inlineStr">
        <is>
          <t>VÄRMLANDS LÄN</t>
        </is>
      </c>
      <c r="G377" t="inlineStr">
        <is>
          <t>KRISTINEHAMN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25258-2026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46175</v>
      </c>
      <c r="E378" s="1" t="n">
        <v>46262</v>
      </c>
      <c r="F378" t="inlineStr">
        <is>
          <t>VÄRMLANDS LÄN</t>
        </is>
      </c>
      <c r="G378" t="inlineStr">
        <is>
          <t>KRISTINEHAMN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45202</v>
      </c>
      <c r="E379" s="1" t="n">
        <v>46262</v>
      </c>
      <c r="F379" t="inlineStr">
        <is>
          <t>VÄRMLANDS LÄN</t>
        </is>
      </c>
      <c r="G379" t="inlineStr">
        <is>
          <t>KRISTINEHAMN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44851</v>
      </c>
      <c r="E380" s="1" t="n">
        <v>46262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Kommuner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46262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25570-2023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45082</v>
      </c>
      <c r="E382" s="1" t="n">
        <v>46262</v>
      </c>
      <c r="F382" t="inlineStr">
        <is>
          <t>VÄRMLANDS LÄN</t>
        </is>
      </c>
      <c r="G382" t="inlineStr">
        <is>
          <t>KRISTINEHAMN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12319-2022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44637</v>
      </c>
      <c r="E383" s="1" t="n">
        <v>46262</v>
      </c>
      <c r="F383" t="inlineStr">
        <is>
          <t>VÄRMLANDS LÄN</t>
        </is>
      </c>
      <c r="G383" t="inlineStr">
        <is>
          <t>KRISTINEHAMN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45690-2021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44441</v>
      </c>
      <c r="E384" s="1" t="n">
        <v>46262</v>
      </c>
      <c r="F384" t="inlineStr">
        <is>
          <t>VÄRMLANDS LÄN</t>
        </is>
      </c>
      <c r="G384" t="inlineStr">
        <is>
          <t>KRISTINEHAMN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45513</v>
      </c>
      <c r="E385" s="1" t="n">
        <v>46262</v>
      </c>
      <c r="F385" t="inlineStr">
        <is>
          <t>VÄRMLANDS LÄN</t>
        </is>
      </c>
      <c r="G385" t="inlineStr">
        <is>
          <t>KRISTINEHAMN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34893-2023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45141</v>
      </c>
      <c r="E386" s="1" t="n">
        <v>46262</v>
      </c>
      <c r="F386" t="inlineStr">
        <is>
          <t>VÄRMLANDS LÄN</t>
        </is>
      </c>
      <c r="G386" t="inlineStr">
        <is>
          <t>KRISTINEHAMN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45386</v>
      </c>
      <c r="E387" s="1" t="n">
        <v>46262</v>
      </c>
      <c r="F387" t="inlineStr">
        <is>
          <t>VÄRMLANDS LÄN</t>
        </is>
      </c>
      <c r="G387" t="inlineStr">
        <is>
          <t>KRISTINEHAMN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44749</v>
      </c>
      <c r="E388" s="1" t="n">
        <v>46262</v>
      </c>
      <c r="F388" t="inlineStr">
        <is>
          <t>VÄRMLANDS LÄN</t>
        </is>
      </c>
      <c r="G388" t="inlineStr">
        <is>
          <t>KRISTINEHAMN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2522-2026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46037</v>
      </c>
      <c r="E389" s="1" t="n">
        <v>46262</v>
      </c>
      <c r="F389" t="inlineStr">
        <is>
          <t>VÄRMLANDS LÄN</t>
        </is>
      </c>
      <c r="G389" t="inlineStr">
        <is>
          <t>KRISTINEHAMN</t>
        </is>
      </c>
      <c r="I389" t="n">
        <v>11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44985</v>
      </c>
      <c r="E390" s="1" t="n">
        <v>46262</v>
      </c>
      <c r="F390" t="inlineStr">
        <is>
          <t>VÄRMLANDS LÄN</t>
        </is>
      </c>
      <c r="G390" t="inlineStr">
        <is>
          <t>KRISTINEHAMN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46262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31829-2026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46230</v>
      </c>
      <c r="E392" s="1" t="n">
        <v>46262</v>
      </c>
      <c r="F392" t="inlineStr">
        <is>
          <t>VÄRMLANDS LÄN</t>
        </is>
      </c>
      <c r="G392" t="inlineStr">
        <is>
          <t>KRISTINEHAMN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46262</v>
      </c>
      <c r="F393" t="inlineStr">
        <is>
          <t>VÄRMLANDS LÄN</t>
        </is>
      </c>
      <c r="G393" t="inlineStr">
        <is>
          <t>KRISTINEHAMN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62453-2022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44924</v>
      </c>
      <c r="E394" s="1" t="n">
        <v>46262</v>
      </c>
      <c r="F394" t="inlineStr">
        <is>
          <t>VÄRMLANDS LÄN</t>
        </is>
      </c>
      <c r="G394" t="inlineStr">
        <is>
          <t>KRISTINEHAMN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48405-2023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45201</v>
      </c>
      <c r="E395" s="1" t="n">
        <v>46262</v>
      </c>
      <c r="F395" t="inlineStr">
        <is>
          <t>VÄRMLANDS LÄN</t>
        </is>
      </c>
      <c r="G395" t="inlineStr">
        <is>
          <t>KRISTINEHAMN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46262</v>
      </c>
      <c r="F396" t="inlineStr">
        <is>
          <t>VÄRMLANDS LÄN</t>
        </is>
      </c>
      <c r="G396" t="inlineStr">
        <is>
          <t>KRISTINEHAMN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46262</v>
      </c>
      <c r="F397" t="inlineStr">
        <is>
          <t>VÄRMLANDS LÄN</t>
        </is>
      </c>
      <c r="G397" t="inlineStr">
        <is>
          <t>KRISTINEHAMN</t>
        </is>
      </c>
      <c r="I397" t="n">
        <v>13.2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29017-2023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46262</v>
      </c>
      <c r="F398" t="inlineStr">
        <is>
          <t>VÄRMLANDS LÄN</t>
        </is>
      </c>
      <c r="G398" t="inlineStr">
        <is>
          <t>KRISTINEHAMN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46262</v>
      </c>
      <c r="F399" t="inlineStr">
        <is>
          <t>VÄRMLANDS LÄN</t>
        </is>
      </c>
      <c r="G399" t="inlineStr">
        <is>
          <t>KRISTINEHAMN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27563-2026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46262</v>
      </c>
      <c r="F400" t="inlineStr">
        <is>
          <t>VÄRMLANDS LÄN</t>
        </is>
      </c>
      <c r="G400" t="inlineStr">
        <is>
          <t>KRISTINEHAMN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10522-2024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45366</v>
      </c>
      <c r="E401" s="1" t="n">
        <v>46262</v>
      </c>
      <c r="F401" t="inlineStr">
        <is>
          <t>VÄRMLANDS LÄN</t>
        </is>
      </c>
      <c r="G401" t="inlineStr">
        <is>
          <t>KRISTINEHAMN</t>
        </is>
      </c>
      <c r="I401" t="n">
        <v>19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62623-2023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46262</v>
      </c>
      <c r="F402" t="inlineStr">
        <is>
          <t>VÄRMLANDS LÄN</t>
        </is>
      </c>
      <c r="G402" t="inlineStr">
        <is>
          <t>KRISTINEHAMN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61988-2023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46262</v>
      </c>
      <c r="F403" t="inlineStr">
        <is>
          <t>VÄRMLANDS LÄN</t>
        </is>
      </c>
      <c r="G403" t="inlineStr">
        <is>
          <t>KRISTINEHAMN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45656</v>
      </c>
      <c r="E404" s="1" t="n">
        <v>46262</v>
      </c>
      <c r="F404" t="inlineStr">
        <is>
          <t>VÄRMLANDS LÄN</t>
        </is>
      </c>
      <c r="G404" t="inlineStr">
        <is>
          <t>KRISTINEHAMN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59144-2021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44490</v>
      </c>
      <c r="E405" s="1" t="n">
        <v>46262</v>
      </c>
      <c r="F405" t="inlineStr">
        <is>
          <t>VÄRMLANDS LÄN</t>
        </is>
      </c>
      <c r="G405" t="inlineStr">
        <is>
          <t>KRISTINEHAMN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45323</v>
      </c>
      <c r="E406" s="1" t="n">
        <v>46262</v>
      </c>
      <c r="F406" t="inlineStr">
        <is>
          <t>VÄRMLANDS LÄN</t>
        </is>
      </c>
      <c r="G406" t="inlineStr">
        <is>
          <t>KRISTINEHAMN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14183-2022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44651</v>
      </c>
      <c r="E407" s="1" t="n">
        <v>46262</v>
      </c>
      <c r="F407" t="inlineStr">
        <is>
          <t>VÄRMLANDS LÄN</t>
        </is>
      </c>
      <c r="G407" t="inlineStr">
        <is>
          <t>KRISTINEHAMN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45379</v>
      </c>
      <c r="E408" s="1" t="n">
        <v>46262</v>
      </c>
      <c r="F408" t="inlineStr">
        <is>
          <t>VÄRMLANDS LÄN</t>
        </is>
      </c>
      <c r="G408" t="inlineStr">
        <is>
          <t>KRISTINEHAMN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60567-2024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45644</v>
      </c>
      <c r="E409" s="1" t="n">
        <v>46262</v>
      </c>
      <c r="F409" t="inlineStr">
        <is>
          <t>VÄRMLANDS LÄN</t>
        </is>
      </c>
      <c r="G409" t="inlineStr">
        <is>
          <t>KRISTINEHAMN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44722</v>
      </c>
      <c r="E410" s="1" t="n">
        <v>46262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45685</v>
      </c>
      <c r="E411" s="1" t="n">
        <v>46262</v>
      </c>
      <c r="F411" t="inlineStr">
        <is>
          <t>VÄRMLANDS LÄN</t>
        </is>
      </c>
      <c r="G411" t="inlineStr">
        <is>
          <t>KRISTINEHAMN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45705</v>
      </c>
      <c r="E412" s="1" t="n">
        <v>46262</v>
      </c>
      <c r="F412" t="inlineStr">
        <is>
          <t>VÄRMLANDS LÄN</t>
        </is>
      </c>
      <c r="G412" t="inlineStr">
        <is>
          <t>KRISTINEHAMN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46262</v>
      </c>
      <c r="F413" t="inlineStr">
        <is>
          <t>VÄRMLANDS LÄN</t>
        </is>
      </c>
      <c r="G413" t="inlineStr">
        <is>
          <t>KRISTINEHAMN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70126-2021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44533</v>
      </c>
      <c r="E414" s="1" t="n">
        <v>46262</v>
      </c>
      <c r="F414" t="inlineStr">
        <is>
          <t>VÄRMLANDS LÄN</t>
        </is>
      </c>
      <c r="G414" t="inlineStr">
        <is>
          <t>KRISTINEHAMN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46526-2022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44847</v>
      </c>
      <c r="E415" s="1" t="n">
        <v>46262</v>
      </c>
      <c r="F415" t="inlineStr">
        <is>
          <t>VÄRMLANDS LÄN</t>
        </is>
      </c>
      <c r="G415" t="inlineStr">
        <is>
          <t>KRISTINEHAMN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45595</v>
      </c>
      <c r="E416" s="1" t="n">
        <v>46262</v>
      </c>
      <c r="F416" t="inlineStr">
        <is>
          <t>VÄRMLANDS LÄN</t>
        </is>
      </c>
      <c r="G416" t="inlineStr">
        <is>
          <t>KRISTINEHAMN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45081</v>
      </c>
      <c r="E417" s="1" t="n">
        <v>46262</v>
      </c>
      <c r="F417" t="inlineStr">
        <is>
          <t>VÄRMLANDS LÄN</t>
        </is>
      </c>
      <c r="G417" t="inlineStr">
        <is>
          <t>KRISTINEHAMN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46262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Naturvårdsverket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44994</v>
      </c>
      <c r="E419" s="1" t="n">
        <v>46262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46262</v>
      </c>
      <c r="F420" t="inlineStr">
        <is>
          <t>VÄRMLANDS LÄN</t>
        </is>
      </c>
      <c r="G420" t="inlineStr">
        <is>
          <t>KRISTINEHAMN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46262</v>
      </c>
      <c r="F421" t="inlineStr">
        <is>
          <t>VÄRMLANDS LÄN</t>
        </is>
      </c>
      <c r="G421" t="inlineStr">
        <is>
          <t>KRISTINEHAMN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45243</v>
      </c>
      <c r="E422" s="1" t="n">
        <v>46262</v>
      </c>
      <c r="F422" t="inlineStr">
        <is>
          <t>VÄRMLANDS LÄN</t>
        </is>
      </c>
      <c r="G422" t="inlineStr">
        <is>
          <t>KRISTINEHAMN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56522-2021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44480</v>
      </c>
      <c r="E423" s="1" t="n">
        <v>46262</v>
      </c>
      <c r="F423" t="inlineStr">
        <is>
          <t>VÄRMLANDS LÄN</t>
        </is>
      </c>
      <c r="G423" t="inlineStr">
        <is>
          <t>KRISTINEHAMN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45315</v>
      </c>
      <c r="E424" s="1" t="n">
        <v>46262</v>
      </c>
      <c r="F424" t="inlineStr">
        <is>
          <t>VÄRMLANDS LÄN</t>
        </is>
      </c>
      <c r="G424" t="inlineStr">
        <is>
          <t>KRISTINEHAMN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45344</v>
      </c>
      <c r="E425" s="1" t="n">
        <v>46262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Naturvårdsverket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46262</v>
      </c>
      <c r="F426" t="inlineStr">
        <is>
          <t>VÄRMLANDS LÄN</t>
        </is>
      </c>
      <c r="G426" t="inlineStr">
        <is>
          <t>KRISTINEHAMN</t>
        </is>
      </c>
      <c r="I426" t="n">
        <v>9.6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56661-2023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46262</v>
      </c>
      <c r="F427" t="inlineStr">
        <is>
          <t>VÄRMLANDS LÄN</t>
        </is>
      </c>
      <c r="G427" t="inlineStr">
        <is>
          <t>KRISTINEHAMN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46262</v>
      </c>
      <c r="F428" t="inlineStr">
        <is>
          <t>VÄRMLANDS LÄN</t>
        </is>
      </c>
      <c r="G428" t="inlineStr">
        <is>
          <t>KRISTINEHAMN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33464-2023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45118</v>
      </c>
      <c r="E429" s="1" t="n">
        <v>46262</v>
      </c>
      <c r="F429" t="inlineStr">
        <is>
          <t>VÄRMLANDS LÄN</t>
        </is>
      </c>
      <c r="G429" t="inlineStr">
        <is>
          <t>KRISTINEHAMN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45769</v>
      </c>
      <c r="E430" s="1" t="n">
        <v>46262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Kyrkan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45159</v>
      </c>
      <c r="E431" s="1" t="n">
        <v>46262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56697-2022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44888</v>
      </c>
      <c r="E432" s="1" t="n">
        <v>46262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46262</v>
      </c>
      <c r="F433" t="inlineStr">
        <is>
          <t>VÄRMLANDS LÄN</t>
        </is>
      </c>
      <c r="G433" t="inlineStr">
        <is>
          <t>KRISTINEHAMN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23707-2022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46262</v>
      </c>
      <c r="F434" t="inlineStr">
        <is>
          <t>VÄRMLANDS LÄN</t>
        </is>
      </c>
      <c r="G434" t="inlineStr">
        <is>
          <t>KRISTINEHAMN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12395-2024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45379</v>
      </c>
      <c r="E435" s="1" t="n">
        <v>46262</v>
      </c>
      <c r="F435" t="inlineStr">
        <is>
          <t>VÄRMLANDS LÄN</t>
        </is>
      </c>
      <c r="G435" t="inlineStr">
        <is>
          <t>KRISTINEHAMN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28834-2024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45478</v>
      </c>
      <c r="E436" s="1" t="n">
        <v>46262</v>
      </c>
      <c r="F436" t="inlineStr">
        <is>
          <t>VÄRMLANDS LÄN</t>
        </is>
      </c>
      <c r="G436" t="inlineStr">
        <is>
          <t>KRISTINEHAMN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44770</v>
      </c>
      <c r="E437" s="1" t="n">
        <v>46262</v>
      </c>
      <c r="F437" t="inlineStr">
        <is>
          <t>VÄRMLANDS LÄN</t>
        </is>
      </c>
      <c r="G437" t="inlineStr">
        <is>
          <t>KRISTINEHAMN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45701</v>
      </c>
      <c r="E438" s="1" t="n">
        <v>46262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46262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4147-2023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46262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13.5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4149-2023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46262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1815-2022</t>
        </is>
      </c>
      <c r="B442" t="inlineStr">
        <is>
          <t>samrådsanmälan</t>
        </is>
      </c>
      <c r="C442" t="inlineStr">
        <is>
          <t>Åtgärd i nyckelbiotop</t>
        </is>
      </c>
      <c r="D442" s="1" t="n">
        <v>44657</v>
      </c>
      <c r="E442" s="1" t="n">
        <v>46262</v>
      </c>
      <c r="F442" t="inlineStr">
        <is>
          <t>VÄRMLANDS LÄN</t>
        </is>
      </c>
      <c r="G442" t="inlineStr">
        <is>
          <t>KRISTINEHAMN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2254-2023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45103</v>
      </c>
      <c r="E443" s="1" t="n">
        <v>46262</v>
      </c>
      <c r="F443" t="inlineStr">
        <is>
          <t>VÄRMLANDS LÄN</t>
        </is>
      </c>
      <c r="G443" t="inlineStr">
        <is>
          <t>KRISTINEHAMN</t>
        </is>
      </c>
      <c r="I443" t="n">
        <v>51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2879-2022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44711</v>
      </c>
      <c r="E444" s="1" t="n">
        <v>46262</v>
      </c>
      <c r="F444" t="inlineStr">
        <is>
          <t>VÄRMLANDS LÄN</t>
        </is>
      </c>
      <c r="G444" t="inlineStr">
        <is>
          <t>KRISTINEHAMN</t>
        </is>
      </c>
      <c r="I444" t="n">
        <v>25.9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1899-2024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45442</v>
      </c>
      <c r="E445" s="1" t="n">
        <v>46262</v>
      </c>
      <c r="F445" t="inlineStr">
        <is>
          <t>VÄRMLANDS LÄN</t>
        </is>
      </c>
      <c r="G445" t="inlineStr">
        <is>
          <t>KRISTINEHAMN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2301-2024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45463</v>
      </c>
      <c r="E446" s="1" t="n">
        <v>46262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Bergvik skog väst AB</t>
        </is>
      </c>
      <c r="I446" t="n">
        <v>28.1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2553-2024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45475</v>
      </c>
      <c r="E447" s="1" t="n">
        <v>46262</v>
      </c>
      <c r="F447" t="inlineStr">
        <is>
          <t>VÄRMLANDS LÄN</t>
        </is>
      </c>
      <c r="G447" t="inlineStr">
        <is>
          <t>KRISTINEHAMN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3378-2024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46262</v>
      </c>
      <c r="F448" t="inlineStr">
        <is>
          <t>VÄRMLANDS LÄN</t>
        </is>
      </c>
      <c r="G448" t="inlineStr">
        <is>
          <t>KRISTINEHAMN</t>
        </is>
      </c>
      <c r="I448" t="n">
        <v>53.7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2393-2022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44690</v>
      </c>
      <c r="E449" s="1" t="n">
        <v>46262</v>
      </c>
      <c r="F449" t="inlineStr">
        <is>
          <t>VÄRMLANDS LÄN</t>
        </is>
      </c>
      <c r="G449" t="inlineStr">
        <is>
          <t>KRISTINEHAMN</t>
        </is>
      </c>
      <c r="I449" t="n">
        <v>51.7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46262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46262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46262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46262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46262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46262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46262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46262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46262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46262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46262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46262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46262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46262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2026-08-28T01:52:30Z</dcterms:created>
  <dcterms:modified xmlns:dcterms="http://purl.org/dc/terms/" xmlns:xsi="http://www.w3.org/2001/XMLSchema-instance" xsi:type="dcterms:W3CDTF">2026-08-28T01:52:31Z</dcterms:modified>
</cp:coreProperties>
</file>