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46256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46256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46256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46256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46256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46256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46256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46256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46256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46256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46256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3302-2022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44584</v>
      </c>
      <c r="E27" s="1" t="n">
        <v>46256</v>
      </c>
      <c r="F27" t="inlineStr">
        <is>
          <t>VÄRMLANDS LÄN</t>
        </is>
      </c>
      <c r="G27" t="inlineStr">
        <is>
          <t>KRISTINEHAMN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3302-2022 artfynd.xlsx", "A 3302-2022")</f>
        <v/>
      </c>
      <c r="X27">
        <f>HYPERLINK("https://klasma.github.io/Logging_1781/kartor/A 3302-2022 karta.png", "A 3302-2022")</f>
        <v/>
      </c>
      <c r="Y27">
        <f>HYPERLINK("https://klasma.github.io/Logging_1781/kartor_geotiff/A 3302-2022 georefererad karta.tif", "A 3302-2022")</f>
        <v/>
      </c>
      <c r="AA27">
        <f>HYPERLINK("https://klasma.github.io/Logging_1781/klagomål/A 3302-2022 FSC-klagomål.docx", "A 3302-2022")</f>
        <v/>
      </c>
      <c r="AB27">
        <f>HYPERLINK("https://klasma.github.io/Logging_1781/klagomålsmail/A 3302-2022 FSC-klagomål mail.docx", "A 3302-2022")</f>
        <v/>
      </c>
      <c r="AC27">
        <f>HYPERLINK("https://klasma.github.io/Logging_1781/tillsyn/A 3302-2022 tillsynsbegäran.docx", "A 3302-2022")</f>
        <v/>
      </c>
      <c r="AD27">
        <f>HYPERLINK("https://klasma.github.io/Logging_1781/tillsynsmail/A 3302-2022 tillsynsbegäran mail.docx", "A 3302-2022")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46256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46256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46256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46256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46256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46256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46256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46256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46256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46256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46256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46256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46256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46256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46256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46256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46256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46256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46256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46256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46256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46256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46256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46256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46256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46256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46256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46256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46256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46256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46256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46256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46256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46256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46256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46256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46256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46256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46256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46256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46256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46256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46256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46256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46256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46256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46256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46256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46256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46256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46256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46256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46256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46256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46256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46256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46256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46256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46256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46256</v>
      </c>
      <c r="F88" t="inlineStr">
        <is>
          <t>VÄRMLANDS LÄN</t>
        </is>
      </c>
      <c r="G88" t="inlineStr">
        <is>
          <t>KRISTINEHAMN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46256</v>
      </c>
      <c r="F89" t="inlineStr">
        <is>
          <t>VÄRMLANDS LÄN</t>
        </is>
      </c>
      <c r="G89" t="inlineStr">
        <is>
          <t>KRISTINEHAMN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46256</v>
      </c>
      <c r="F90" t="inlineStr">
        <is>
          <t>VÄRMLANDS LÄN</t>
        </is>
      </c>
      <c r="G90" t="inlineStr">
        <is>
          <t>KRISTINEHAMN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46256</v>
      </c>
      <c r="F91" t="inlineStr">
        <is>
          <t>VÄRMLANDS LÄN</t>
        </is>
      </c>
      <c r="G91" t="inlineStr">
        <is>
          <t>KRISTINEHAMN</t>
        </is>
      </c>
      <c r="H91" t="inlineStr">
        <is>
          <t>Naturvårdsverket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46256</v>
      </c>
      <c r="F92" t="inlineStr">
        <is>
          <t>VÄRMLANDS LÄN</t>
        </is>
      </c>
      <c r="G92" t="inlineStr">
        <is>
          <t>KRISTINEHAMN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46256</v>
      </c>
      <c r="F93" t="inlineStr">
        <is>
          <t>VÄRMLANDS LÄN</t>
        </is>
      </c>
      <c r="G93" t="inlineStr">
        <is>
          <t>KRISTINEHAMN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46256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46256</v>
      </c>
      <c r="F95" t="inlineStr">
        <is>
          <t>VÄRMLANDS LÄN</t>
        </is>
      </c>
      <c r="G95" t="inlineStr">
        <is>
          <t>KRISTINEHAMN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13459-2024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45387</v>
      </c>
      <c r="E96" s="1" t="n">
        <v>46256</v>
      </c>
      <c r="F96" t="inlineStr">
        <is>
          <t>VÄRMLANDS LÄN</t>
        </is>
      </c>
      <c r="G96" t="inlineStr">
        <is>
          <t>KRISTINEHAMN</t>
        </is>
      </c>
      <c r="H96" t="inlineStr">
        <is>
          <t>Naturvårdsverket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46256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45770</v>
      </c>
      <c r="E98" s="1" t="n">
        <v>46256</v>
      </c>
      <c r="F98" t="inlineStr">
        <is>
          <t>VÄRMLANDS LÄN</t>
        </is>
      </c>
      <c r="G98" t="inlineStr">
        <is>
          <t>KRISTINEHAMN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46256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44707</v>
      </c>
      <c r="E100" s="1" t="n">
        <v>46256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46256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46256</v>
      </c>
      <c r="F102" t="inlineStr">
        <is>
          <t>VÄRMLANDS LÄN</t>
        </is>
      </c>
      <c r="G102" t="inlineStr">
        <is>
          <t>KRISTINEHAMN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44497</v>
      </c>
      <c r="E103" s="1" t="n">
        <v>46256</v>
      </c>
      <c r="F103" t="inlineStr">
        <is>
          <t>VÄRMLANDS LÄN</t>
        </is>
      </c>
      <c r="G103" t="inlineStr">
        <is>
          <t>KRISTINEHAMN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46256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46256</v>
      </c>
      <c r="F105" t="inlineStr">
        <is>
          <t>VÄRMLANDS LÄN</t>
        </is>
      </c>
      <c r="G105" t="inlineStr">
        <is>
          <t>KRISTINEHAMN</t>
        </is>
      </c>
      <c r="I105" t="n">
        <v>19.4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46256</v>
      </c>
      <c r="F106" t="inlineStr">
        <is>
          <t>VÄRMLANDS LÄN</t>
        </is>
      </c>
      <c r="G106" t="inlineStr">
        <is>
          <t>KRISTINEHAMN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46256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46256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Sveaskog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46256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46256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46256</v>
      </c>
      <c r="F111" t="inlineStr">
        <is>
          <t>VÄRMLANDS LÄN</t>
        </is>
      </c>
      <c r="G111" t="inlineStr">
        <is>
          <t>KRISTINEHAMN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46256</v>
      </c>
      <c r="F112" t="inlineStr">
        <is>
          <t>VÄRMLANDS LÄN</t>
        </is>
      </c>
      <c r="G112" t="inlineStr">
        <is>
          <t>KRISTINEHAMN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45477</v>
      </c>
      <c r="E113" s="1" t="n">
        <v>46256</v>
      </c>
      <c r="F113" t="inlineStr">
        <is>
          <t>VÄRMLANDS LÄN</t>
        </is>
      </c>
      <c r="G113" t="inlineStr">
        <is>
          <t>KRISTINEHAMN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46256</v>
      </c>
      <c r="F114" t="inlineStr">
        <is>
          <t>VÄRMLANDS LÄN</t>
        </is>
      </c>
      <c r="G114" t="inlineStr">
        <is>
          <t>KRISTINEHAMN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46256</v>
      </c>
      <c r="F115" t="inlineStr">
        <is>
          <t>VÄRMLANDS LÄN</t>
        </is>
      </c>
      <c r="G115" t="inlineStr">
        <is>
          <t>KRISTINEHAMN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46256</v>
      </c>
      <c r="F116" t="inlineStr">
        <is>
          <t>VÄRMLANDS LÄN</t>
        </is>
      </c>
      <c r="G116" t="inlineStr">
        <is>
          <t>KRISTINEHAMN</t>
        </is>
      </c>
      <c r="I116" t="n">
        <v>15.9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45442</v>
      </c>
      <c r="E117" s="1" t="n">
        <v>46256</v>
      </c>
      <c r="F117" t="inlineStr">
        <is>
          <t>VÄRMLANDS LÄN</t>
        </is>
      </c>
      <c r="G117" t="inlineStr">
        <is>
          <t>KRISTINEHAMN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45081</v>
      </c>
      <c r="E118" s="1" t="n">
        <v>46256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46256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46256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46256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45141</v>
      </c>
      <c r="E122" s="1" t="n">
        <v>46256</v>
      </c>
      <c r="F122" t="inlineStr">
        <is>
          <t>VÄRMLANDS LÄN</t>
        </is>
      </c>
      <c r="G122" t="inlineStr">
        <is>
          <t>KRISTINEHAMN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46256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46256</v>
      </c>
      <c r="F124" t="inlineStr">
        <is>
          <t>VÄRMLANDS LÄN</t>
        </is>
      </c>
      <c r="G124" t="inlineStr">
        <is>
          <t>KRISTINEHAMN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68505-2021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46256</v>
      </c>
      <c r="F125" t="inlineStr">
        <is>
          <t>VÄRMLANDS LÄN</t>
        </is>
      </c>
      <c r="G125" t="inlineStr">
        <is>
          <t>KRISTINEHAMN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46256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46256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46256</v>
      </c>
      <c r="F128" t="inlineStr">
        <is>
          <t>VÄRMLANDS LÄN</t>
        </is>
      </c>
      <c r="G128" t="inlineStr">
        <is>
          <t>KRISTINEHAMN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46256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46256</v>
      </c>
      <c r="F130" t="inlineStr">
        <is>
          <t>VÄRMLANDS LÄN</t>
        </is>
      </c>
      <c r="G130" t="inlineStr">
        <is>
          <t>KRISTINEHAMN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46256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45681</v>
      </c>
      <c r="E132" s="1" t="n">
        <v>46256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46256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46256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Naturvårdsverket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46256</v>
      </c>
      <c r="F135" t="inlineStr">
        <is>
          <t>VÄRMLANDS LÄN</t>
        </is>
      </c>
      <c r="G135" t="inlineStr">
        <is>
          <t>KRISTINEHAMN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46256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46256</v>
      </c>
      <c r="F137" t="inlineStr">
        <is>
          <t>VÄRMLANDS LÄN</t>
        </is>
      </c>
      <c r="G137" t="inlineStr">
        <is>
          <t>KRISTINEHAMN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46256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46256</v>
      </c>
      <c r="F139" t="inlineStr">
        <is>
          <t>VÄRMLANDS LÄN</t>
        </is>
      </c>
      <c r="G139" t="inlineStr">
        <is>
          <t>KRISTINEHAMN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46256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46256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46256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46256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46256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46256</v>
      </c>
      <c r="F145" t="inlineStr">
        <is>
          <t>VÄRMLANDS LÄN</t>
        </is>
      </c>
      <c r="G145" t="inlineStr">
        <is>
          <t>KRISTINEHAMN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46256</v>
      </c>
      <c r="F146" t="inlineStr">
        <is>
          <t>VÄRMLANDS LÄN</t>
        </is>
      </c>
      <c r="G146" t="inlineStr">
        <is>
          <t>KRISTINEHAMN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46256</v>
      </c>
      <c r="F147" t="inlineStr">
        <is>
          <t>VÄRMLANDS LÄN</t>
        </is>
      </c>
      <c r="G147" t="inlineStr">
        <is>
          <t>KRISTINEHAMN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46256</v>
      </c>
      <c r="F148" t="inlineStr">
        <is>
          <t>VÄRMLANDS LÄN</t>
        </is>
      </c>
      <c r="G148" t="inlineStr">
        <is>
          <t>KRISTINEHAMN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46256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46256</v>
      </c>
      <c r="F150" t="inlineStr">
        <is>
          <t>VÄRMLANDS LÄN</t>
        </is>
      </c>
      <c r="G150" t="inlineStr">
        <is>
          <t>KRISTINEHAMN</t>
        </is>
      </c>
      <c r="I150" t="n">
        <v>20.1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46256</v>
      </c>
      <c r="F151" t="inlineStr">
        <is>
          <t>VÄRMLANDS LÄN</t>
        </is>
      </c>
      <c r="G151" t="inlineStr">
        <is>
          <t>KRISTINEHAMN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46256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46256</v>
      </c>
      <c r="F153" t="inlineStr">
        <is>
          <t>VÄRMLANDS LÄN</t>
        </is>
      </c>
      <c r="G153" t="inlineStr">
        <is>
          <t>KRISTINEHAMN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46256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Kommuner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46256</v>
      </c>
      <c r="F155" t="inlineStr">
        <is>
          <t>VÄRMLANDS LÄN</t>
        </is>
      </c>
      <c r="G155" t="inlineStr">
        <is>
          <t>KRISTINEHAMN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46256</v>
      </c>
      <c r="F156" t="inlineStr">
        <is>
          <t>VÄRMLANDS LÄN</t>
        </is>
      </c>
      <c r="G156" t="inlineStr">
        <is>
          <t>KRISTINEHAMN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46256</v>
      </c>
      <c r="F157" t="inlineStr">
        <is>
          <t>VÄRMLANDS LÄN</t>
        </is>
      </c>
      <c r="G157" t="inlineStr">
        <is>
          <t>KRISTINEHAMN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46256</v>
      </c>
      <c r="F158" t="inlineStr">
        <is>
          <t>VÄRMLANDS LÄN</t>
        </is>
      </c>
      <c r="G158" t="inlineStr">
        <is>
          <t>KRISTINEHAMN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46256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46256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Kommuner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68526-2021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44526</v>
      </c>
      <c r="E161" s="1" t="n">
        <v>46256</v>
      </c>
      <c r="F161" t="inlineStr">
        <is>
          <t>VÄRMLANDS LÄN</t>
        </is>
      </c>
      <c r="G161" t="inlineStr">
        <is>
          <t>KRISTINEHAMN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68530-2021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44526</v>
      </c>
      <c r="E162" s="1" t="n">
        <v>46256</v>
      </c>
      <c r="F162" t="inlineStr">
        <is>
          <t>VÄRMLANDS LÄN</t>
        </is>
      </c>
      <c r="G162" t="inlineStr">
        <is>
          <t>KRISTINEHAMN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44712</v>
      </c>
      <c r="E163" s="1" t="n">
        <v>46256</v>
      </c>
      <c r="F163" t="inlineStr">
        <is>
          <t>VÄRMLANDS LÄN</t>
        </is>
      </c>
      <c r="G163" t="inlineStr">
        <is>
          <t>KRISTINEHAMN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46256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46256</v>
      </c>
      <c r="F165" t="inlineStr">
        <is>
          <t>VÄRMLANDS LÄN</t>
        </is>
      </c>
      <c r="G165" t="inlineStr">
        <is>
          <t>KRISTINEHAMN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46256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46256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46256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46256</v>
      </c>
      <c r="F169" t="inlineStr">
        <is>
          <t>VÄRMLANDS LÄN</t>
        </is>
      </c>
      <c r="G169" t="inlineStr">
        <is>
          <t>KRISTINEHAMN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46256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46256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46256</v>
      </c>
      <c r="F172" t="inlineStr">
        <is>
          <t>VÄRMLANDS LÄN</t>
        </is>
      </c>
      <c r="G172" t="inlineStr">
        <is>
          <t>KRISTINEHAMN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44923</v>
      </c>
      <c r="E173" s="1" t="n">
        <v>46256</v>
      </c>
      <c r="F173" t="inlineStr">
        <is>
          <t>VÄRMLANDS LÄN</t>
        </is>
      </c>
      <c r="G173" t="inlineStr">
        <is>
          <t>KRISTINEHAMN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46256</v>
      </c>
      <c r="F174" t="inlineStr">
        <is>
          <t>VÄRMLANDS LÄN</t>
        </is>
      </c>
      <c r="G174" t="inlineStr">
        <is>
          <t>KRISTINEHAMN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44972</v>
      </c>
      <c r="E175" s="1" t="n">
        <v>46256</v>
      </c>
      <c r="F175" t="inlineStr">
        <is>
          <t>VÄRMLANDS LÄN</t>
        </is>
      </c>
      <c r="G175" t="inlineStr">
        <is>
          <t>KRISTINEHAMN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46256</v>
      </c>
      <c r="F176" t="inlineStr">
        <is>
          <t>VÄRMLANDS LÄN</t>
        </is>
      </c>
      <c r="G176" t="inlineStr">
        <is>
          <t>KRISTINEHAMN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46256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46256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52750-2021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46256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46256</v>
      </c>
      <c r="F180" t="inlineStr">
        <is>
          <t>VÄRMLANDS LÄN</t>
        </is>
      </c>
      <c r="G180" t="inlineStr">
        <is>
          <t>KRISTINEHAMN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46256</v>
      </c>
      <c r="F181" t="inlineStr">
        <is>
          <t>VÄRMLANDS LÄN</t>
        </is>
      </c>
      <c r="G181" t="inlineStr">
        <is>
          <t>KRISTINEHAMN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46256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Bergvik skog väst AB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46256</v>
      </c>
      <c r="F183" t="inlineStr">
        <is>
          <t>VÄRMLANDS LÄN</t>
        </is>
      </c>
      <c r="G183" t="inlineStr">
        <is>
          <t>KRISTINEHAMN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46256</v>
      </c>
      <c r="F184" t="inlineStr">
        <is>
          <t>VÄRMLANDS LÄN</t>
        </is>
      </c>
      <c r="G184" t="inlineStr">
        <is>
          <t>KRISTINEHAMN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46256</v>
      </c>
      <c r="F185" t="inlineStr">
        <is>
          <t>VÄRMLANDS LÄN</t>
        </is>
      </c>
      <c r="G185" t="inlineStr">
        <is>
          <t>KRISTINEHAMN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45662</v>
      </c>
      <c r="E186" s="1" t="n">
        <v>46256</v>
      </c>
      <c r="F186" t="inlineStr">
        <is>
          <t>VÄRMLANDS LÄN</t>
        </is>
      </c>
      <c r="G186" t="inlineStr">
        <is>
          <t>KRISTINEHAMN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46256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46256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46256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46256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46256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46256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46256</v>
      </c>
      <c r="F193" t="inlineStr">
        <is>
          <t>VÄRMLANDS LÄN</t>
        </is>
      </c>
      <c r="G193" t="inlineStr">
        <is>
          <t>KRISTINEHAMN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45961</v>
      </c>
      <c r="E194" s="1" t="n">
        <v>46256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46256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46256</v>
      </c>
      <c r="F196" t="inlineStr">
        <is>
          <t>VÄRMLANDS LÄN</t>
        </is>
      </c>
      <c r="G196" t="inlineStr">
        <is>
          <t>KRISTINEHAMN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46256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46256</v>
      </c>
      <c r="F198" t="inlineStr">
        <is>
          <t>VÄRMLANDS LÄN</t>
        </is>
      </c>
      <c r="G198" t="inlineStr">
        <is>
          <t>KRISTINEHAMN</t>
        </is>
      </c>
      <c r="I198" t="n">
        <v>8.699999999999999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46256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46256</v>
      </c>
      <c r="F200" t="inlineStr">
        <is>
          <t>VÄRMLANDS LÄN</t>
        </is>
      </c>
      <c r="G200" t="inlineStr">
        <is>
          <t>KRISTINEHAMN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45044</v>
      </c>
      <c r="E201" s="1" t="n">
        <v>46256</v>
      </c>
      <c r="F201" t="inlineStr">
        <is>
          <t>VÄRMLANDS LÄN</t>
        </is>
      </c>
      <c r="G201" t="inlineStr">
        <is>
          <t>KRISTINEHAMN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46256</v>
      </c>
      <c r="F202" t="inlineStr">
        <is>
          <t>VÄRMLANDS LÄN</t>
        </is>
      </c>
      <c r="G202" t="inlineStr">
        <is>
          <t>KRISTINEHAMN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46256</v>
      </c>
      <c r="F203" t="inlineStr">
        <is>
          <t>VÄRMLANDS LÄN</t>
        </is>
      </c>
      <c r="G203" t="inlineStr">
        <is>
          <t>KRISTINEHAMN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46256</v>
      </c>
      <c r="F204" t="inlineStr">
        <is>
          <t>VÄRMLANDS LÄN</t>
        </is>
      </c>
      <c r="G204" t="inlineStr">
        <is>
          <t>KRISTINEHAMN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46256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45461</v>
      </c>
      <c r="E206" s="1" t="n">
        <v>46256</v>
      </c>
      <c r="F206" t="inlineStr">
        <is>
          <t>VÄRMLANDS LÄN</t>
        </is>
      </c>
      <c r="G206" t="inlineStr">
        <is>
          <t>KRISTINEHAMN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45974</v>
      </c>
      <c r="E207" s="1" t="n">
        <v>46256</v>
      </c>
      <c r="F207" t="inlineStr">
        <is>
          <t>VÄRMLANDS LÄN</t>
        </is>
      </c>
      <c r="G207" t="inlineStr">
        <is>
          <t>KRISTINEHAMN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45313</v>
      </c>
      <c r="E208" s="1" t="n">
        <v>46256</v>
      </c>
      <c r="F208" t="inlineStr">
        <is>
          <t>VÄRMLANDS LÄN</t>
        </is>
      </c>
      <c r="G208" t="inlineStr">
        <is>
          <t>KRISTINEHAMN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46256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46256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46256</v>
      </c>
      <c r="F211" t="inlineStr">
        <is>
          <t>VÄRMLANDS LÄN</t>
        </is>
      </c>
      <c r="G211" t="inlineStr">
        <is>
          <t>KRISTINEHAMN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45302</v>
      </c>
      <c r="E212" s="1" t="n">
        <v>46256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46256</v>
      </c>
      <c r="F213" t="inlineStr">
        <is>
          <t>VÄRMLANDS LÄN</t>
        </is>
      </c>
      <c r="G213" t="inlineStr">
        <is>
          <t>KRISTINEHAMN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46256</v>
      </c>
      <c r="F215" t="inlineStr">
        <is>
          <t>VÄRMLANDS LÄN</t>
        </is>
      </c>
      <c r="G215" t="inlineStr">
        <is>
          <t>KRISTINEHAMN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46256</v>
      </c>
      <c r="F216" t="inlineStr">
        <is>
          <t>VÄRMLANDS LÄN</t>
        </is>
      </c>
      <c r="G216" t="inlineStr">
        <is>
          <t>KRISTINEHAMN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47951-2021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44448</v>
      </c>
      <c r="E217" s="1" t="n">
        <v>46256</v>
      </c>
      <c r="F217" t="inlineStr">
        <is>
          <t>VÄRMLANDS LÄN</t>
        </is>
      </c>
      <c r="G217" t="inlineStr">
        <is>
          <t>KRISTINEHAMN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46256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46256</v>
      </c>
      <c r="F219" t="inlineStr">
        <is>
          <t>VÄRMLANDS LÄN</t>
        </is>
      </c>
      <c r="G219" t="inlineStr">
        <is>
          <t>KRISTINEHAMN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46256</v>
      </c>
      <c r="F220" t="inlineStr">
        <is>
          <t>VÄRMLANDS LÄN</t>
        </is>
      </c>
      <c r="G220" t="inlineStr">
        <is>
          <t>KRISTINEHAMN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46256</v>
      </c>
      <c r="F221" t="inlineStr">
        <is>
          <t>VÄRMLANDS LÄN</t>
        </is>
      </c>
      <c r="G221" t="inlineStr">
        <is>
          <t>KRISTINEHAMN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46256</v>
      </c>
      <c r="F222" t="inlineStr">
        <is>
          <t>VÄRMLANDS LÄN</t>
        </is>
      </c>
      <c r="G222" t="inlineStr">
        <is>
          <t>KRISTINEHAMN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46256</v>
      </c>
      <c r="F223" t="inlineStr">
        <is>
          <t>VÄRMLANDS LÄN</t>
        </is>
      </c>
      <c r="G223" t="inlineStr">
        <is>
          <t>KRISTINEHAMN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46256</v>
      </c>
      <c r="F224" t="inlineStr">
        <is>
          <t>VÄRMLANDS LÄN</t>
        </is>
      </c>
      <c r="G224" t="inlineStr">
        <is>
          <t>KRISTINEHAMN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46256</v>
      </c>
      <c r="F225" t="inlineStr">
        <is>
          <t>VÄRMLANDS LÄN</t>
        </is>
      </c>
      <c r="G225" t="inlineStr">
        <is>
          <t>KRISTINEHAMN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46256</v>
      </c>
      <c r="F226" t="inlineStr">
        <is>
          <t>VÄRMLANDS LÄN</t>
        </is>
      </c>
      <c r="G226" t="inlineStr">
        <is>
          <t>KRISTINEHAMN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46256</v>
      </c>
      <c r="F227" t="inlineStr">
        <is>
          <t>VÄRMLANDS LÄN</t>
        </is>
      </c>
      <c r="G227" t="inlineStr">
        <is>
          <t>KRISTINEHAMN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46256</v>
      </c>
      <c r="F228" t="inlineStr">
        <is>
          <t>VÄRMLANDS LÄN</t>
        </is>
      </c>
      <c r="G228" t="inlineStr">
        <is>
          <t>KRISTINEHAMN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46256</v>
      </c>
      <c r="F229" t="inlineStr">
        <is>
          <t>VÄRMLANDS LÄN</t>
        </is>
      </c>
      <c r="G229" t="inlineStr">
        <is>
          <t>KRISTINEHAMN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45370</v>
      </c>
      <c r="E230" s="1" t="n">
        <v>46256</v>
      </c>
      <c r="F230" t="inlineStr">
        <is>
          <t>VÄRMLANDS LÄN</t>
        </is>
      </c>
      <c r="G230" t="inlineStr">
        <is>
          <t>KRISTINEHAMN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46256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46256</v>
      </c>
      <c r="F232" t="inlineStr">
        <is>
          <t>VÄRMLANDS LÄN</t>
        </is>
      </c>
      <c r="G232" t="inlineStr">
        <is>
          <t>KRISTINEHAMN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46256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46256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46256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46256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46256</v>
      </c>
      <c r="F237" t="inlineStr">
        <is>
          <t>VÄRMLANDS LÄN</t>
        </is>
      </c>
      <c r="G237" t="inlineStr">
        <is>
          <t>KRISTINEHAMN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46256</v>
      </c>
      <c r="F238" t="inlineStr">
        <is>
          <t>VÄRMLANDS LÄN</t>
        </is>
      </c>
      <c r="G238" t="inlineStr">
        <is>
          <t>KRISTINEHAMN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46256</v>
      </c>
      <c r="F239" t="inlineStr">
        <is>
          <t>VÄRMLANDS LÄN</t>
        </is>
      </c>
      <c r="G239" t="inlineStr">
        <is>
          <t>KRISTINEHAMN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44941</v>
      </c>
      <c r="E240" s="1" t="n">
        <v>46256</v>
      </c>
      <c r="F240" t="inlineStr">
        <is>
          <t>VÄRMLANDS LÄN</t>
        </is>
      </c>
      <c r="G240" t="inlineStr">
        <is>
          <t>KRISTINEHAMN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46256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Naturvårdsverket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46256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45121</v>
      </c>
      <c r="E243" s="1" t="n">
        <v>46256</v>
      </c>
      <c r="F243" t="inlineStr">
        <is>
          <t>VÄRMLANDS LÄN</t>
        </is>
      </c>
      <c r="G243" t="inlineStr">
        <is>
          <t>KRISTINEHAMN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46256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46256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46256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46256</v>
      </c>
      <c r="F247" t="inlineStr">
        <is>
          <t>VÄRMLANDS LÄN</t>
        </is>
      </c>
      <c r="G247" t="inlineStr">
        <is>
          <t>KRISTINEHAMN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46256</v>
      </c>
      <c r="F248" t="inlineStr">
        <is>
          <t>VÄRMLANDS LÄN</t>
        </is>
      </c>
      <c r="G248" t="inlineStr">
        <is>
          <t>KRISTINEHAMN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46256</v>
      </c>
      <c r="F249" t="inlineStr">
        <is>
          <t>VÄRMLANDS LÄN</t>
        </is>
      </c>
      <c r="G249" t="inlineStr">
        <is>
          <t>KRISTINEHAMN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46256</v>
      </c>
      <c r="F250" t="inlineStr">
        <is>
          <t>VÄRMLANDS LÄN</t>
        </is>
      </c>
      <c r="G250" t="inlineStr">
        <is>
          <t>KRISTINEHAMN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46256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46256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46256</v>
      </c>
      <c r="F253" t="inlineStr">
        <is>
          <t>VÄRMLANDS LÄN</t>
        </is>
      </c>
      <c r="G253" t="inlineStr">
        <is>
          <t>KRISTINEHAMN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46256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45678</v>
      </c>
      <c r="E255" s="1" t="n">
        <v>46256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46256</v>
      </c>
      <c r="F256" t="inlineStr">
        <is>
          <t>VÄRMLANDS LÄN</t>
        </is>
      </c>
      <c r="G256" t="inlineStr">
        <is>
          <t>KRISTINEHAMN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46256</v>
      </c>
      <c r="F257" t="inlineStr">
        <is>
          <t>VÄRMLANDS LÄN</t>
        </is>
      </c>
      <c r="G257" t="inlineStr">
        <is>
          <t>KRISTINEHAMN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46256</v>
      </c>
      <c r="F258" t="inlineStr">
        <is>
          <t>VÄRMLANDS LÄN</t>
        </is>
      </c>
      <c r="G258" t="inlineStr">
        <is>
          <t>KRISTINEHAMN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46256</v>
      </c>
      <c r="F259" t="inlineStr">
        <is>
          <t>VÄRMLANDS LÄN</t>
        </is>
      </c>
      <c r="G259" t="inlineStr">
        <is>
          <t>KRISTINEHAMN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46256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44831</v>
      </c>
      <c r="E261" s="1" t="n">
        <v>46256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46256</v>
      </c>
      <c r="F262" t="inlineStr">
        <is>
          <t>VÄRMLANDS LÄN</t>
        </is>
      </c>
      <c r="G262" t="inlineStr">
        <is>
          <t>KRISTINEHAMN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46256</v>
      </c>
      <c r="F263" t="inlineStr">
        <is>
          <t>VÄRMLANDS LÄN</t>
        </is>
      </c>
      <c r="G263" t="inlineStr">
        <is>
          <t>KRISTINEHAMN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46256</v>
      </c>
      <c r="F264" t="inlineStr">
        <is>
          <t>VÄRMLANDS LÄN</t>
        </is>
      </c>
      <c r="G264" t="inlineStr">
        <is>
          <t>KRISTINEHAMN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46256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46256</v>
      </c>
      <c r="F266" t="inlineStr">
        <is>
          <t>VÄRMLANDS LÄN</t>
        </is>
      </c>
      <c r="G266" t="inlineStr">
        <is>
          <t>KRISTINEHAMN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46256</v>
      </c>
      <c r="F267" t="inlineStr">
        <is>
          <t>VÄRMLANDS LÄN</t>
        </is>
      </c>
      <c r="G267" t="inlineStr">
        <is>
          <t>KRISTINEHAMN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46256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46256</v>
      </c>
      <c r="F269" t="inlineStr">
        <is>
          <t>VÄRMLANDS LÄN</t>
        </is>
      </c>
      <c r="G269" t="inlineStr">
        <is>
          <t>KRISTINEHAMN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46256</v>
      </c>
      <c r="F270" t="inlineStr">
        <is>
          <t>VÄRMLANDS LÄN</t>
        </is>
      </c>
      <c r="G270" t="inlineStr">
        <is>
          <t>KRISTINEHAMN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46256</v>
      </c>
      <c r="F271" t="inlineStr">
        <is>
          <t>VÄRMLANDS LÄN</t>
        </is>
      </c>
      <c r="G271" t="inlineStr">
        <is>
          <t>KRISTINEHAMN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46256</v>
      </c>
      <c r="F272" t="inlineStr">
        <is>
          <t>VÄRMLANDS LÄN</t>
        </is>
      </c>
      <c r="G272" t="inlineStr">
        <is>
          <t>KRISTINEHAMN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44734</v>
      </c>
      <c r="E273" s="1" t="n">
        <v>46256</v>
      </c>
      <c r="F273" t="inlineStr">
        <is>
          <t>VÄRMLANDS LÄN</t>
        </is>
      </c>
      <c r="G273" t="inlineStr">
        <is>
          <t>KRISTINEHAMN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46256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Kommuner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46256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46256</v>
      </c>
      <c r="F276" t="inlineStr">
        <is>
          <t>VÄRMLANDS LÄN</t>
        </is>
      </c>
      <c r="G276" t="inlineStr">
        <is>
          <t>KRISTINEHAMN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46256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46256</v>
      </c>
      <c r="F278" t="inlineStr">
        <is>
          <t>VÄRMLANDS LÄN</t>
        </is>
      </c>
      <c r="G278" t="inlineStr">
        <is>
          <t>KRISTINEHAMN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46256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46256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45647</v>
      </c>
      <c r="E281" s="1" t="n">
        <v>46256</v>
      </c>
      <c r="F281" t="inlineStr">
        <is>
          <t>VÄRMLANDS LÄN</t>
        </is>
      </c>
      <c r="G281" t="inlineStr">
        <is>
          <t>KRISTINEHAMN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54603-2021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46256</v>
      </c>
      <c r="F282" t="inlineStr">
        <is>
          <t>VÄRMLANDS LÄN</t>
        </is>
      </c>
      <c r="G282" t="inlineStr">
        <is>
          <t>KRISTINEHAMN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46256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46256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46256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46256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46256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46256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46256</v>
      </c>
      <c r="F289" t="inlineStr">
        <is>
          <t>VÄRMLANDS LÄN</t>
        </is>
      </c>
      <c r="G289" t="inlineStr">
        <is>
          <t>KRISTINEHAMN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46256</v>
      </c>
      <c r="F290" t="inlineStr">
        <is>
          <t>VÄRMLANDS LÄN</t>
        </is>
      </c>
      <c r="G290" t="inlineStr">
        <is>
          <t>KRISTINEHAMN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45002</v>
      </c>
      <c r="E291" s="1" t="n">
        <v>46256</v>
      </c>
      <c r="F291" t="inlineStr">
        <is>
          <t>VÄRMLANDS LÄN</t>
        </is>
      </c>
      <c r="G291" t="inlineStr">
        <is>
          <t>KRISTINEHAMN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46256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46256</v>
      </c>
      <c r="F293" t="inlineStr">
        <is>
          <t>VÄRMLANDS LÄN</t>
        </is>
      </c>
      <c r="G293" t="inlineStr">
        <is>
          <t>KRISTINEHAMN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46256</v>
      </c>
      <c r="F294" t="inlineStr">
        <is>
          <t>VÄRMLANDS LÄN</t>
        </is>
      </c>
      <c r="G294" t="inlineStr">
        <is>
          <t>KRISTINEHAMN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46256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6259-2026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46051</v>
      </c>
      <c r="E296" s="1" t="n">
        <v>46256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46256</v>
      </c>
      <c r="F297" t="inlineStr">
        <is>
          <t>VÄRMLANDS LÄN</t>
        </is>
      </c>
      <c r="G297" t="inlineStr">
        <is>
          <t>KRISTINEHAMN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46256</v>
      </c>
      <c r="F298" t="inlineStr">
        <is>
          <t>VÄRMLANDS LÄN</t>
        </is>
      </c>
      <c r="G298" t="inlineStr">
        <is>
          <t>KRISTINEHAMN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37267-2025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45876</v>
      </c>
      <c r="E299" s="1" t="n">
        <v>46256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24570-2026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46170</v>
      </c>
      <c r="E300" s="1" t="n">
        <v>46256</v>
      </c>
      <c r="F300" t="inlineStr">
        <is>
          <t>VÄRMLANDS LÄN</t>
        </is>
      </c>
      <c r="G300" t="inlineStr">
        <is>
          <t>KRISTINEHAMN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45876</v>
      </c>
      <c r="E301" s="1" t="n">
        <v>46256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46256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46256</v>
      </c>
      <c r="F303" t="inlineStr">
        <is>
          <t>VÄRMLANDS LÄN</t>
        </is>
      </c>
      <c r="G303" t="inlineStr">
        <is>
          <t>KRISTINEHAMN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46256</v>
      </c>
      <c r="F304" t="inlineStr">
        <is>
          <t>VÄRMLANDS LÄN</t>
        </is>
      </c>
      <c r="G304" t="inlineStr">
        <is>
          <t>KRISTINEHAMN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46256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46256</v>
      </c>
      <c r="F306" t="inlineStr">
        <is>
          <t>VÄRMLANDS LÄN</t>
        </is>
      </c>
      <c r="G306" t="inlineStr">
        <is>
          <t>KRISTINEHAMN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45226</v>
      </c>
      <c r="E307" s="1" t="n">
        <v>46256</v>
      </c>
      <c r="F307" t="inlineStr">
        <is>
          <t>VÄRMLANDS LÄN</t>
        </is>
      </c>
      <c r="G307" t="inlineStr">
        <is>
          <t>KRISTINEHAMN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46256</v>
      </c>
      <c r="F308" t="inlineStr">
        <is>
          <t>VÄRMLANDS LÄN</t>
        </is>
      </c>
      <c r="G308" t="inlineStr">
        <is>
          <t>KRISTINEHAMN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25258-2026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46175</v>
      </c>
      <c r="E309" s="1" t="n">
        <v>46256</v>
      </c>
      <c r="F309" t="inlineStr">
        <is>
          <t>VÄRMLANDS LÄN</t>
        </is>
      </c>
      <c r="G309" t="inlineStr">
        <is>
          <t>KRISTINEHAMN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46256</v>
      </c>
      <c r="F310" t="inlineStr">
        <is>
          <t>VÄRMLANDS LÄN</t>
        </is>
      </c>
      <c r="G310" t="inlineStr">
        <is>
          <t>KRISTINEHAMN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46256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46256</v>
      </c>
      <c r="F312" t="inlineStr">
        <is>
          <t>VÄRMLANDS LÄN</t>
        </is>
      </c>
      <c r="G312" t="inlineStr">
        <is>
          <t>KRISTINEHAMN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46256</v>
      </c>
      <c r="F313" t="inlineStr">
        <is>
          <t>VÄRMLANDS LÄN</t>
        </is>
      </c>
      <c r="G313" t="inlineStr">
        <is>
          <t>KRISTINEHAMN</t>
        </is>
      </c>
      <c r="I313" t="n">
        <v>12.6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46256</v>
      </c>
      <c r="F314" t="inlineStr">
        <is>
          <t>VÄRMLANDS LÄN</t>
        </is>
      </c>
      <c r="G314" t="inlineStr">
        <is>
          <t>KRISTINEHAMN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49335-2021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44454</v>
      </c>
      <c r="E315" s="1" t="n">
        <v>46256</v>
      </c>
      <c r="F315" t="inlineStr">
        <is>
          <t>VÄRMLANDS LÄN</t>
        </is>
      </c>
      <c r="G315" t="inlineStr">
        <is>
          <t>KRISTINEHAMN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46256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44883</v>
      </c>
      <c r="E317" s="1" t="n">
        <v>46256</v>
      </c>
      <c r="F317" t="inlineStr">
        <is>
          <t>VÄRMLANDS LÄN</t>
        </is>
      </c>
      <c r="G317" t="inlineStr">
        <is>
          <t>KRISTINEHAMN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2522-2026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46037</v>
      </c>
      <c r="E318" s="1" t="n">
        <v>46256</v>
      </c>
      <c r="F318" t="inlineStr">
        <is>
          <t>VÄRMLANDS LÄN</t>
        </is>
      </c>
      <c r="G318" t="inlineStr">
        <is>
          <t>KRISTINEHAMN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46256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46256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46230</v>
      </c>
      <c r="E321" s="1" t="n">
        <v>46256</v>
      </c>
      <c r="F321" t="inlineStr">
        <is>
          <t>VÄRMLANDS LÄN</t>
        </is>
      </c>
      <c r="G321" t="inlineStr">
        <is>
          <t>KRISTINEHAMN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22896-2023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45072</v>
      </c>
      <c r="E322" s="1" t="n">
        <v>46256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46256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46256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46256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46256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46256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46256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46256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46256</v>
      </c>
      <c r="F330" t="inlineStr">
        <is>
          <t>VÄRMLANDS LÄN</t>
        </is>
      </c>
      <c r="G330" t="inlineStr">
        <is>
          <t>KRISTINEHAMN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46256</v>
      </c>
      <c r="F331" t="inlineStr">
        <is>
          <t>VÄRMLANDS LÄN</t>
        </is>
      </c>
      <c r="G331" t="inlineStr">
        <is>
          <t>KRISTINEHAMN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46256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46256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46256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Kommuner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46256</v>
      </c>
      <c r="F335" t="inlineStr">
        <is>
          <t>VÄRMLANDS LÄN</t>
        </is>
      </c>
      <c r="G335" t="inlineStr">
        <is>
          <t>KRISTINEHAMN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46256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15646-2026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46106</v>
      </c>
      <c r="E337" s="1" t="n">
        <v>46256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46256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44637</v>
      </c>
      <c r="E339" s="1" t="n">
        <v>46256</v>
      </c>
      <c r="F339" t="inlineStr">
        <is>
          <t>VÄRMLANDS LÄN</t>
        </is>
      </c>
      <c r="G339" t="inlineStr">
        <is>
          <t>KRISTINEHAMN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45690-2021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44441</v>
      </c>
      <c r="E340" s="1" t="n">
        <v>46256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45513</v>
      </c>
      <c r="E341" s="1" t="n">
        <v>46256</v>
      </c>
      <c r="F341" t="inlineStr">
        <is>
          <t>VÄRMLANDS LÄN</t>
        </is>
      </c>
      <c r="G341" t="inlineStr">
        <is>
          <t>KRISTINEHAMN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46256</v>
      </c>
      <c r="F342" t="inlineStr">
        <is>
          <t>VÄRMLANDS LÄN</t>
        </is>
      </c>
      <c r="G342" t="inlineStr">
        <is>
          <t>KRISTINEHAMN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46256</v>
      </c>
      <c r="F343" t="inlineStr">
        <is>
          <t>VÄRMLANDS LÄN</t>
        </is>
      </c>
      <c r="G343" t="inlineStr">
        <is>
          <t>KRISTINEHAMN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46256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28759-2022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46256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44985</v>
      </c>
      <c r="E346" s="1" t="n">
        <v>46256</v>
      </c>
      <c r="F346" t="inlineStr">
        <is>
          <t>VÄRMLANDS LÄN</t>
        </is>
      </c>
      <c r="G346" t="inlineStr">
        <is>
          <t>KRISTINEHAMN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46256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44987</v>
      </c>
      <c r="E348" s="1" t="n">
        <v>46256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46256</v>
      </c>
      <c r="F349" t="inlineStr">
        <is>
          <t>VÄRMLANDS LÄN</t>
        </is>
      </c>
      <c r="G349" t="inlineStr">
        <is>
          <t>KRISTINEHAMN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45201</v>
      </c>
      <c r="E350" s="1" t="n">
        <v>46256</v>
      </c>
      <c r="F350" t="inlineStr">
        <is>
          <t>VÄRMLANDS LÄN</t>
        </is>
      </c>
      <c r="G350" t="inlineStr">
        <is>
          <t>KRISTINEHAMN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46256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32821-2023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45112</v>
      </c>
      <c r="E352" s="1" t="n">
        <v>46256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46256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46256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46256</v>
      </c>
      <c r="F355" t="inlineStr">
        <is>
          <t>VÄRMLANDS LÄN</t>
        </is>
      </c>
      <c r="G355" t="inlineStr">
        <is>
          <t>KRISTINEHAMN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46256</v>
      </c>
      <c r="F356" t="inlineStr">
        <is>
          <t>VÄRMLANDS LÄN</t>
        </is>
      </c>
      <c r="G356" t="inlineStr">
        <is>
          <t>KRISTINEHAMN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46256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46256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46256</v>
      </c>
      <c r="F359" t="inlineStr">
        <is>
          <t>VÄRMLANDS LÄN</t>
        </is>
      </c>
      <c r="G359" t="inlineStr">
        <is>
          <t>KRISTINEHAMN</t>
        </is>
      </c>
      <c r="I359" t="n">
        <v>19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46256</v>
      </c>
      <c r="F360" t="inlineStr">
        <is>
          <t>VÄRMLANDS LÄN</t>
        </is>
      </c>
      <c r="G360" t="inlineStr">
        <is>
          <t>KRISTINEHAMN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46256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45656</v>
      </c>
      <c r="E362" s="1" t="n">
        <v>46256</v>
      </c>
      <c r="F362" t="inlineStr">
        <is>
          <t>VÄRMLANDS LÄN</t>
        </is>
      </c>
      <c r="G362" t="inlineStr">
        <is>
          <t>KRISTINEHAMN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46256</v>
      </c>
      <c r="F363" t="inlineStr">
        <is>
          <t>VÄRMLANDS LÄN</t>
        </is>
      </c>
      <c r="G363" t="inlineStr">
        <is>
          <t>KRISTINEHAMN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46256</v>
      </c>
      <c r="F364" t="inlineStr">
        <is>
          <t>VÄRMLANDS LÄN</t>
        </is>
      </c>
      <c r="G364" t="inlineStr">
        <is>
          <t>KRISTINEHAMN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59144-2021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44490</v>
      </c>
      <c r="E365" s="1" t="n">
        <v>46256</v>
      </c>
      <c r="F365" t="inlineStr">
        <is>
          <t>VÄRMLANDS LÄN</t>
        </is>
      </c>
      <c r="G365" t="inlineStr">
        <is>
          <t>KRISTINEHAMN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46256</v>
      </c>
      <c r="F366" t="inlineStr">
        <is>
          <t>VÄRMLANDS LÄN</t>
        </is>
      </c>
      <c r="G366" t="inlineStr">
        <is>
          <t>KRISTINEHAMN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46256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46256</v>
      </c>
      <c r="F368" t="inlineStr">
        <is>
          <t>VÄRMLANDS LÄN</t>
        </is>
      </c>
      <c r="G368" t="inlineStr">
        <is>
          <t>KRISTINEHAMN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46256</v>
      </c>
      <c r="F369" t="inlineStr">
        <is>
          <t>VÄRMLANDS LÄN</t>
        </is>
      </c>
      <c r="G369" t="inlineStr">
        <is>
          <t>KRISTINEHAMN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46256</v>
      </c>
      <c r="F370" t="inlineStr">
        <is>
          <t>VÄRMLANDS LÄN</t>
        </is>
      </c>
      <c r="G370" t="inlineStr">
        <is>
          <t>KRISTINEHAMN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46256</v>
      </c>
      <c r="F371" t="inlineStr">
        <is>
          <t>VÄRMLANDS LÄN</t>
        </is>
      </c>
      <c r="G371" t="inlineStr">
        <is>
          <t>KRISTINEHAMN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46256</v>
      </c>
      <c r="F372" t="inlineStr">
        <is>
          <t>VÄRMLANDS LÄN</t>
        </is>
      </c>
      <c r="G372" t="inlineStr">
        <is>
          <t>KRISTINEHAMN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46256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Naturvårdsverket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46256</v>
      </c>
      <c r="F374" t="inlineStr">
        <is>
          <t>VÄRMLANDS LÄN</t>
        </is>
      </c>
      <c r="G374" t="inlineStr">
        <is>
          <t>KRISTINEHAMN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44722</v>
      </c>
      <c r="E375" s="1" t="n">
        <v>46256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46256</v>
      </c>
      <c r="F376" t="inlineStr">
        <is>
          <t>VÄRMLANDS LÄN</t>
        </is>
      </c>
      <c r="G376" t="inlineStr">
        <is>
          <t>KRISTINEHAMN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46256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46256</v>
      </c>
      <c r="F379" t="inlineStr">
        <is>
          <t>VÄRMLANDS LÄN</t>
        </is>
      </c>
      <c r="G379" t="inlineStr">
        <is>
          <t>KRISTINEHAMN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46256</v>
      </c>
      <c r="F380" t="inlineStr">
        <is>
          <t>VÄRMLANDS LÄN</t>
        </is>
      </c>
      <c r="G380" t="inlineStr">
        <is>
          <t>KRISTINEHAMN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70126-2021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44533</v>
      </c>
      <c r="E381" s="1" t="n">
        <v>46256</v>
      </c>
      <c r="F381" t="inlineStr">
        <is>
          <t>VÄRMLANDS LÄN</t>
        </is>
      </c>
      <c r="G381" t="inlineStr">
        <is>
          <t>KRISTINEHAMN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46256</v>
      </c>
      <c r="F382" t="inlineStr">
        <is>
          <t>VÄRMLANDS LÄN</t>
        </is>
      </c>
      <c r="G382" t="inlineStr">
        <is>
          <t>KRISTINEHAMN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45887</v>
      </c>
      <c r="E383" s="1" t="n">
        <v>46256</v>
      </c>
      <c r="F383" t="inlineStr">
        <is>
          <t>VÄRMLANDS LÄN</t>
        </is>
      </c>
      <c r="G383" t="inlineStr">
        <is>
          <t>KRISTINEHAMN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45595</v>
      </c>
      <c r="E384" s="1" t="n">
        <v>46256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45081</v>
      </c>
      <c r="E385" s="1" t="n">
        <v>46256</v>
      </c>
      <c r="F385" t="inlineStr">
        <is>
          <t>VÄRMLANDS LÄN</t>
        </is>
      </c>
      <c r="G385" t="inlineStr">
        <is>
          <t>KRISTINEHAMN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46256</v>
      </c>
      <c r="F386" t="inlineStr">
        <is>
          <t>VÄRMLANDS LÄN</t>
        </is>
      </c>
      <c r="G386" t="inlineStr">
        <is>
          <t>KRISTINEHAMN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46256</v>
      </c>
      <c r="F387" t="inlineStr">
        <is>
          <t>VÄRMLANDS LÄN</t>
        </is>
      </c>
      <c r="G387" t="inlineStr">
        <is>
          <t>KRISTINEHAMN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46256</v>
      </c>
      <c r="F388" t="inlineStr">
        <is>
          <t>VÄRMLANDS LÄN</t>
        </is>
      </c>
      <c r="G388" t="inlineStr">
        <is>
          <t>KRISTINEHAMN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46256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Bergvik skog väst AB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45701</v>
      </c>
      <c r="E390" s="1" t="n">
        <v>46256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Naturvårdsverket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46256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46256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Naturvårdsverket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46256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46256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46256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45127</v>
      </c>
      <c r="E396" s="1" t="n">
        <v>46256</v>
      </c>
      <c r="F396" t="inlineStr">
        <is>
          <t>VÄRMLANDS LÄN</t>
        </is>
      </c>
      <c r="G396" t="inlineStr">
        <is>
          <t>KRISTINEHAMN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46256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46256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46256</v>
      </c>
      <c r="F399" t="inlineStr">
        <is>
          <t>VÄRMLANDS LÄN</t>
        </is>
      </c>
      <c r="G399" t="inlineStr">
        <is>
          <t>KRISTINEHAMN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44480</v>
      </c>
      <c r="E400" s="1" t="n">
        <v>46256</v>
      </c>
      <c r="F400" t="inlineStr">
        <is>
          <t>VÄRMLANDS LÄN</t>
        </is>
      </c>
      <c r="G400" t="inlineStr">
        <is>
          <t>KRISTINEHAMN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46256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45315</v>
      </c>
      <c r="E402" s="1" t="n">
        <v>46256</v>
      </c>
      <c r="F402" t="inlineStr">
        <is>
          <t>VÄRMLANDS LÄN</t>
        </is>
      </c>
      <c r="G402" t="inlineStr">
        <is>
          <t>KRISTINEHAMN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46256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Naturvårdsverket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46256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46256</v>
      </c>
      <c r="F405" t="inlineStr">
        <is>
          <t>VÄRMLANDS LÄN</t>
        </is>
      </c>
      <c r="G405" t="inlineStr">
        <is>
          <t>KRISTINEHAMN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46256</v>
      </c>
      <c r="F406" t="inlineStr">
        <is>
          <t>VÄRMLANDS LÄN</t>
        </is>
      </c>
      <c r="G406" t="inlineStr">
        <is>
          <t>KRISTINEHAMN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46256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46256</v>
      </c>
      <c r="F408" t="inlineStr">
        <is>
          <t>VÄRMLANDS LÄN</t>
        </is>
      </c>
      <c r="G408" t="inlineStr">
        <is>
          <t>KRISTINEHAMN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46256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22060-2026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46149</v>
      </c>
      <c r="E410" s="1" t="n">
        <v>46256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46256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56697-2022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46256</v>
      </c>
      <c r="F412" t="inlineStr">
        <is>
          <t>VÄRMLANDS LÄN</t>
        </is>
      </c>
      <c r="G412" t="inlineStr">
        <is>
          <t>KRISTINEHAMN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46256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23707-2022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46256</v>
      </c>
      <c r="F414" t="inlineStr">
        <is>
          <t>VÄRMLANDS LÄN</t>
        </is>
      </c>
      <c r="G414" t="inlineStr">
        <is>
          <t>KRISTINEHAMN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46256</v>
      </c>
      <c r="F415" t="inlineStr">
        <is>
          <t>VÄRMLANDS LÄN</t>
        </is>
      </c>
      <c r="G415" t="inlineStr">
        <is>
          <t>KRISTINEHAMN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21842-2026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46150</v>
      </c>
      <c r="E416" s="1" t="n">
        <v>46256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45478</v>
      </c>
      <c r="E417" s="1" t="n">
        <v>46256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46256</v>
      </c>
      <c r="F418" t="inlineStr">
        <is>
          <t>VÄRMLANDS LÄN</t>
        </is>
      </c>
      <c r="G418" t="inlineStr">
        <is>
          <t>KRISTINEHAMN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45341</v>
      </c>
      <c r="E419" s="1" t="n">
        <v>46256</v>
      </c>
      <c r="F419" t="inlineStr">
        <is>
          <t>VÄRMLANDS LÄN</t>
        </is>
      </c>
      <c r="G419" t="inlineStr">
        <is>
          <t>KRISTINEHAMN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45569</v>
      </c>
      <c r="E420" s="1" t="n">
        <v>46256</v>
      </c>
      <c r="F420" t="inlineStr">
        <is>
          <t>VÄRMLANDS LÄN</t>
        </is>
      </c>
      <c r="G420" t="inlineStr">
        <is>
          <t>KRISTINEHAMN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46256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44770</v>
      </c>
      <c r="E422" s="1" t="n">
        <v>46256</v>
      </c>
      <c r="F422" t="inlineStr">
        <is>
          <t>VÄRMLANDS LÄN</t>
        </is>
      </c>
      <c r="G422" t="inlineStr">
        <is>
          <t>KRISTINEHAMN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46256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Naturvårdsverket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46256</v>
      </c>
      <c r="F424" t="inlineStr">
        <is>
          <t>VÄRMLANDS LÄN</t>
        </is>
      </c>
      <c r="G424" t="inlineStr">
        <is>
          <t>KRISTINEHAMN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46256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21602-2025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45783</v>
      </c>
      <c r="E426" s="1" t="n">
        <v>46256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46256</v>
      </c>
      <c r="F427" t="inlineStr">
        <is>
          <t>VÄRMLANDS LÄN</t>
        </is>
      </c>
      <c r="G427" t="inlineStr">
        <is>
          <t>KRISTINEHAMN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36774-2022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46256</v>
      </c>
      <c r="F428" t="inlineStr">
        <is>
          <t>VÄRMLANDS LÄN</t>
        </is>
      </c>
      <c r="G428" t="inlineStr">
        <is>
          <t>KRISTINEHAMN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23510-2025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45792</v>
      </c>
      <c r="E429" s="1" t="n">
        <v>46256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46256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46256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46256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46256</v>
      </c>
      <c r="F433" t="inlineStr">
        <is>
          <t>VÄRMLANDS LÄN</t>
        </is>
      </c>
      <c r="G433" t="inlineStr">
        <is>
          <t>KRISTINEHAMN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45686</v>
      </c>
      <c r="E434" s="1" t="n">
        <v>46256</v>
      </c>
      <c r="F434" t="inlineStr">
        <is>
          <t>VÄRMLANDS LÄN</t>
        </is>
      </c>
      <c r="G434" t="inlineStr">
        <is>
          <t>KRISTINEHAMN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16427-2024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45407</v>
      </c>
      <c r="E435" s="1" t="n">
        <v>46256</v>
      </c>
      <c r="F435" t="inlineStr">
        <is>
          <t>VÄRMLANDS LÄN</t>
        </is>
      </c>
      <c r="G435" t="inlineStr">
        <is>
          <t>KRISTINEHAMN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46256</v>
      </c>
      <c r="F436" t="inlineStr">
        <is>
          <t>VÄRMLANDS LÄN</t>
        </is>
      </c>
      <c r="G436" t="inlineStr">
        <is>
          <t>KRISTINEHAMN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45282</v>
      </c>
      <c r="E437" s="1" t="n">
        <v>46256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45799</v>
      </c>
      <c r="E438" s="1" t="n">
        <v>46256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46256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1219-2020</t>
        </is>
      </c>
      <c r="B440" t="inlineStr">
        <is>
          <t>samrådsanmälan</t>
        </is>
      </c>
      <c r="C440" t="n">
        <v/>
      </c>
      <c r="D440" s="1" t="n">
        <v>43980</v>
      </c>
      <c r="E440" s="1" t="n">
        <v>46256</v>
      </c>
      <c r="F440" t="inlineStr">
        <is>
          <t>VÄRMLANDS LÄN</t>
        </is>
      </c>
      <c r="G440" t="inlineStr">
        <is>
          <t>KRISTINEHAMN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4147-2023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46256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4149-2023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46256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9.5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46256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2254-2023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45103</v>
      </c>
      <c r="E444" s="1" t="n">
        <v>46256</v>
      </c>
      <c r="F444" t="inlineStr">
        <is>
          <t>VÄRMLANDS LÄN</t>
        </is>
      </c>
      <c r="G444" t="inlineStr">
        <is>
          <t>KRISTINEHAMN</t>
        </is>
      </c>
      <c r="I444" t="n">
        <v>51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2879-2022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44711</v>
      </c>
      <c r="E445" s="1" t="n">
        <v>46256</v>
      </c>
      <c r="F445" t="inlineStr">
        <is>
          <t>VÄRMLANDS LÄN</t>
        </is>
      </c>
      <c r="G445" t="inlineStr">
        <is>
          <t>KRISTINEHAMN</t>
        </is>
      </c>
      <c r="I445" t="n">
        <v>25.9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46256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46256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46256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46256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2393-2022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44690</v>
      </c>
      <c r="E450" s="1" t="n">
        <v>46256</v>
      </c>
      <c r="F450" t="inlineStr">
        <is>
          <t>VÄRMLANDS LÄN</t>
        </is>
      </c>
      <c r="G450" t="inlineStr">
        <is>
          <t>KRISTINEHAMN</t>
        </is>
      </c>
      <c r="I450" t="n">
        <v>51.7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1903-2024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46256</v>
      </c>
      <c r="F451" t="inlineStr">
        <is>
          <t>VÄRMLANDS LÄN</t>
        </is>
      </c>
      <c r="G451" t="inlineStr">
        <is>
          <t>KRISTINEHAMN</t>
        </is>
      </c>
      <c r="I451" t="n">
        <v>104.3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717-2023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44985</v>
      </c>
      <c r="E452" s="1" t="n">
        <v>46256</v>
      </c>
      <c r="F452" t="inlineStr">
        <is>
          <t>VÄRMLANDS LÄN</t>
        </is>
      </c>
      <c r="G452" t="inlineStr">
        <is>
          <t>KRISTINEHAMN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1412-2024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45414</v>
      </c>
      <c r="E453" s="1" t="n">
        <v>46256</v>
      </c>
      <c r="F453" t="inlineStr">
        <is>
          <t>VÄRMLANDS LÄN</t>
        </is>
      </c>
      <c r="G453" t="inlineStr">
        <is>
          <t>KRISTINEHAMN</t>
        </is>
      </c>
      <c r="I453" t="n">
        <v>42.9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1900-2024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46256</v>
      </c>
      <c r="F454" t="inlineStr">
        <is>
          <t>VÄRMLANDS LÄN</t>
        </is>
      </c>
      <c r="G454" t="inlineStr">
        <is>
          <t>KRISTINEHAMN</t>
        </is>
      </c>
      <c r="I454" t="n">
        <v>63.5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3374-2024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45533</v>
      </c>
      <c r="E455" s="1" t="n">
        <v>46256</v>
      </c>
      <c r="F455" t="inlineStr">
        <is>
          <t>VÄRMLANDS LÄN</t>
        </is>
      </c>
      <c r="G455" t="inlineStr">
        <is>
          <t>KRISTINEHAMN</t>
        </is>
      </c>
      <c r="I455" t="n">
        <v>18.3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45118</v>
      </c>
      <c r="E456" s="1" t="n">
        <v>46256</v>
      </c>
      <c r="F456" t="inlineStr">
        <is>
          <t>VÄRMLANDS LÄN</t>
        </is>
      </c>
      <c r="G456" t="inlineStr">
        <is>
          <t>KRISTINEHAMN</t>
        </is>
      </c>
      <c r="I456" t="n">
        <v>42.3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4146-2023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46256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Bergvik skog väst AB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3007-2024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45512</v>
      </c>
      <c r="E458" s="1" t="n">
        <v>46256</v>
      </c>
      <c r="F458" t="inlineStr">
        <is>
          <t>VÄRMLANDS LÄN</t>
        </is>
      </c>
      <c r="G458" t="inlineStr">
        <is>
          <t>KRISTINEHAMN</t>
        </is>
      </c>
      <c r="I458" t="n">
        <v>56.9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1418-2025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45783</v>
      </c>
      <c r="E459" s="1" t="n">
        <v>46256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1546-2025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45792</v>
      </c>
      <c r="E460" s="1" t="n">
        <v>46256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1698-2025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45805</v>
      </c>
      <c r="E461" s="1" t="n">
        <v>46256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46040</v>
      </c>
      <c r="E462" s="1" t="n">
        <v>46256</v>
      </c>
      <c r="F462" t="inlineStr">
        <is>
          <t>VÄRMLANDS LÄN</t>
        </is>
      </c>
      <c r="G462" t="inlineStr">
        <is>
          <t>KRISTINEHAMN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46106</v>
      </c>
      <c r="E463" s="1" t="n">
        <v>46256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99-2026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46036</v>
      </c>
      <c r="E464" s="1" t="n">
        <v>46256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Naturvårdsverket</t>
        </is>
      </c>
      <c r="I464" t="n">
        <v>80.8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2026-08-22T01:48:05Z</dcterms:created>
  <dcterms:modified xmlns:dcterms="http://purl.org/dc/terms/" xmlns:xsi="http://www.w3.org/2001/XMLSchema-instance" xsi:type="dcterms:W3CDTF">2026-08-22T01:48:06Z</dcterms:modified>
</cp:coreProperties>
</file>