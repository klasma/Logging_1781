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46286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46286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46286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46286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46286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46286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46286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46286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46286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46286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46286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46286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46286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46286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46286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46286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13025-2023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45002</v>
      </c>
      <c r="E18" s="1" t="n">
        <v>46286</v>
      </c>
      <c r="F18" t="inlineStr">
        <is>
          <t>VÄRMLANDS LÄN</t>
        </is>
      </c>
      <c r="G18" t="inlineStr">
        <is>
          <t>KRISTINEHAMN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Kamjordstjärna</t>
        </is>
      </c>
      <c r="W18">
        <f>HYPERLINK("https://klasma.github.io/Logging_1781/artfynd/A 13025-2023 artfynd.xlsx", "A 13025-2023")</f>
        <v/>
      </c>
      <c r="X18">
        <f>HYPERLINK("https://klasma.github.io/Logging_1781/kartor/A 13025-2023 karta.png", "A 13025-2023")</f>
        <v/>
      </c>
      <c r="Y18">
        <f>HYPERLINK("https://klasma.github.io/Logging_1781/kartor_geotiff/A 13025-2023 georefererad karta.tif", "A 13025-2023")</f>
        <v/>
      </c>
      <c r="AA18">
        <f>HYPERLINK("https://klasma.github.io/Logging_1781/klagomål/A 13025-2023 FSC-klagomål.docx", "A 13025-2023")</f>
        <v/>
      </c>
      <c r="AB18">
        <f>HYPERLINK("https://klasma.github.io/Logging_1781/klagomålsmail/A 13025-2023 FSC-klagomål mail.docx", "A 13025-2023")</f>
        <v/>
      </c>
      <c r="AC18">
        <f>HYPERLINK("https://klasma.github.io/Logging_1781/tillsyn/A 13025-2023 tillsynsbegäran.docx", "A 13025-2023")</f>
        <v/>
      </c>
      <c r="AD18">
        <f>HYPERLINK("https://klasma.github.io/Logging_1781/tillsynsmail/A 13025-2023 tillsynsbegäran mail.docx", "A 13025-2023")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46286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46286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46286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8714-2024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46286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8714-2024 artfynd.xlsx", "A 8714-2024")</f>
        <v/>
      </c>
      <c r="X22">
        <f>HYPERLINK("https://klasma.github.io/Logging_1781/kartor/A 8714-2024 karta.png", "A 8714-2024")</f>
        <v/>
      </c>
      <c r="Y22">
        <f>HYPERLINK("https://klasma.github.io/Logging_1781/kartor_geotiff/A 8714-2024 georefererad karta.tif", "A 8714-2024")</f>
        <v/>
      </c>
      <c r="AA22">
        <f>HYPERLINK("https://klasma.github.io/Logging_1781/klagomål/A 8714-2024 FSC-klagomål.docx", "A 8714-2024")</f>
        <v/>
      </c>
      <c r="AB22">
        <f>HYPERLINK("https://klasma.github.io/Logging_1781/klagomålsmail/A 8714-2024 FSC-klagomål mail.docx", "A 8714-2024")</f>
        <v/>
      </c>
      <c r="AC22">
        <f>HYPERLINK("https://klasma.github.io/Logging_1781/tillsyn/A 8714-2024 tillsynsbegäran.docx", "A 8714-2024")</f>
        <v/>
      </c>
      <c r="AD22">
        <f>HYPERLINK("https://klasma.github.io/Logging_1781/tillsynsmail/A 8714-2024 tillsynsbegäran mail.docx", "A 8714-2024")</f>
        <v/>
      </c>
    </row>
    <row r="23" ht="15" customHeight="1">
      <c r="A23" t="inlineStr">
        <is>
          <t>A 54771-2022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44883</v>
      </c>
      <c r="E23" s="1" t="n">
        <v>46286</v>
      </c>
      <c r="F23" t="inlineStr">
        <is>
          <t>VÄRMLANDS LÄN</t>
        </is>
      </c>
      <c r="G23" t="inlineStr">
        <is>
          <t>KRISTINEHAMN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HYPERLINK("https://klasma.github.io/Logging_1781/artfynd/A 54771-2022 artfynd.xlsx", "A 54771-2022")</f>
        <v/>
      </c>
      <c r="X23">
        <f>HYPERLINK("https://klasma.github.io/Logging_1781/kartor/A 54771-2022 karta.png", "A 54771-2022")</f>
        <v/>
      </c>
      <c r="Y23">
        <f>HYPERLINK("https://klasma.github.io/Logging_1781/kartor_geotiff/A 54771-2022 georefererad karta.tif", "A 54771-2022")</f>
        <v/>
      </c>
      <c r="AA23">
        <f>HYPERLINK("https://klasma.github.io/Logging_1781/klagomål/A 54771-2022 FSC-klagomål.docx", "A 54771-2022")</f>
        <v/>
      </c>
      <c r="AB23">
        <f>HYPERLINK("https://klasma.github.io/Logging_1781/klagomålsmail/A 54771-2022 FSC-klagomål mail.docx", "A 54771-2022")</f>
        <v/>
      </c>
      <c r="AC23">
        <f>HYPERLINK("https://klasma.github.io/Logging_1781/tillsyn/A 54771-2022 tillsynsbegäran.docx", "A 54771-2022")</f>
        <v/>
      </c>
      <c r="AD23">
        <f>HYPERLINK("https://klasma.github.io/Logging_1781/tillsynsmail/A 54771-2022 tillsynsbegäran mail.docx", "A 54771-2022")</f>
        <v/>
      </c>
      <c r="AE23">
        <f>HYPERLINK("https://klasma.github.io/Logging_1781/fåglar/A 54771-2022 prioriterade fågelarter.docx", "A 54771-2022")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46286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12593-2024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45380</v>
      </c>
      <c r="E25" s="1" t="n">
        <v>46286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Bombmurkla</t>
        </is>
      </c>
      <c r="W25">
        <f>HYPERLINK("https://klasma.github.io/Logging_1781/artfynd/A 12593-2024 artfynd.xlsx", "A 12593-2024")</f>
        <v/>
      </c>
      <c r="X25">
        <f>HYPERLINK("https://klasma.github.io/Logging_1781/kartor/A 12593-2024 karta.png", "A 12593-2024")</f>
        <v/>
      </c>
      <c r="Y25">
        <f>HYPERLINK("https://klasma.github.io/Logging_1781/kartor_geotiff/A 12593-2024 georefererad karta.tif", "A 12593-2024")</f>
        <v/>
      </c>
      <c r="AA25">
        <f>HYPERLINK("https://klasma.github.io/Logging_1781/klagomål/A 12593-2024 FSC-klagomål.docx", "A 12593-2024")</f>
        <v/>
      </c>
      <c r="AB25">
        <f>HYPERLINK("https://klasma.github.io/Logging_1781/klagomålsmail/A 12593-2024 FSC-klagomål mail.docx", "A 12593-2024")</f>
        <v/>
      </c>
      <c r="AC25">
        <f>HYPERLINK("https://klasma.github.io/Logging_1781/tillsyn/A 12593-2024 tillsynsbegäran.docx", "A 12593-2024")</f>
        <v/>
      </c>
      <c r="AD25">
        <f>HYPERLINK("https://klasma.github.io/Logging_1781/tillsynsmail/A 12593-2024 tillsynsbegäran mail.docx", "A 12593-2024")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46286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46286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46286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46286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36792-2023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45154</v>
      </c>
      <c r="E30" s="1" t="n">
        <v>46286</v>
      </c>
      <c r="F30" t="inlineStr">
        <is>
          <t>VÄRMLANDS LÄN</t>
        </is>
      </c>
      <c r="G30" t="inlineStr">
        <is>
          <t>KRISTINEHAMN</t>
        </is>
      </c>
      <c r="I30" t="n">
        <v>4.2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HYPERLINK("https://klasma.github.io/Logging_1781/artfynd/A 36792-2023 artfynd.xlsx", "A 36792-2023")</f>
        <v/>
      </c>
      <c r="X30">
        <f>HYPERLINK("https://klasma.github.io/Logging_1781/kartor/A 36792-2023 karta.png", "A 36792-2023")</f>
        <v/>
      </c>
      <c r="Y30">
        <f>HYPERLINK("https://klasma.github.io/Logging_1781/kartor_geotiff/A 36792-2023 georefererad karta.tif", "A 36792-2023")</f>
        <v/>
      </c>
      <c r="AA30">
        <f>HYPERLINK("https://klasma.github.io/Logging_1781/klagomål/A 36792-2023 FSC-klagomål.docx", "A 36792-2023")</f>
        <v/>
      </c>
      <c r="AB30">
        <f>HYPERLINK("https://klasma.github.io/Logging_1781/klagomålsmail/A 36792-2023 FSC-klagomål mail.docx", "A 36792-2023")</f>
        <v/>
      </c>
      <c r="AC30">
        <f>HYPERLINK("https://klasma.github.io/Logging_1781/tillsyn/A 36792-2023 tillsynsbegäran.docx", "A 36792-2023")</f>
        <v/>
      </c>
      <c r="AD30">
        <f>HYPERLINK("https://klasma.github.io/Logging_1781/tillsynsmail/A 36792-2023 tillsynsbegäran mail.docx", "A 36792-2023")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46286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60714-2025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45996</v>
      </c>
      <c r="E32" s="1" t="n">
        <v>46286</v>
      </c>
      <c r="F32" t="inlineStr">
        <is>
          <t>VÄRMLANDS LÄN</t>
        </is>
      </c>
      <c r="G32" t="inlineStr">
        <is>
          <t>KRISTINEHAMN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Björksplintborre</t>
        </is>
      </c>
      <c r="W32">
        <f>HYPERLINK("https://klasma.github.io/Logging_1781/artfynd/A 60714-2025 artfynd.xlsx", "A 60714-2025")</f>
        <v/>
      </c>
      <c r="X32">
        <f>HYPERLINK("https://klasma.github.io/Logging_1781/kartor/A 60714-2025 karta.png", "A 60714-2025")</f>
        <v/>
      </c>
      <c r="Y32">
        <f>HYPERLINK("https://klasma.github.io/Logging_1781/kartor_geotiff/A 60714-2025 georefererad karta.tif", "A 60714-2025")</f>
        <v/>
      </c>
      <c r="AA32">
        <f>HYPERLINK("https://klasma.github.io/Logging_1781/klagomål/A 60714-2025 FSC-klagomål.docx", "A 60714-2025")</f>
        <v/>
      </c>
      <c r="AB32">
        <f>HYPERLINK("https://klasma.github.io/Logging_1781/klagomålsmail/A 60714-2025 FSC-klagomål mail.docx", "A 60714-2025")</f>
        <v/>
      </c>
      <c r="AC32">
        <f>HYPERLINK("https://klasma.github.io/Logging_1781/tillsyn/A 60714-2025 tillsynsbegäran.docx", "A 60714-2025")</f>
        <v/>
      </c>
      <c r="AD32">
        <f>HYPERLINK("https://klasma.github.io/Logging_1781/tillsynsmail/A 60714-2025 tillsynsbegäran mail.docx", "A 60714-2025")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46286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46286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2406-2025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46286</v>
      </c>
      <c r="F35" t="inlineStr">
        <is>
          <t>VÄRMLANDS LÄN</t>
        </is>
      </c>
      <c r="G35" t="inlineStr">
        <is>
          <t>KRISTINEHAMN</t>
        </is>
      </c>
      <c r="I35" t="n">
        <v>9.699999999999999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2406-2025 artfynd.xlsx", "A 2406-2025")</f>
        <v/>
      </c>
      <c r="X35">
        <f>HYPERLINK("https://klasma.github.io/Logging_1781/kartor/A 2406-2025 karta.png", "A 2406-2025")</f>
        <v/>
      </c>
      <c r="Y35">
        <f>HYPERLINK("https://klasma.github.io/Logging_1781/kartor_geotiff/A 2406-2025 georefererad karta.tif", "A 2406-2025")</f>
        <v/>
      </c>
      <c r="AA35">
        <f>HYPERLINK("https://klasma.github.io/Logging_1781/klagomål/A 2406-2025 FSC-klagomål.docx", "A 2406-2025")</f>
        <v/>
      </c>
      <c r="AB35">
        <f>HYPERLINK("https://klasma.github.io/Logging_1781/klagomålsmail/A 2406-2025 FSC-klagomål mail.docx", "A 2406-2025")</f>
        <v/>
      </c>
      <c r="AC35">
        <f>HYPERLINK("https://klasma.github.io/Logging_1781/tillsyn/A 2406-2025 tillsynsbegäran.docx", "A 2406-2025")</f>
        <v/>
      </c>
      <c r="AD35">
        <f>HYPERLINK("https://klasma.github.io/Logging_1781/tillsynsmail/A 2406-2025 tillsynsbegäran mail.docx", "A 2406-2025")</f>
        <v/>
      </c>
    </row>
    <row r="36" ht="15" customHeight="1">
      <c r="A36" t="inlineStr">
        <is>
          <t>A 25888-2025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46286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Trana</t>
        </is>
      </c>
      <c r="W36">
        <f>HYPERLINK("https://klasma.github.io/Logging_1781/artfynd/A 25888-2025 artfynd.xlsx", "A 25888-2025")</f>
        <v/>
      </c>
      <c r="X36">
        <f>HYPERLINK("https://klasma.github.io/Logging_1781/kartor/A 25888-2025 karta.png", "A 25888-2025")</f>
        <v/>
      </c>
      <c r="Y36">
        <f>HYPERLINK("https://klasma.github.io/Logging_1781/kartor_geotiff/A 25888-2025 georefererad karta.tif", "A 25888-2025")</f>
        <v/>
      </c>
      <c r="AA36">
        <f>HYPERLINK("https://klasma.github.io/Logging_1781/klagomål/A 25888-2025 FSC-klagomål.docx", "A 25888-2025")</f>
        <v/>
      </c>
      <c r="AB36">
        <f>HYPERLINK("https://klasma.github.io/Logging_1781/klagomålsmail/A 25888-2025 FSC-klagomål mail.docx", "A 25888-2025")</f>
        <v/>
      </c>
      <c r="AC36">
        <f>HYPERLINK("https://klasma.github.io/Logging_1781/tillsyn/A 25888-2025 tillsynsbegäran.docx", "A 25888-2025")</f>
        <v/>
      </c>
      <c r="AD36">
        <f>HYPERLINK("https://klasma.github.io/Logging_1781/tillsynsmail/A 25888-2025 tillsynsbegäran mail.docx", "A 25888-2025")</f>
        <v/>
      </c>
      <c r="AE36">
        <f>HYPERLINK("https://klasma.github.io/Logging_1781/fåglar/A 25888-2025 prioriterade fågelarter.docx", "A 25888-2025")</f>
        <v/>
      </c>
    </row>
    <row r="37" ht="15" customHeight="1">
      <c r="A37" t="inlineStr">
        <is>
          <t>A 28394-2025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46286</v>
      </c>
      <c r="F37" t="inlineStr">
        <is>
          <t>VÄRMLANDS LÄN</t>
        </is>
      </c>
      <c r="G37" t="inlineStr">
        <is>
          <t>KRISTINEHAMN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vårtrattskivling</t>
        </is>
      </c>
      <c r="W37">
        <f>HYPERLINK("https://klasma.github.io/Logging_1781/artfynd/A 28394-2025 artfynd.xlsx", "A 28394-2025")</f>
        <v/>
      </c>
      <c r="X37">
        <f>HYPERLINK("https://klasma.github.io/Logging_1781/kartor/A 28394-2025 karta.png", "A 28394-2025")</f>
        <v/>
      </c>
      <c r="Y37">
        <f>HYPERLINK("https://klasma.github.io/Logging_1781/kartor_geotiff/A 28394-2025 georefererad karta.tif", "A 28394-2025")</f>
        <v/>
      </c>
      <c r="AA37">
        <f>HYPERLINK("https://klasma.github.io/Logging_1781/klagomål/A 28394-2025 FSC-klagomål.docx", "A 28394-2025")</f>
        <v/>
      </c>
      <c r="AB37">
        <f>HYPERLINK("https://klasma.github.io/Logging_1781/klagomålsmail/A 28394-2025 FSC-klagomål mail.docx", "A 28394-2025")</f>
        <v/>
      </c>
      <c r="AC37">
        <f>HYPERLINK("https://klasma.github.io/Logging_1781/tillsyn/A 28394-2025 tillsynsbegäran.docx", "A 28394-2025")</f>
        <v/>
      </c>
      <c r="AD37">
        <f>HYPERLINK("https://klasma.github.io/Logging_1781/tillsynsmail/A 28394-2025 tillsynsbegäran mail.docx", "A 28394-2025")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46286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46286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2398-2022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44690</v>
      </c>
      <c r="E40" s="1" t="n">
        <v>46286</v>
      </c>
      <c r="F40" t="inlineStr">
        <is>
          <t>VÄRMLANDS LÄN</t>
        </is>
      </c>
      <c r="G40" t="inlineStr">
        <is>
          <t>KRISTINEHAMN</t>
        </is>
      </c>
      <c r="I40" t="n">
        <v>156.6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Dvärglin</t>
        </is>
      </c>
      <c r="W40">
        <f>HYPERLINK("https://klasma.github.io/Logging_1781/artfynd/S 2398-2022 artfynd.xlsx", "S 2398-2022")</f>
        <v/>
      </c>
      <c r="X40">
        <f>HYPERLINK("https://klasma.github.io/Logging_1781/kartor/S 2398-2022 karta.png", "S 2398-2022")</f>
        <v/>
      </c>
      <c r="Y40">
        <f>HYPERLINK("https://klasma.github.io/Logging_1781/kartor_geotiff/S 2398-2022 georefererad karta.tif", "S 2398-2022")</f>
        <v/>
      </c>
      <c r="AA40">
        <f>HYPERLINK("https://klasma.github.io/Logging_1781/klagomål/S 2398-2022 FSC-klagomål.docx", "S 2398-2022")</f>
        <v/>
      </c>
      <c r="AB40">
        <f>HYPERLINK("https://klasma.github.io/Logging_1781/klagomålsmail/S 2398-2022 FSC-klagomål mail.docx", "S 2398-2022")</f>
        <v/>
      </c>
      <c r="AC40">
        <f>HYPERLINK("https://klasma.github.io/Logging_1781/tillsyn/S 2398-2022 tillsynsbegäran.docx", "S 2398-2022")</f>
        <v/>
      </c>
      <c r="AD40">
        <f>HYPERLINK("https://klasma.github.io/Logging_1781/tillsynsmail/S 2398-2022 tillsynsbegäran mail.docx", "S 2398-2022")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46286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46286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46286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46286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46286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46286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46286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46286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46286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46286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46286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46286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46286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46286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46286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46286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46286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46286</v>
      </c>
      <c r="F58" t="inlineStr">
        <is>
          <t>VÄRMLANDS LÄN</t>
        </is>
      </c>
      <c r="G58" t="inlineStr">
        <is>
          <t>KRISTINEHAMN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46286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46286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46286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46286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46286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46286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46286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46286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46286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46286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46286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46286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46286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46286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46286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46286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46286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46286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46286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46286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46286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46286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46286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46286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46286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46286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46286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46286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46286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46286</v>
      </c>
      <c r="F88" t="inlineStr">
        <is>
          <t>VÄRMLANDS LÄN</t>
        </is>
      </c>
      <c r="G88" t="inlineStr">
        <is>
          <t>KRISTINEHAMN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45442</v>
      </c>
      <c r="E89" s="1" t="n">
        <v>46286</v>
      </c>
      <c r="F89" t="inlineStr">
        <is>
          <t>VÄRMLANDS LÄN</t>
        </is>
      </c>
      <c r="G89" t="inlineStr">
        <is>
          <t>KRISTINEHAMN</t>
        </is>
      </c>
      <c r="I89" t="n">
        <v>14.9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46286</v>
      </c>
      <c r="F90" t="inlineStr">
        <is>
          <t>VÄRMLANDS LÄN</t>
        </is>
      </c>
      <c r="G90" t="inlineStr">
        <is>
          <t>KRISTINEHAMN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46286</v>
      </c>
      <c r="F91" t="inlineStr">
        <is>
          <t>VÄRMLANDS LÄN</t>
        </is>
      </c>
      <c r="G91" t="inlineStr">
        <is>
          <t>KRISTINEHAMN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45081</v>
      </c>
      <c r="E92" s="1" t="n">
        <v>46286</v>
      </c>
      <c r="F92" t="inlineStr">
        <is>
          <t>VÄRMLANDS LÄN</t>
        </is>
      </c>
      <c r="G92" t="inlineStr">
        <is>
          <t>KRISTINEHAMN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68505-2021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46286</v>
      </c>
      <c r="F93" t="inlineStr">
        <is>
          <t>VÄRMLANDS LÄN</t>
        </is>
      </c>
      <c r="G93" t="inlineStr">
        <is>
          <t>KRISTINEHAMN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44991</v>
      </c>
      <c r="E94" s="1" t="n">
        <v>46286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45095</v>
      </c>
      <c r="E95" s="1" t="n">
        <v>46286</v>
      </c>
      <c r="F95" t="inlineStr">
        <is>
          <t>VÄRMLANDS LÄN</t>
        </is>
      </c>
      <c r="G95" t="inlineStr">
        <is>
          <t>KRISTINEHAMN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46286</v>
      </c>
      <c r="F96" t="inlineStr">
        <is>
          <t>VÄRMLANDS LÄN</t>
        </is>
      </c>
      <c r="G96" t="inlineStr">
        <is>
          <t>KRISTINEHAMN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46286</v>
      </c>
      <c r="F97" t="inlineStr">
        <is>
          <t>VÄRMLANDS LÄN</t>
        </is>
      </c>
      <c r="G97" t="inlineStr">
        <is>
          <t>KRISTINEHAMN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46286</v>
      </c>
      <c r="F98" t="inlineStr">
        <is>
          <t>VÄRMLANDS LÄN</t>
        </is>
      </c>
      <c r="G98" t="inlineStr">
        <is>
          <t>KRISTINEHAMN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46286</v>
      </c>
      <c r="F99" t="inlineStr">
        <is>
          <t>VÄRMLANDS LÄN</t>
        </is>
      </c>
      <c r="G99" t="inlineStr">
        <is>
          <t>KRISTINEHAMN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45238</v>
      </c>
      <c r="E100" s="1" t="n">
        <v>46286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Kommuner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44841</v>
      </c>
      <c r="E101" s="1" t="n">
        <v>46286</v>
      </c>
      <c r="F101" t="inlineStr">
        <is>
          <t>VÄRMLANDS LÄN</t>
        </is>
      </c>
      <c r="G101" t="inlineStr">
        <is>
          <t>KRISTINEHAMN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45202</v>
      </c>
      <c r="E102" s="1" t="n">
        <v>46286</v>
      </c>
      <c r="F102" t="inlineStr">
        <is>
          <t>VÄRMLANDS LÄN</t>
        </is>
      </c>
      <c r="G102" t="inlineStr">
        <is>
          <t>KRISTINEHAMN</t>
        </is>
      </c>
      <c r="I102" t="n">
        <v>10.4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46286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46286</v>
      </c>
      <c r="F104" t="inlineStr">
        <is>
          <t>VÄRMLANDS LÄN</t>
        </is>
      </c>
      <c r="G104" t="inlineStr">
        <is>
          <t>KRISTINEHAMN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46286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46286</v>
      </c>
      <c r="F106" t="inlineStr">
        <is>
          <t>VÄRMLANDS LÄN</t>
        </is>
      </c>
      <c r="G106" t="inlineStr">
        <is>
          <t>KRISTINEHAMN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46286</v>
      </c>
      <c r="F107" t="inlineStr">
        <is>
          <t>VÄRMLANDS LÄN</t>
        </is>
      </c>
      <c r="G107" t="inlineStr">
        <is>
          <t>KRISTINEHAMN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46286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Bergvik skog väst AB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46286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45662</v>
      </c>
      <c r="E110" s="1" t="n">
        <v>46286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32404-2023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46286</v>
      </c>
      <c r="F111" t="inlineStr">
        <is>
          <t>VÄRMLANDS LÄN</t>
        </is>
      </c>
      <c r="G111" t="inlineStr">
        <is>
          <t>KRISTINEHAMN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46286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46286</v>
      </c>
      <c r="F113" t="inlineStr">
        <is>
          <t>VÄRMLANDS LÄN</t>
        </is>
      </c>
      <c r="G113" t="inlineStr">
        <is>
          <t>KRISTINEHAMN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45701</v>
      </c>
      <c r="E114" s="1" t="n">
        <v>46286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Naturvårdsverket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46286</v>
      </c>
      <c r="F115" t="inlineStr">
        <is>
          <t>VÄRMLANDS LÄN</t>
        </is>
      </c>
      <c r="G115" t="inlineStr">
        <is>
          <t>KRISTINEHAMN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46286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46286</v>
      </c>
      <c r="F117" t="inlineStr">
        <is>
          <t>VÄRMLANDS LÄN</t>
        </is>
      </c>
      <c r="G117" t="inlineStr">
        <is>
          <t>KRISTINEHAMN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45303</v>
      </c>
      <c r="E118" s="1" t="n">
        <v>46286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44741</v>
      </c>
      <c r="E119" s="1" t="n">
        <v>46286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46286</v>
      </c>
      <c r="F120" t="inlineStr">
        <is>
          <t>VÄRMLANDS LÄN</t>
        </is>
      </c>
      <c r="G120" t="inlineStr">
        <is>
          <t>KRISTINEHAMN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46286</v>
      </c>
      <c r="F121" t="inlineStr">
        <is>
          <t>VÄRMLANDS LÄN</t>
        </is>
      </c>
      <c r="G121" t="inlineStr">
        <is>
          <t>KRISTINEHAMN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46286</v>
      </c>
      <c r="F122" t="inlineStr">
        <is>
          <t>VÄRMLANDS LÄN</t>
        </is>
      </c>
      <c r="G122" t="inlineStr">
        <is>
          <t>KRISTINEHAMN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46286</v>
      </c>
      <c r="F123" t="inlineStr">
        <is>
          <t>VÄRMLANDS LÄN</t>
        </is>
      </c>
      <c r="G123" t="inlineStr">
        <is>
          <t>KRISTINEHAMN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44742</v>
      </c>
      <c r="E124" s="1" t="n">
        <v>46286</v>
      </c>
      <c r="F124" t="inlineStr">
        <is>
          <t>VÄRMLANDS LÄN</t>
        </is>
      </c>
      <c r="G124" t="inlineStr">
        <is>
          <t>KRISTINEHAMN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46286</v>
      </c>
      <c r="F125" t="inlineStr">
        <is>
          <t>VÄRMLANDS LÄN</t>
        </is>
      </c>
      <c r="G125" t="inlineStr">
        <is>
          <t>KRISTINEHAMN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45202</v>
      </c>
      <c r="E126" s="1" t="n">
        <v>46286</v>
      </c>
      <c r="F126" t="inlineStr">
        <is>
          <t>VÄRMLANDS LÄN</t>
        </is>
      </c>
      <c r="G126" t="inlineStr">
        <is>
          <t>KRISTINEHAMN</t>
        </is>
      </c>
      <c r="I126" t="n">
        <v>10.1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10999-2024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45370</v>
      </c>
      <c r="E127" s="1" t="n">
        <v>46286</v>
      </c>
      <c r="F127" t="inlineStr">
        <is>
          <t>VÄRMLANDS LÄN</t>
        </is>
      </c>
      <c r="G127" t="inlineStr">
        <is>
          <t>KRISTINEHAMN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45044</v>
      </c>
      <c r="E128" s="1" t="n">
        <v>46286</v>
      </c>
      <c r="F128" t="inlineStr">
        <is>
          <t>VÄRMLANDS LÄN</t>
        </is>
      </c>
      <c r="G128" t="inlineStr">
        <is>
          <t>KRISTINEHAMN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45000</v>
      </c>
      <c r="E129" s="1" t="n">
        <v>46286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46286</v>
      </c>
      <c r="F130" t="inlineStr">
        <is>
          <t>VÄRMLANDS LÄN</t>
        </is>
      </c>
      <c r="G130" t="inlineStr">
        <is>
          <t>KRISTINEHAMN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19447-2024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45429</v>
      </c>
      <c r="E131" s="1" t="n">
        <v>46286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46286</v>
      </c>
      <c r="F132" t="inlineStr">
        <is>
          <t>VÄRMLANDS LÄN</t>
        </is>
      </c>
      <c r="G132" t="inlineStr">
        <is>
          <t>KRISTINEHAMN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46286</v>
      </c>
      <c r="F133" t="inlineStr">
        <is>
          <t>VÄRMLANDS LÄN</t>
        </is>
      </c>
      <c r="G133" t="inlineStr">
        <is>
          <t>KRISTINEHAMN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46286</v>
      </c>
      <c r="F134" t="inlineStr">
        <is>
          <t>VÄRMLANDS LÄN</t>
        </is>
      </c>
      <c r="G134" t="inlineStr">
        <is>
          <t>KRISTINEHAMN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46286</v>
      </c>
      <c r="F135" t="inlineStr">
        <is>
          <t>VÄRMLANDS LÄN</t>
        </is>
      </c>
      <c r="G135" t="inlineStr">
        <is>
          <t>KRISTINEHAMN</t>
        </is>
      </c>
      <c r="I135" t="n">
        <v>9.300000000000001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45243</v>
      </c>
      <c r="E136" s="1" t="n">
        <v>46286</v>
      </c>
      <c r="F136" t="inlineStr">
        <is>
          <t>VÄRMLANDS LÄN</t>
        </is>
      </c>
      <c r="G136" t="inlineStr">
        <is>
          <t>KRISTINEHAMN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46286</v>
      </c>
      <c r="F137" t="inlineStr">
        <is>
          <t>VÄRMLANDS LÄN</t>
        </is>
      </c>
      <c r="G137" t="inlineStr">
        <is>
          <t>KRISTINEHAMN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46286</v>
      </c>
      <c r="F138" t="inlineStr">
        <is>
          <t>VÄRMLANDS LÄN</t>
        </is>
      </c>
      <c r="G138" t="inlineStr">
        <is>
          <t>KRISTINEHAMN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46286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46286</v>
      </c>
      <c r="F140" t="inlineStr">
        <is>
          <t>VÄRMLANDS LÄN</t>
        </is>
      </c>
      <c r="G140" t="inlineStr">
        <is>
          <t>KRISTINEHAMN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46286</v>
      </c>
      <c r="F141" t="inlineStr">
        <is>
          <t>VÄRMLANDS LÄN</t>
        </is>
      </c>
      <c r="G141" t="inlineStr">
        <is>
          <t>KRISTINEHAMN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45313</v>
      </c>
      <c r="E142" s="1" t="n">
        <v>46286</v>
      </c>
      <c r="F142" t="inlineStr">
        <is>
          <t>VÄRMLANDS LÄN</t>
        </is>
      </c>
      <c r="G142" t="inlineStr">
        <is>
          <t>KRISTINEHAMN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45647</v>
      </c>
      <c r="E143" s="1" t="n">
        <v>46286</v>
      </c>
      <c r="F143" t="inlineStr">
        <is>
          <t>VÄRMLANDS LÄN</t>
        </is>
      </c>
      <c r="G143" t="inlineStr">
        <is>
          <t>KRISTINEHAMN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54603-2021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44473</v>
      </c>
      <c r="E144" s="1" t="n">
        <v>46286</v>
      </c>
      <c r="F144" t="inlineStr">
        <is>
          <t>VÄRMLANDS LÄN</t>
        </is>
      </c>
      <c r="G144" t="inlineStr">
        <is>
          <t>KRISTINEHAMN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46286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46286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46286</v>
      </c>
      <c r="F147" t="inlineStr">
        <is>
          <t>VÄRMLANDS LÄN</t>
        </is>
      </c>
      <c r="G147" t="inlineStr">
        <is>
          <t>KRISTINEHAMN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45387</v>
      </c>
      <c r="E148" s="1" t="n">
        <v>46286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46286</v>
      </c>
      <c r="F149" t="inlineStr">
        <is>
          <t>VÄRMLANDS LÄN</t>
        </is>
      </c>
      <c r="G149" t="inlineStr">
        <is>
          <t>KRISTINEHAMN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44497</v>
      </c>
      <c r="E150" s="1" t="n">
        <v>46286</v>
      </c>
      <c r="F150" t="inlineStr">
        <is>
          <t>VÄRMLANDS LÄN</t>
        </is>
      </c>
      <c r="G150" t="inlineStr">
        <is>
          <t>KRISTINEHAMN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45933</v>
      </c>
      <c r="E151" s="1" t="n">
        <v>46286</v>
      </c>
      <c r="F151" t="inlineStr">
        <is>
          <t>VÄRMLANDS LÄN</t>
        </is>
      </c>
      <c r="G151" t="inlineStr">
        <is>
          <t>KRISTINEHAMN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17245-2025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45756</v>
      </c>
      <c r="E152" s="1" t="n">
        <v>46286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46286</v>
      </c>
      <c r="F153" t="inlineStr">
        <is>
          <t>VÄRMLANDS LÄN</t>
        </is>
      </c>
      <c r="G153" t="inlineStr">
        <is>
          <t>KRISTINEHAMN</t>
        </is>
      </c>
      <c r="I153" t="n">
        <v>19.4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46286</v>
      </c>
      <c r="F154" t="inlineStr">
        <is>
          <t>VÄRMLANDS LÄN</t>
        </is>
      </c>
      <c r="G154" t="inlineStr">
        <is>
          <t>KRISTINEHAMN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45477</v>
      </c>
      <c r="E155" s="1" t="n">
        <v>46286</v>
      </c>
      <c r="F155" t="inlineStr">
        <is>
          <t>VÄRMLANDS LÄN</t>
        </is>
      </c>
      <c r="G155" t="inlineStr">
        <is>
          <t>KRISTINEHAMN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55003-2021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44474</v>
      </c>
      <c r="E156" s="1" t="n">
        <v>46286</v>
      </c>
      <c r="F156" t="inlineStr">
        <is>
          <t>VÄRMLANDS LÄN</t>
        </is>
      </c>
      <c r="G156" t="inlineStr">
        <is>
          <t>KRISTINEHAMN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46286</v>
      </c>
      <c r="F157" t="inlineStr">
        <is>
          <t>VÄRMLANDS LÄN</t>
        </is>
      </c>
      <c r="G157" t="inlineStr">
        <is>
          <t>KRISTINEHAMN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46286</v>
      </c>
      <c r="F158" t="inlineStr">
        <is>
          <t>VÄRMLANDS LÄN</t>
        </is>
      </c>
      <c r="G158" t="inlineStr">
        <is>
          <t>KRISTINEHAMN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46286</v>
      </c>
      <c r="F159" t="inlineStr">
        <is>
          <t>VÄRMLANDS LÄN</t>
        </is>
      </c>
      <c r="G159" t="inlineStr">
        <is>
          <t>KRISTINEHAMN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46286</v>
      </c>
      <c r="F160" t="inlineStr">
        <is>
          <t>VÄRMLANDS LÄN</t>
        </is>
      </c>
      <c r="G160" t="inlineStr">
        <is>
          <t>KRISTINEHAMN</t>
        </is>
      </c>
      <c r="I160" t="n">
        <v>15.9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45079</v>
      </c>
      <c r="E161" s="1" t="n">
        <v>46286</v>
      </c>
      <c r="F161" t="inlineStr">
        <is>
          <t>VÄRMLANDS LÄN</t>
        </is>
      </c>
      <c r="G161" t="inlineStr">
        <is>
          <t>KRISTINEHAMN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45681</v>
      </c>
      <c r="E162" s="1" t="n">
        <v>46286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45366</v>
      </c>
      <c r="E163" s="1" t="n">
        <v>46286</v>
      </c>
      <c r="F163" t="inlineStr">
        <is>
          <t>VÄRMLANDS LÄN</t>
        </is>
      </c>
      <c r="G163" t="inlineStr">
        <is>
          <t>KRISTINEHAMN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44648</v>
      </c>
      <c r="E164" s="1" t="n">
        <v>46286</v>
      </c>
      <c r="F164" t="inlineStr">
        <is>
          <t>VÄRMLANDS LÄN</t>
        </is>
      </c>
      <c r="G164" t="inlineStr">
        <is>
          <t>KRISTINEHAMN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46286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20168-2026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46286</v>
      </c>
      <c r="F166" t="inlineStr">
        <is>
          <t>VÄRMLANDS LÄN</t>
        </is>
      </c>
      <c r="G166" t="inlineStr">
        <is>
          <t>KRISTINEHAMN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46286</v>
      </c>
      <c r="F167" t="inlineStr">
        <is>
          <t>VÄRMLANDS LÄN</t>
        </is>
      </c>
      <c r="G167" t="inlineStr">
        <is>
          <t>KRISTINEHAMN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46286</v>
      </c>
      <c r="F168" t="inlineStr">
        <is>
          <t>VÄRMLANDS LÄN</t>
        </is>
      </c>
      <c r="G168" t="inlineStr">
        <is>
          <t>KRISTINEHAMN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45698</v>
      </c>
      <c r="E169" s="1" t="n">
        <v>46286</v>
      </c>
      <c r="F169" t="inlineStr">
        <is>
          <t>VÄRMLANDS LÄN</t>
        </is>
      </c>
      <c r="G169" t="inlineStr">
        <is>
          <t>KRISTINEHAMN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46286</v>
      </c>
      <c r="F170" t="inlineStr">
        <is>
          <t>VÄRMLANDS LÄN</t>
        </is>
      </c>
      <c r="G170" t="inlineStr">
        <is>
          <t>KRISTINEHAMN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46286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Kommuner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46286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Bergvik skog väst AB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45265</v>
      </c>
      <c r="E173" s="1" t="n">
        <v>46286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Naturvårdsverket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12458-2024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45379</v>
      </c>
      <c r="E174" s="1" t="n">
        <v>46286</v>
      </c>
      <c r="F174" t="inlineStr">
        <is>
          <t>VÄRMLANDS LÄN</t>
        </is>
      </c>
      <c r="G174" t="inlineStr">
        <is>
          <t>KRISTINEHAMN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46286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46286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Naturvårdsverket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46286</v>
      </c>
      <c r="F177" t="inlineStr">
        <is>
          <t>VÄRMLANDS LÄN</t>
        </is>
      </c>
      <c r="G177" t="inlineStr">
        <is>
          <t>KRISTINEHAMN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20672-2026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46286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46286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14.2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44473</v>
      </c>
      <c r="E180" s="1" t="n">
        <v>46286</v>
      </c>
      <c r="F180" t="inlineStr">
        <is>
          <t>VÄRMLANDS LÄN</t>
        </is>
      </c>
      <c r="G180" t="inlineStr">
        <is>
          <t>KRISTINEHAMN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34230-2023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46286</v>
      </c>
      <c r="F181" t="inlineStr">
        <is>
          <t>VÄRMLANDS LÄN</t>
        </is>
      </c>
      <c r="G181" t="inlineStr">
        <is>
          <t>KRISTINEHAMN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45361</v>
      </c>
      <c r="E182" s="1" t="n">
        <v>46286</v>
      </c>
      <c r="F182" t="inlineStr">
        <is>
          <t>VÄRMLANDS LÄN</t>
        </is>
      </c>
      <c r="G182" t="inlineStr">
        <is>
          <t>KRISTINEHAMN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46286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46286</v>
      </c>
      <c r="F184" t="inlineStr">
        <is>
          <t>VÄRMLANDS LÄN</t>
        </is>
      </c>
      <c r="G184" t="inlineStr">
        <is>
          <t>KRISTINEHAMN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46286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46286</v>
      </c>
      <c r="F186" t="inlineStr">
        <is>
          <t>VÄRMLANDS LÄN</t>
        </is>
      </c>
      <c r="G186" t="inlineStr">
        <is>
          <t>KRISTINEHAMN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45392</v>
      </c>
      <c r="E187" s="1" t="n">
        <v>46286</v>
      </c>
      <c r="F187" t="inlineStr">
        <is>
          <t>VÄRMLANDS LÄN</t>
        </is>
      </c>
      <c r="G187" t="inlineStr">
        <is>
          <t>KRISTINEHAMN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46286</v>
      </c>
      <c r="F188" t="inlineStr">
        <is>
          <t>VÄRMLANDS LÄN</t>
        </is>
      </c>
      <c r="G188" t="inlineStr">
        <is>
          <t>KRISTINEHAMN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46286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45450</v>
      </c>
      <c r="E190" s="1" t="n">
        <v>46286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Kommuner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68526-2021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44526</v>
      </c>
      <c r="E191" s="1" t="n">
        <v>46286</v>
      </c>
      <c r="F191" t="inlineStr">
        <is>
          <t>VÄRMLANDS LÄN</t>
        </is>
      </c>
      <c r="G191" t="inlineStr">
        <is>
          <t>KRISTINEHAMN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68530-2021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44526</v>
      </c>
      <c r="E192" s="1" t="n">
        <v>46286</v>
      </c>
      <c r="F192" t="inlineStr">
        <is>
          <t>VÄRMLANDS LÄN</t>
        </is>
      </c>
      <c r="G192" t="inlineStr">
        <is>
          <t>KRISTINEHAMN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44712</v>
      </c>
      <c r="E193" s="1" t="n">
        <v>46286</v>
      </c>
      <c r="F193" t="inlineStr">
        <is>
          <t>VÄRMLANDS LÄN</t>
        </is>
      </c>
      <c r="G193" t="inlineStr">
        <is>
          <t>KRISTINEHAMN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45639</v>
      </c>
      <c r="E194" s="1" t="n">
        <v>46286</v>
      </c>
      <c r="F194" t="inlineStr">
        <is>
          <t>VÄRMLANDS LÄN</t>
        </is>
      </c>
      <c r="G194" t="inlineStr">
        <is>
          <t>KRISTINEHAMN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45068</v>
      </c>
      <c r="E195" s="1" t="n">
        <v>46286</v>
      </c>
      <c r="F195" t="inlineStr">
        <is>
          <t>VÄRMLANDS LÄN</t>
        </is>
      </c>
      <c r="G195" t="inlineStr">
        <is>
          <t>KRISTINEHAMN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46286</v>
      </c>
      <c r="F196" t="inlineStr">
        <is>
          <t>VÄRMLANDS LÄN</t>
        </is>
      </c>
      <c r="G196" t="inlineStr">
        <is>
          <t>KRISTINEHAMN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45933</v>
      </c>
      <c r="E197" s="1" t="n">
        <v>46286</v>
      </c>
      <c r="F197" t="inlineStr">
        <is>
          <t>VÄRMLANDS LÄN</t>
        </is>
      </c>
      <c r="G197" t="inlineStr">
        <is>
          <t>KRISTINEHAMN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44753</v>
      </c>
      <c r="E198" s="1" t="n">
        <v>46286</v>
      </c>
      <c r="F198" t="inlineStr">
        <is>
          <t>VÄRMLANDS LÄN</t>
        </is>
      </c>
      <c r="G198" t="inlineStr">
        <is>
          <t>KRISTINEHAMN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45477</v>
      </c>
      <c r="E199" s="1" t="n">
        <v>46286</v>
      </c>
      <c r="F199" t="inlineStr">
        <is>
          <t>VÄRMLANDS LÄN</t>
        </is>
      </c>
      <c r="G199" t="inlineStr">
        <is>
          <t>KRISTINEHAMN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44923</v>
      </c>
      <c r="E200" s="1" t="n">
        <v>46286</v>
      </c>
      <c r="F200" t="inlineStr">
        <is>
          <t>VÄRMLANDS LÄN</t>
        </is>
      </c>
      <c r="G200" t="inlineStr">
        <is>
          <t>KRISTINEHAMN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44972</v>
      </c>
      <c r="E201" s="1" t="n">
        <v>46286</v>
      </c>
      <c r="F201" t="inlineStr">
        <is>
          <t>VÄRMLANDS LÄN</t>
        </is>
      </c>
      <c r="G201" t="inlineStr">
        <is>
          <t>KRISTINEHAMN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46286</v>
      </c>
      <c r="F202" t="inlineStr">
        <is>
          <t>VÄRMLANDS LÄN</t>
        </is>
      </c>
      <c r="G202" t="inlineStr">
        <is>
          <t>KRISTINEHAMN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46286</v>
      </c>
      <c r="F203" t="inlineStr">
        <is>
          <t>VÄRMLANDS LÄN</t>
        </is>
      </c>
      <c r="G203" t="inlineStr">
        <is>
          <t>KRISTINEHAMN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45359</v>
      </c>
      <c r="E204" s="1" t="n">
        <v>46286</v>
      </c>
      <c r="F204" t="inlineStr">
        <is>
          <t>VÄRMLANDS LÄN</t>
        </is>
      </c>
      <c r="G204" t="inlineStr">
        <is>
          <t>KRISTINEHAMN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52750-2021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44466</v>
      </c>
      <c r="E205" s="1" t="n">
        <v>46286</v>
      </c>
      <c r="F205" t="inlineStr">
        <is>
          <t>VÄRMLANDS LÄN</t>
        </is>
      </c>
      <c r="G205" t="inlineStr">
        <is>
          <t>KRISTINEHAMN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22060-2026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46149</v>
      </c>
      <c r="E206" s="1" t="n">
        <v>46286</v>
      </c>
      <c r="F206" t="inlineStr">
        <is>
          <t>VÄRMLANDS LÄN</t>
        </is>
      </c>
      <c r="G206" t="inlineStr">
        <is>
          <t>KRISTINEHAMN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46286</v>
      </c>
      <c r="F207" t="inlineStr">
        <is>
          <t>VÄRMLANDS LÄN</t>
        </is>
      </c>
      <c r="G207" t="inlineStr">
        <is>
          <t>KRISTINEHAMN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46286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45625</v>
      </c>
      <c r="E209" s="1" t="n">
        <v>46286</v>
      </c>
      <c r="F209" t="inlineStr">
        <is>
          <t>VÄRMLANDS LÄN</t>
        </is>
      </c>
      <c r="G209" t="inlineStr">
        <is>
          <t>KRISTINEHAMN</t>
        </is>
      </c>
      <c r="I209" t="n">
        <v>8.800000000000001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45954</v>
      </c>
      <c r="E210" s="1" t="n">
        <v>46286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46286</v>
      </c>
      <c r="F211" t="inlineStr">
        <is>
          <t>VÄRMLANDS LÄN</t>
        </is>
      </c>
      <c r="G211" t="inlineStr">
        <is>
          <t>KRISTINEHAMN</t>
        </is>
      </c>
      <c r="I211" t="n">
        <v>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46286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Naturvårdsverket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46286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Naturvårdsverket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46286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45961</v>
      </c>
      <c r="E215" s="1" t="n">
        <v>46286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45961</v>
      </c>
      <c r="E216" s="1" t="n">
        <v>46286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58616-2021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44489</v>
      </c>
      <c r="E217" s="1" t="n">
        <v>46286</v>
      </c>
      <c r="F217" t="inlineStr">
        <is>
          <t>VÄRMLANDS LÄN</t>
        </is>
      </c>
      <c r="G217" t="inlineStr">
        <is>
          <t>KRISTINEHAMN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45453</v>
      </c>
      <c r="E218" s="1" t="n">
        <v>46286</v>
      </c>
      <c r="F218" t="inlineStr">
        <is>
          <t>VÄRMLANDS LÄN</t>
        </is>
      </c>
      <c r="G218" t="inlineStr">
        <is>
          <t>KRISTINEHAMN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46286</v>
      </c>
      <c r="F219" t="inlineStr">
        <is>
          <t>VÄRMLANDS LÄN</t>
        </is>
      </c>
      <c r="G219" t="inlineStr">
        <is>
          <t>KRISTINEHAMN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46286</v>
      </c>
      <c r="F220" t="inlineStr">
        <is>
          <t>VÄRMLANDS LÄN</t>
        </is>
      </c>
      <c r="G220" t="inlineStr">
        <is>
          <t>KRISTINEHAMN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45341</v>
      </c>
      <c r="E221" s="1" t="n">
        <v>46286</v>
      </c>
      <c r="F221" t="inlineStr">
        <is>
          <t>VÄRMLANDS LÄN</t>
        </is>
      </c>
      <c r="G221" t="inlineStr">
        <is>
          <t>KRISTINEHAMN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56315-2025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45974</v>
      </c>
      <c r="E222" s="1" t="n">
        <v>46286</v>
      </c>
      <c r="F222" t="inlineStr">
        <is>
          <t>VÄRMLANDS LÄN</t>
        </is>
      </c>
      <c r="G222" t="inlineStr">
        <is>
          <t>KRISTINEHAMN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45569</v>
      </c>
      <c r="E223" s="1" t="n">
        <v>46286</v>
      </c>
      <c r="F223" t="inlineStr">
        <is>
          <t>VÄRMLANDS LÄN</t>
        </is>
      </c>
      <c r="G223" t="inlineStr">
        <is>
          <t>KRISTINEHAMN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45022</v>
      </c>
      <c r="E224" s="1" t="n">
        <v>46286</v>
      </c>
      <c r="F224" t="inlineStr">
        <is>
          <t>VÄRMLANDS LÄN</t>
        </is>
      </c>
      <c r="G224" t="inlineStr">
        <is>
          <t>KRISTINEHAMN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46286</v>
      </c>
      <c r="F225" t="inlineStr">
        <is>
          <t>VÄRMLANDS LÄN</t>
        </is>
      </c>
      <c r="G225" t="inlineStr">
        <is>
          <t>KRISTINEHAMN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46286</v>
      </c>
      <c r="F226" t="inlineStr">
        <is>
          <t>VÄRMLANDS LÄN</t>
        </is>
      </c>
      <c r="G226" t="inlineStr">
        <is>
          <t>KRISTINEHAMN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6644-2024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45341</v>
      </c>
      <c r="E227" s="1" t="n">
        <v>46286</v>
      </c>
      <c r="F227" t="inlineStr">
        <is>
          <t>VÄRMLANDS LÄN</t>
        </is>
      </c>
      <c r="G227" t="inlineStr">
        <is>
          <t>KRISTINEHAMN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45461</v>
      </c>
      <c r="E228" s="1" t="n">
        <v>46286</v>
      </c>
      <c r="F228" t="inlineStr">
        <is>
          <t>VÄRMLANDS LÄN</t>
        </is>
      </c>
      <c r="G228" t="inlineStr">
        <is>
          <t>KRISTINEHAMN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45313</v>
      </c>
      <c r="E229" s="1" t="n">
        <v>46286</v>
      </c>
      <c r="F229" t="inlineStr">
        <is>
          <t>VÄRMLANDS LÄN</t>
        </is>
      </c>
      <c r="G229" t="inlineStr">
        <is>
          <t>KRISTINEHAMN</t>
        </is>
      </c>
      <c r="I229" t="n">
        <v>11.2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46286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Kommuner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44595</v>
      </c>
      <c r="E231" s="1" t="n">
        <v>46286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45302</v>
      </c>
      <c r="E232" s="1" t="n">
        <v>46286</v>
      </c>
      <c r="F232" t="inlineStr">
        <is>
          <t>VÄRMLANDS LÄN</t>
        </is>
      </c>
      <c r="G232" t="inlineStr">
        <is>
          <t>KRISTINEHAMN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46286</v>
      </c>
      <c r="F233" t="inlineStr">
        <is>
          <t>VÄRMLANDS LÄN</t>
        </is>
      </c>
      <c r="G233" t="inlineStr">
        <is>
          <t>KRISTINEHAMN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46161</v>
      </c>
      <c r="E234" s="1" t="n">
        <v>46286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45636</v>
      </c>
      <c r="E235" s="1" t="n">
        <v>46286</v>
      </c>
      <c r="F235" t="inlineStr">
        <is>
          <t>VÄRMLANDS LÄN</t>
        </is>
      </c>
      <c r="G235" t="inlineStr">
        <is>
          <t>KRISTINEHAMN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45478</v>
      </c>
      <c r="E236" s="1" t="n">
        <v>46286</v>
      </c>
      <c r="F236" t="inlineStr">
        <is>
          <t>VÄRMLANDS LÄN</t>
        </is>
      </c>
      <c r="G236" t="inlineStr">
        <is>
          <t>KRISTINEHAMN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45478</v>
      </c>
      <c r="E237" s="1" t="n">
        <v>46286</v>
      </c>
      <c r="F237" t="inlineStr">
        <is>
          <t>VÄRMLANDS LÄN</t>
        </is>
      </c>
      <c r="G237" t="inlineStr">
        <is>
          <t>KRISTINEHAMN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45315</v>
      </c>
      <c r="E238" s="1" t="n">
        <v>46286</v>
      </c>
      <c r="F238" t="inlineStr">
        <is>
          <t>VÄRMLANDS LÄN</t>
        </is>
      </c>
      <c r="G238" t="inlineStr">
        <is>
          <t>KRISTINEHAMN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45622</v>
      </c>
      <c r="E239" s="1" t="n">
        <v>46286</v>
      </c>
      <c r="F239" t="inlineStr">
        <is>
          <t>VÄRMLANDS LÄN</t>
        </is>
      </c>
      <c r="G239" t="inlineStr">
        <is>
          <t>KRISTINEHAMN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46286</v>
      </c>
      <c r="F240" t="inlineStr">
        <is>
          <t>VÄRMLANDS LÄN</t>
        </is>
      </c>
      <c r="G240" t="inlineStr">
        <is>
          <t>KRISTINEHAMN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46286</v>
      </c>
      <c r="F241" t="inlineStr">
        <is>
          <t>VÄRMLANDS LÄN</t>
        </is>
      </c>
      <c r="G241" t="inlineStr">
        <is>
          <t>KRISTINEHAMN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44746</v>
      </c>
      <c r="E242" s="1" t="n">
        <v>46286</v>
      </c>
      <c r="F242" t="inlineStr">
        <is>
          <t>VÄRMLANDS LÄN</t>
        </is>
      </c>
      <c r="G242" t="inlineStr">
        <is>
          <t>KRISTINEHAMN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46286</v>
      </c>
      <c r="F243" t="inlineStr">
        <is>
          <t>VÄRMLANDS LÄN</t>
        </is>
      </c>
      <c r="G243" t="inlineStr">
        <is>
          <t>KRISTINEHAMN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60791-2025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46286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Naturvårdsverket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23294-2026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46286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46286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46286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Bergvik skog väst AB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46286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Bergvik skog väst AB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46286</v>
      </c>
      <c r="F249" t="inlineStr">
        <is>
          <t>VÄRMLANDS LÄN</t>
        </is>
      </c>
      <c r="G249" t="inlineStr">
        <is>
          <t>KRISTINEHAMN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46286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Naturvårdsverket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46286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44941</v>
      </c>
      <c r="E252" s="1" t="n">
        <v>46286</v>
      </c>
      <c r="F252" t="inlineStr">
        <is>
          <t>VÄRMLANDS LÄN</t>
        </is>
      </c>
      <c r="G252" t="inlineStr">
        <is>
          <t>KRISTINEHAMN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46286</v>
      </c>
      <c r="F253" t="inlineStr">
        <is>
          <t>VÄRMLANDS LÄN</t>
        </is>
      </c>
      <c r="G253" t="inlineStr">
        <is>
          <t>KRISTINEHAMN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46286</v>
      </c>
      <c r="F254" t="inlineStr">
        <is>
          <t>VÄRMLANDS LÄN</t>
        </is>
      </c>
      <c r="G254" t="inlineStr">
        <is>
          <t>KRISTINEHAMN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46286</v>
      </c>
      <c r="F255" t="inlineStr">
        <is>
          <t>VÄRMLANDS LÄN</t>
        </is>
      </c>
      <c r="G255" t="inlineStr">
        <is>
          <t>KRISTINEHAMN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45121</v>
      </c>
      <c r="E256" s="1" t="n">
        <v>46286</v>
      </c>
      <c r="F256" t="inlineStr">
        <is>
          <t>VÄRMLANDS LÄN</t>
        </is>
      </c>
      <c r="G256" t="inlineStr">
        <is>
          <t>KRISTINEHAMN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46286</v>
      </c>
      <c r="F257" t="inlineStr">
        <is>
          <t>VÄRMLANDS LÄN</t>
        </is>
      </c>
      <c r="G257" t="inlineStr">
        <is>
          <t>KRISTINEHAMN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46286</v>
      </c>
      <c r="F258" t="inlineStr">
        <is>
          <t>VÄRMLANDS LÄN</t>
        </is>
      </c>
      <c r="G258" t="inlineStr">
        <is>
          <t>KRISTINEHAMN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46286</v>
      </c>
      <c r="F259" t="inlineStr">
        <is>
          <t>VÄRMLANDS LÄN</t>
        </is>
      </c>
      <c r="G259" t="inlineStr">
        <is>
          <t>KRISTINEHAMN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46286</v>
      </c>
      <c r="F260" t="inlineStr">
        <is>
          <t>VÄRMLANDS LÄN</t>
        </is>
      </c>
      <c r="G260" t="inlineStr">
        <is>
          <t>KRISTINEHAMN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45450</v>
      </c>
      <c r="E261" s="1" t="n">
        <v>46286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Kommuner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46286</v>
      </c>
      <c r="F262" t="inlineStr">
        <is>
          <t>VÄRMLANDS LÄN</t>
        </is>
      </c>
      <c r="G262" t="inlineStr">
        <is>
          <t>KRISTINEHAMN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24570-2026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46170</v>
      </c>
      <c r="E263" s="1" t="n">
        <v>46286</v>
      </c>
      <c r="F263" t="inlineStr">
        <is>
          <t>VÄRMLANDS LÄN</t>
        </is>
      </c>
      <c r="G263" t="inlineStr">
        <is>
          <t>KRISTINEHAMN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45749</v>
      </c>
      <c r="E264" s="1" t="n">
        <v>46286</v>
      </c>
      <c r="F264" t="inlineStr">
        <is>
          <t>VÄRMLANDS LÄN</t>
        </is>
      </c>
      <c r="G264" t="inlineStr">
        <is>
          <t>KRISTINEHAMN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45110</v>
      </c>
      <c r="E265" s="1" t="n">
        <v>46286</v>
      </c>
      <c r="F265" t="inlineStr">
        <is>
          <t>VÄRMLANDS LÄN</t>
        </is>
      </c>
      <c r="G265" t="inlineStr">
        <is>
          <t>KRISTINEHAMN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42408-2022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44831</v>
      </c>
      <c r="E266" s="1" t="n">
        <v>46286</v>
      </c>
      <c r="F266" t="inlineStr">
        <is>
          <t>VÄRMLANDS LÄN</t>
        </is>
      </c>
      <c r="G266" t="inlineStr">
        <is>
          <t>KRISTINEHAMN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24710-2024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45460</v>
      </c>
      <c r="E267" s="1" t="n">
        <v>46286</v>
      </c>
      <c r="F267" t="inlineStr">
        <is>
          <t>VÄRMLANDS LÄN</t>
        </is>
      </c>
      <c r="G267" t="inlineStr">
        <is>
          <t>KRISTINEHAMN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45401</v>
      </c>
      <c r="E268" s="1" t="n">
        <v>46286</v>
      </c>
      <c r="F268" t="inlineStr">
        <is>
          <t>VÄRMLANDS LÄN</t>
        </is>
      </c>
      <c r="G268" t="inlineStr">
        <is>
          <t>KRISTINEHAMN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46286</v>
      </c>
      <c r="F269" t="inlineStr">
        <is>
          <t>VÄRMLANDS LÄN</t>
        </is>
      </c>
      <c r="G269" t="inlineStr">
        <is>
          <t>KRISTINEHAMN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46286</v>
      </c>
      <c r="F270" t="inlineStr">
        <is>
          <t>VÄRMLANDS LÄN</t>
        </is>
      </c>
      <c r="G270" t="inlineStr">
        <is>
          <t>KRISTINEHAMN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46171</v>
      </c>
      <c r="E271" s="1" t="n">
        <v>46286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46286</v>
      </c>
      <c r="F272" t="inlineStr">
        <is>
          <t>VÄRMLANDS LÄN</t>
        </is>
      </c>
      <c r="G272" t="inlineStr">
        <is>
          <t>KRISTINEHAMN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44918</v>
      </c>
      <c r="E273" s="1" t="n">
        <v>46286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Kommuner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45176</v>
      </c>
      <c r="E274" s="1" t="n">
        <v>46286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Naturvårdsverket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46286</v>
      </c>
      <c r="F275" t="inlineStr">
        <is>
          <t>VÄRMLANDS LÄN</t>
        </is>
      </c>
      <c r="G275" t="inlineStr">
        <is>
          <t>KRISTINEHAMN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46286</v>
      </c>
      <c r="F276" t="inlineStr">
        <is>
          <t>VÄRMLANDS LÄN</t>
        </is>
      </c>
      <c r="G276" t="inlineStr">
        <is>
          <t>KRISTINEHAMN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46286</v>
      </c>
      <c r="F277" t="inlineStr">
        <is>
          <t>VÄRMLANDS LÄN</t>
        </is>
      </c>
      <c r="G277" t="inlineStr">
        <is>
          <t>KRISTINEHAMN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45243</v>
      </c>
      <c r="E278" s="1" t="n">
        <v>46286</v>
      </c>
      <c r="F278" t="inlineStr">
        <is>
          <t>VÄRMLANDS LÄN</t>
        </is>
      </c>
      <c r="G278" t="inlineStr">
        <is>
          <t>KRISTINEHAMN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45243</v>
      </c>
      <c r="E279" s="1" t="n">
        <v>46286</v>
      </c>
      <c r="F279" t="inlineStr">
        <is>
          <t>VÄRMLANDS LÄN</t>
        </is>
      </c>
      <c r="G279" t="inlineStr">
        <is>
          <t>KRISTINEHAMN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46286</v>
      </c>
      <c r="F280" t="inlineStr">
        <is>
          <t>VÄRMLANDS LÄN</t>
        </is>
      </c>
      <c r="G280" t="inlineStr">
        <is>
          <t>KRISTINEHAMN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46286</v>
      </c>
      <c r="F281" t="inlineStr">
        <is>
          <t>VÄRMLANDS LÄN</t>
        </is>
      </c>
      <c r="G281" t="inlineStr">
        <is>
          <t>KRISTINEHAMN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45302</v>
      </c>
      <c r="E282" s="1" t="n">
        <v>46286</v>
      </c>
      <c r="F282" t="inlineStr">
        <is>
          <t>VÄRMLANDS LÄN</t>
        </is>
      </c>
      <c r="G282" t="inlineStr">
        <is>
          <t>KRISTINEHAMN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46286</v>
      </c>
      <c r="F283" t="inlineStr">
        <is>
          <t>VÄRMLANDS LÄN</t>
        </is>
      </c>
      <c r="G283" t="inlineStr">
        <is>
          <t>KRISTINEHAMN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23706-2022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46286</v>
      </c>
      <c r="F284" t="inlineStr">
        <is>
          <t>VÄRMLANDS LÄN</t>
        </is>
      </c>
      <c r="G284" t="inlineStr">
        <is>
          <t>KRISTINEHAMN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45002</v>
      </c>
      <c r="E285" s="1" t="n">
        <v>46286</v>
      </c>
      <c r="F285" t="inlineStr">
        <is>
          <t>VÄRMLANDS LÄN</t>
        </is>
      </c>
      <c r="G285" t="inlineStr">
        <is>
          <t>KRISTINEHAMN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46049</v>
      </c>
      <c r="E286" s="1" t="n">
        <v>46286</v>
      </c>
      <c r="F286" t="inlineStr">
        <is>
          <t>VÄRMLANDS LÄN</t>
        </is>
      </c>
      <c r="G286" t="inlineStr">
        <is>
          <t>KRISTINEHAMN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44677</v>
      </c>
      <c r="E287" s="1" t="n">
        <v>46286</v>
      </c>
      <c r="F287" t="inlineStr">
        <is>
          <t>VÄRMLANDS LÄN</t>
        </is>
      </c>
      <c r="G287" t="inlineStr">
        <is>
          <t>KRISTINEHAMN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46286</v>
      </c>
      <c r="F288" t="inlineStr">
        <is>
          <t>VÄRMLANDS LÄN</t>
        </is>
      </c>
      <c r="G288" t="inlineStr">
        <is>
          <t>KRISTINEHAMN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47398-2023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46286</v>
      </c>
      <c r="F289" t="inlineStr">
        <is>
          <t>VÄRMLANDS LÄN</t>
        </is>
      </c>
      <c r="G289" t="inlineStr">
        <is>
          <t>KRISTINEHAMN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6259-2026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46051</v>
      </c>
      <c r="E290" s="1" t="n">
        <v>46286</v>
      </c>
      <c r="F290" t="inlineStr">
        <is>
          <t>VÄRMLANDS LÄN</t>
        </is>
      </c>
      <c r="G290" t="inlineStr">
        <is>
          <t>KRISTINEHAMN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25258-2026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46175</v>
      </c>
      <c r="E291" s="1" t="n">
        <v>46286</v>
      </c>
      <c r="F291" t="inlineStr">
        <is>
          <t>VÄRMLANDS LÄN</t>
        </is>
      </c>
      <c r="G291" t="inlineStr">
        <is>
          <t>KRISTINEHAMN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46286</v>
      </c>
      <c r="F292" t="inlineStr">
        <is>
          <t>VÄRMLANDS LÄN</t>
        </is>
      </c>
      <c r="G292" t="inlineStr">
        <is>
          <t>KRISTINEHAMN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45302</v>
      </c>
      <c r="E293" s="1" t="n">
        <v>46286</v>
      </c>
      <c r="F293" t="inlineStr">
        <is>
          <t>VÄRMLANDS LÄN</t>
        </is>
      </c>
      <c r="G293" t="inlineStr">
        <is>
          <t>KRISTINEHAMN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45393</v>
      </c>
      <c r="E294" s="1" t="n">
        <v>46286</v>
      </c>
      <c r="F294" t="inlineStr">
        <is>
          <t>VÄRMLANDS LÄN</t>
        </is>
      </c>
      <c r="G294" t="inlineStr">
        <is>
          <t>KRISTINEHAMN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55890-2023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45239</v>
      </c>
      <c r="E295" s="1" t="n">
        <v>46286</v>
      </c>
      <c r="F295" t="inlineStr">
        <is>
          <t>VÄRMLANDS LÄN</t>
        </is>
      </c>
      <c r="G295" t="inlineStr">
        <is>
          <t>KRISTINEHAMN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45058</v>
      </c>
      <c r="E296" s="1" t="n">
        <v>46286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Kommuner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45442</v>
      </c>
      <c r="E297" s="1" t="n">
        <v>46286</v>
      </c>
      <c r="F297" t="inlineStr">
        <is>
          <t>VÄRMLANDS LÄN</t>
        </is>
      </c>
      <c r="G297" t="inlineStr">
        <is>
          <t>KRISTINEHAMN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46286</v>
      </c>
      <c r="F298" t="inlineStr">
        <is>
          <t>VÄRMLANDS LÄN</t>
        </is>
      </c>
      <c r="G298" t="inlineStr">
        <is>
          <t>KRISTINEHAMN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46286</v>
      </c>
      <c r="F299" t="inlineStr">
        <is>
          <t>VÄRMLANDS LÄN</t>
        </is>
      </c>
      <c r="G299" t="inlineStr">
        <is>
          <t>KRISTINEHAMN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46286</v>
      </c>
      <c r="F300" t="inlineStr">
        <is>
          <t>VÄRMLANDS LÄN</t>
        </is>
      </c>
      <c r="G300" t="inlineStr">
        <is>
          <t>KRISTINEHAMN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45679</v>
      </c>
      <c r="E301" s="1" t="n">
        <v>46286</v>
      </c>
      <c r="F301" t="inlineStr">
        <is>
          <t>VÄRMLANDS LÄN</t>
        </is>
      </c>
      <c r="G301" t="inlineStr">
        <is>
          <t>KRISTINEHAMN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2522-2026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46037</v>
      </c>
      <c r="E302" s="1" t="n">
        <v>46286</v>
      </c>
      <c r="F302" t="inlineStr">
        <is>
          <t>VÄRMLANDS LÄN</t>
        </is>
      </c>
      <c r="G302" t="inlineStr">
        <is>
          <t>KRISTINEHAMN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45379</v>
      </c>
      <c r="E303" s="1" t="n">
        <v>46286</v>
      </c>
      <c r="F303" t="inlineStr">
        <is>
          <t>VÄRMLANDS LÄN</t>
        </is>
      </c>
      <c r="G303" t="inlineStr">
        <is>
          <t>KRISTINEHAMN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45379</v>
      </c>
      <c r="E304" s="1" t="n">
        <v>46286</v>
      </c>
      <c r="F304" t="inlineStr">
        <is>
          <t>VÄRMLANDS LÄN</t>
        </is>
      </c>
      <c r="G304" t="inlineStr">
        <is>
          <t>KRISTINEHAMN</t>
        </is>
      </c>
      <c r="I304" t="n">
        <v>12.6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46083</v>
      </c>
      <c r="E305" s="1" t="n">
        <v>46286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46286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46286</v>
      </c>
      <c r="F307" t="inlineStr">
        <is>
          <t>VÄRMLANDS LÄN</t>
        </is>
      </c>
      <c r="G307" t="inlineStr">
        <is>
          <t>KRISTINEHAMN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46286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46286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46286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46286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54690-2022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44883</v>
      </c>
      <c r="E312" s="1" t="n">
        <v>46286</v>
      </c>
      <c r="F312" t="inlineStr">
        <is>
          <t>VÄRMLANDS LÄN</t>
        </is>
      </c>
      <c r="G312" t="inlineStr">
        <is>
          <t>KRISTINEHAMN</t>
        </is>
      </c>
      <c r="I312" t="n">
        <v>11.1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46286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46286</v>
      </c>
      <c r="F314" t="inlineStr">
        <is>
          <t>VÄRMLANDS LÄN</t>
        </is>
      </c>
      <c r="G314" t="inlineStr">
        <is>
          <t>KRISTINEHAMN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44085-2023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46286</v>
      </c>
      <c r="F315" t="inlineStr">
        <is>
          <t>VÄRMLANDS LÄN</t>
        </is>
      </c>
      <c r="G315" t="inlineStr">
        <is>
          <t>KRISTINEHAMN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22896-2023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45072</v>
      </c>
      <c r="E316" s="1" t="n">
        <v>46286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Bergvik skog väst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46286</v>
      </c>
      <c r="F317" t="inlineStr">
        <is>
          <t>VÄRMLANDS LÄN</t>
        </is>
      </c>
      <c r="G317" t="inlineStr">
        <is>
          <t>KRISTINEHAMN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14757-2026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46286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46286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46286</v>
      </c>
      <c r="F320" t="inlineStr">
        <is>
          <t>VÄRMLANDS LÄN</t>
        </is>
      </c>
      <c r="G320" t="inlineStr">
        <is>
          <t>KRISTINEHAMN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15646-2026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46106</v>
      </c>
      <c r="E321" s="1" t="n">
        <v>46286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46107</v>
      </c>
      <c r="E322" s="1" t="n">
        <v>46286</v>
      </c>
      <c r="F322" t="inlineStr">
        <is>
          <t>VÄRMLANDS LÄN</t>
        </is>
      </c>
      <c r="G322" t="inlineStr">
        <is>
          <t>KRISTINEHAMN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46286</v>
      </c>
      <c r="F323" t="inlineStr">
        <is>
          <t>VÄRMLANDS LÄN</t>
        </is>
      </c>
      <c r="G323" t="inlineStr">
        <is>
          <t>KRISTINEHAMN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46286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46286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46286</v>
      </c>
      <c r="F326" t="inlineStr">
        <is>
          <t>VÄRMLANDS LÄN</t>
        </is>
      </c>
      <c r="G326" t="inlineStr">
        <is>
          <t>KRISTINEHAMN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12319-2022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46286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45513</v>
      </c>
      <c r="E328" s="1" t="n">
        <v>46286</v>
      </c>
      <c r="F328" t="inlineStr">
        <is>
          <t>VÄRMLANDS LÄN</t>
        </is>
      </c>
      <c r="G328" t="inlineStr">
        <is>
          <t>KRISTINEHAMN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46286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45386</v>
      </c>
      <c r="E330" s="1" t="n">
        <v>46286</v>
      </c>
      <c r="F330" t="inlineStr">
        <is>
          <t>VÄRMLANDS LÄN</t>
        </is>
      </c>
      <c r="G330" t="inlineStr">
        <is>
          <t>KRISTINEHAMN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46286</v>
      </c>
      <c r="F331" t="inlineStr">
        <is>
          <t>VÄRMLANDS LÄN</t>
        </is>
      </c>
      <c r="G331" t="inlineStr">
        <is>
          <t>KRISTINEHAMN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32821-2023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45112</v>
      </c>
      <c r="E332" s="1" t="n">
        <v>46286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Kommuner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46129</v>
      </c>
      <c r="E333" s="1" t="n">
        <v>46286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46129</v>
      </c>
      <c r="E334" s="1" t="n">
        <v>46286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44985</v>
      </c>
      <c r="E335" s="1" t="n">
        <v>46286</v>
      </c>
      <c r="F335" t="inlineStr">
        <is>
          <t>VÄRMLANDS LÄN</t>
        </is>
      </c>
      <c r="G335" t="inlineStr">
        <is>
          <t>KRISTINEHAMN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46286</v>
      </c>
      <c r="F336" t="inlineStr">
        <is>
          <t>VÄRMLANDS LÄN</t>
        </is>
      </c>
      <c r="G336" t="inlineStr">
        <is>
          <t>KRISTINEHAMN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32821-2023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45112</v>
      </c>
      <c r="E337" s="1" t="n">
        <v>46286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Kommuner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46286</v>
      </c>
      <c r="F338" t="inlineStr">
        <is>
          <t>VÄRMLANDS LÄN</t>
        </is>
      </c>
      <c r="G338" t="inlineStr">
        <is>
          <t>KRISTINEHAMN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46286</v>
      </c>
      <c r="F339" t="inlineStr">
        <is>
          <t>VÄRMLANDS LÄN</t>
        </is>
      </c>
      <c r="G339" t="inlineStr">
        <is>
          <t>KRISTINEHAMN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44924</v>
      </c>
      <c r="E340" s="1" t="n">
        <v>46286</v>
      </c>
      <c r="F340" t="inlineStr">
        <is>
          <t>VÄRMLANDS LÄN</t>
        </is>
      </c>
      <c r="G340" t="inlineStr">
        <is>
          <t>KRISTINEHAMN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48405-2023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45201</v>
      </c>
      <c r="E341" s="1" t="n">
        <v>46286</v>
      </c>
      <c r="F341" t="inlineStr">
        <is>
          <t>VÄRMLANDS LÄN</t>
        </is>
      </c>
      <c r="G341" t="inlineStr">
        <is>
          <t>KRISTINEHAMN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46286</v>
      </c>
      <c r="F342" t="inlineStr">
        <is>
          <t>VÄRMLANDS LÄN</t>
        </is>
      </c>
      <c r="G342" t="inlineStr">
        <is>
          <t>KRISTINEHAMN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45377</v>
      </c>
      <c r="E343" s="1" t="n">
        <v>46286</v>
      </c>
      <c r="F343" t="inlineStr">
        <is>
          <t>VÄRMLANDS LÄN</t>
        </is>
      </c>
      <c r="G343" t="inlineStr">
        <is>
          <t>KRISTINEHAMN</t>
        </is>
      </c>
      <c r="I343" t="n">
        <v>13.2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46286</v>
      </c>
      <c r="F344" t="inlineStr">
        <is>
          <t>VÄRMLANDS LÄN</t>
        </is>
      </c>
      <c r="G344" t="inlineStr">
        <is>
          <t>KRISTINEHAMN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46286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45888</v>
      </c>
      <c r="E346" s="1" t="n">
        <v>46286</v>
      </c>
      <c r="F346" t="inlineStr">
        <is>
          <t>VÄRMLANDS LÄN</t>
        </is>
      </c>
      <c r="G346" t="inlineStr">
        <is>
          <t>KRISTINEHAMN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46286</v>
      </c>
      <c r="F347" t="inlineStr">
        <is>
          <t>VÄRMLANDS LÄN</t>
        </is>
      </c>
      <c r="G347" t="inlineStr">
        <is>
          <t>KRISTINEHAMN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46286</v>
      </c>
      <c r="F348" t="inlineStr">
        <is>
          <t>VÄRMLANDS LÄN</t>
        </is>
      </c>
      <c r="G348" t="inlineStr">
        <is>
          <t>KRISTINEHAMN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46286</v>
      </c>
      <c r="F349" t="inlineStr">
        <is>
          <t>VÄRMLANDS LÄN</t>
        </is>
      </c>
      <c r="G349" t="inlineStr">
        <is>
          <t>KRISTINEHAMN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46286</v>
      </c>
      <c r="F350" t="inlineStr">
        <is>
          <t>VÄRMLANDS LÄN</t>
        </is>
      </c>
      <c r="G350" t="inlineStr">
        <is>
          <t>KRISTINEHAMN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45656</v>
      </c>
      <c r="E351" s="1" t="n">
        <v>46286</v>
      </c>
      <c r="F351" t="inlineStr">
        <is>
          <t>VÄRMLANDS LÄN</t>
        </is>
      </c>
      <c r="G351" t="inlineStr">
        <is>
          <t>KRISTINEHAMN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27077-2025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45811</v>
      </c>
      <c r="E352" s="1" t="n">
        <v>46286</v>
      </c>
      <c r="F352" t="inlineStr">
        <is>
          <t>VÄRMLANDS LÄN</t>
        </is>
      </c>
      <c r="G352" t="inlineStr">
        <is>
          <t>KRISTINEHAMN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59144-2021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44490</v>
      </c>
      <c r="E353" s="1" t="n">
        <v>46286</v>
      </c>
      <c r="F353" t="inlineStr">
        <is>
          <t>VÄRMLANDS LÄN</t>
        </is>
      </c>
      <c r="G353" t="inlineStr">
        <is>
          <t>KRISTINEHAMN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45323</v>
      </c>
      <c r="E354" s="1" t="n">
        <v>46286</v>
      </c>
      <c r="F354" t="inlineStr">
        <is>
          <t>VÄRMLANDS LÄN</t>
        </is>
      </c>
      <c r="G354" t="inlineStr">
        <is>
          <t>KRISTINEHAMN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44651</v>
      </c>
      <c r="E355" s="1" t="n">
        <v>46286</v>
      </c>
      <c r="F355" t="inlineStr">
        <is>
          <t>VÄRMLANDS LÄN</t>
        </is>
      </c>
      <c r="G355" t="inlineStr">
        <is>
          <t>KRISTINEHAMN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46286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46286</v>
      </c>
      <c r="F357" t="inlineStr">
        <is>
          <t>VÄRMLANDS LÄN</t>
        </is>
      </c>
      <c r="G357" t="inlineStr">
        <is>
          <t>KRISTINEHAMN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29874-2026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46286</v>
      </c>
      <c r="F358" t="inlineStr">
        <is>
          <t>VÄRMLANDS LÄN</t>
        </is>
      </c>
      <c r="G358" t="inlineStr">
        <is>
          <t>KRISTINEHAMN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60567-2024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45644</v>
      </c>
      <c r="E359" s="1" t="n">
        <v>46286</v>
      </c>
      <c r="F359" t="inlineStr">
        <is>
          <t>VÄRMLANDS LÄN</t>
        </is>
      </c>
      <c r="G359" t="inlineStr">
        <is>
          <t>KRISTINEHAMN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44722</v>
      </c>
      <c r="E360" s="1" t="n">
        <v>46286</v>
      </c>
      <c r="F360" t="inlineStr">
        <is>
          <t>VÄRMLANDS LÄN</t>
        </is>
      </c>
      <c r="G360" t="inlineStr">
        <is>
          <t>KRISTINEHAMN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45685</v>
      </c>
      <c r="E361" s="1" t="n">
        <v>46286</v>
      </c>
      <c r="F361" t="inlineStr">
        <is>
          <t>VÄRMLANDS LÄN</t>
        </is>
      </c>
      <c r="G361" t="inlineStr">
        <is>
          <t>KRISTINEHAMN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45705</v>
      </c>
      <c r="E362" s="1" t="n">
        <v>46286</v>
      </c>
      <c r="F362" t="inlineStr">
        <is>
          <t>VÄRMLANDS LÄN</t>
        </is>
      </c>
      <c r="G362" t="inlineStr">
        <is>
          <t>KRISTINEHAMN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46286</v>
      </c>
      <c r="F363" t="inlineStr">
        <is>
          <t>VÄRMLANDS LÄN</t>
        </is>
      </c>
      <c r="G363" t="inlineStr">
        <is>
          <t>KRISTINEHAMN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70126-2021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44533</v>
      </c>
      <c r="E364" s="1" t="n">
        <v>46286</v>
      </c>
      <c r="F364" t="inlineStr">
        <is>
          <t>VÄRMLANDS LÄN</t>
        </is>
      </c>
      <c r="G364" t="inlineStr">
        <is>
          <t>KRISTINEHAMN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46526-2022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44847</v>
      </c>
      <c r="E365" s="1" t="n">
        <v>46286</v>
      </c>
      <c r="F365" t="inlineStr">
        <is>
          <t>VÄRMLANDS LÄN</t>
        </is>
      </c>
      <c r="G365" t="inlineStr">
        <is>
          <t>KRISTINEHAMN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30986-2026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46213</v>
      </c>
      <c r="E366" s="1" t="n">
        <v>46286</v>
      </c>
      <c r="F366" t="inlineStr">
        <is>
          <t>VÄRMLANDS LÄN</t>
        </is>
      </c>
      <c r="G366" t="inlineStr">
        <is>
          <t>KRISTINEHAMN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45595</v>
      </c>
      <c r="E367" s="1" t="n">
        <v>46286</v>
      </c>
      <c r="F367" t="inlineStr">
        <is>
          <t>VÄRMLANDS LÄN</t>
        </is>
      </c>
      <c r="G367" t="inlineStr">
        <is>
          <t>KRISTINEHAMN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45081</v>
      </c>
      <c r="E368" s="1" t="n">
        <v>46286</v>
      </c>
      <c r="F368" t="inlineStr">
        <is>
          <t>VÄRMLANDS LÄN</t>
        </is>
      </c>
      <c r="G368" t="inlineStr">
        <is>
          <t>KRISTINEHAMN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45701</v>
      </c>
      <c r="E369" s="1" t="n">
        <v>46286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Naturvårdsverket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46286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46286</v>
      </c>
      <c r="F371" t="inlineStr">
        <is>
          <t>VÄRMLANDS LÄN</t>
        </is>
      </c>
      <c r="G371" t="inlineStr">
        <is>
          <t>KRISTINEHAMN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56522-2021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44480</v>
      </c>
      <c r="E372" s="1" t="n">
        <v>46286</v>
      </c>
      <c r="F372" t="inlineStr">
        <is>
          <t>VÄRMLANDS LÄN</t>
        </is>
      </c>
      <c r="G372" t="inlineStr">
        <is>
          <t>KRISTINEHAMN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45315</v>
      </c>
      <c r="E373" s="1" t="n">
        <v>46286</v>
      </c>
      <c r="F373" t="inlineStr">
        <is>
          <t>VÄRMLANDS LÄN</t>
        </is>
      </c>
      <c r="G373" t="inlineStr">
        <is>
          <t>KRISTINEHAMN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7222-2024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45344</v>
      </c>
      <c r="E374" s="1" t="n">
        <v>46286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Naturvårdsverket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65050-2023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45282</v>
      </c>
      <c r="E375" s="1" t="n">
        <v>46286</v>
      </c>
      <c r="F375" t="inlineStr">
        <is>
          <t>VÄRMLANDS LÄN</t>
        </is>
      </c>
      <c r="G375" t="inlineStr">
        <is>
          <t>KRISTINEHAMN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46286</v>
      </c>
      <c r="F376" t="inlineStr">
        <is>
          <t>VÄRMLANDS LÄN</t>
        </is>
      </c>
      <c r="G376" t="inlineStr">
        <is>
          <t>KRISTINEHAMN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46286</v>
      </c>
      <c r="F377" t="inlineStr">
        <is>
          <t>VÄRMLANDS LÄN</t>
        </is>
      </c>
      <c r="G377" t="inlineStr">
        <is>
          <t>KRISTINEHAMN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33464-2023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45118</v>
      </c>
      <c r="E378" s="1" t="n">
        <v>46286</v>
      </c>
      <c r="F378" t="inlineStr">
        <is>
          <t>VÄRMLANDS LÄN</t>
        </is>
      </c>
      <c r="G378" t="inlineStr">
        <is>
          <t>KRISTINEHAMN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19292-2025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45769</v>
      </c>
      <c r="E379" s="1" t="n">
        <v>46286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Kyrkan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46286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56697-2022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44888</v>
      </c>
      <c r="E381" s="1" t="n">
        <v>46286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23707-2022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44722</v>
      </c>
      <c r="E382" s="1" t="n">
        <v>46286</v>
      </c>
      <c r="F382" t="inlineStr">
        <is>
          <t>VÄRMLANDS LÄN</t>
        </is>
      </c>
      <c r="G382" t="inlineStr">
        <is>
          <t>KRISTINEHAMN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12395-2024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45379</v>
      </c>
      <c r="E383" s="1" t="n">
        <v>46286</v>
      </c>
      <c r="F383" t="inlineStr">
        <is>
          <t>VÄRMLANDS LÄN</t>
        </is>
      </c>
      <c r="G383" t="inlineStr">
        <is>
          <t>KRISTINEHAMN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28834-2024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45478</v>
      </c>
      <c r="E384" s="1" t="n">
        <v>46286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44770</v>
      </c>
      <c r="E385" s="1" t="n">
        <v>46286</v>
      </c>
      <c r="F385" t="inlineStr">
        <is>
          <t>VÄRMLANDS LÄN</t>
        </is>
      </c>
      <c r="G385" t="inlineStr">
        <is>
          <t>KRISTINEHAMN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6936-2025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45701</v>
      </c>
      <c r="E386" s="1" t="n">
        <v>46286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21602-2025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45783</v>
      </c>
      <c r="E387" s="1" t="n">
        <v>46286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46230</v>
      </c>
      <c r="E388" s="1" t="n">
        <v>46286</v>
      </c>
      <c r="F388" t="inlineStr">
        <is>
          <t>VÄRMLANDS LÄN</t>
        </is>
      </c>
      <c r="G388" t="inlineStr">
        <is>
          <t>KRISTINEHAMN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37180-2026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46274</v>
      </c>
      <c r="E389" s="1" t="n">
        <v>46286</v>
      </c>
      <c r="F389" t="inlineStr">
        <is>
          <t>VÄRMLANDS LÄN</t>
        </is>
      </c>
      <c r="G389" t="inlineStr">
        <is>
          <t>KRISTINEHAMN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46274</v>
      </c>
      <c r="E390" s="1" t="n">
        <v>46286</v>
      </c>
      <c r="F390" t="inlineStr">
        <is>
          <t>VÄRMLANDS LÄN</t>
        </is>
      </c>
      <c r="G390" t="inlineStr">
        <is>
          <t>KRISTINEHAMN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46286</v>
      </c>
      <c r="F391" t="inlineStr">
        <is>
          <t>VÄRMLANDS LÄN</t>
        </is>
      </c>
      <c r="G391" t="inlineStr">
        <is>
          <t>KRISTINEHAMN</t>
        </is>
      </c>
      <c r="I391" t="n">
        <v>8.300000000000001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46281</v>
      </c>
      <c r="E392" s="1" t="n">
        <v>46286</v>
      </c>
      <c r="F392" t="inlineStr">
        <is>
          <t>VÄRMLANDS LÄN</t>
        </is>
      </c>
      <c r="G392" t="inlineStr">
        <is>
          <t>KRISTINEHAMN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44805</v>
      </c>
      <c r="E393" s="1" t="n">
        <v>46286</v>
      </c>
      <c r="F393" t="inlineStr">
        <is>
          <t>VÄRMLANDS LÄN</t>
        </is>
      </c>
      <c r="G393" t="inlineStr">
        <is>
          <t>KRISTINEHAMN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46286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14.1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23510-2025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45792</v>
      </c>
      <c r="E395" s="1" t="n">
        <v>46286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45792</v>
      </c>
      <c r="E396" s="1" t="n">
        <v>46286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45792</v>
      </c>
      <c r="E397" s="1" t="n">
        <v>46286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46286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45700</v>
      </c>
      <c r="E399" s="1" t="n">
        <v>46286</v>
      </c>
      <c r="F399" t="inlineStr">
        <is>
          <t>VÄRMLANDS LÄN</t>
        </is>
      </c>
      <c r="G399" t="inlineStr">
        <is>
          <t>KRISTINEHAMN</t>
        </is>
      </c>
      <c r="I399" t="n">
        <v>11.2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45686</v>
      </c>
      <c r="E400" s="1" t="n">
        <v>46286</v>
      </c>
      <c r="F400" t="inlineStr">
        <is>
          <t>VÄRMLANDS LÄN</t>
        </is>
      </c>
      <c r="G400" t="inlineStr">
        <is>
          <t>KRISTINEHAMN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46286</v>
      </c>
      <c r="F401" t="inlineStr">
        <is>
          <t>VÄRMLANDS LÄN</t>
        </is>
      </c>
      <c r="G401" t="inlineStr">
        <is>
          <t>KRISTINEHAMN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45282</v>
      </c>
      <c r="E402" s="1" t="n">
        <v>46286</v>
      </c>
      <c r="F402" t="inlineStr">
        <is>
          <t>VÄRMLANDS LÄN</t>
        </is>
      </c>
      <c r="G402" t="inlineStr">
        <is>
          <t>KRISTINEHAMN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46286</v>
      </c>
      <c r="F403" t="inlineStr">
        <is>
          <t>VÄRMLANDS LÄN</t>
        </is>
      </c>
      <c r="G403" t="inlineStr">
        <is>
          <t>KRISTINEHAMN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46286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45012-2024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45575</v>
      </c>
      <c r="E405" s="1" t="n">
        <v>46286</v>
      </c>
      <c r="F405" t="inlineStr">
        <is>
          <t>VÄRMLANDS LÄN</t>
        </is>
      </c>
      <c r="G405" t="inlineStr">
        <is>
          <t>KRISTINEHAMN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46282</v>
      </c>
      <c r="E406" s="1" t="n">
        <v>46286</v>
      </c>
      <c r="F406" t="inlineStr">
        <is>
          <t>VÄRMLANDS LÄN</t>
        </is>
      </c>
      <c r="G406" t="inlineStr">
        <is>
          <t>KRISTINEHAMN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46282</v>
      </c>
      <c r="E407" s="1" t="n">
        <v>46286</v>
      </c>
      <c r="F407" t="inlineStr">
        <is>
          <t>VÄRMLANDS LÄN</t>
        </is>
      </c>
      <c r="G407" t="inlineStr">
        <is>
          <t>KRISTINEHAMN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39997-2024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46286</v>
      </c>
      <c r="F408" t="inlineStr">
        <is>
          <t>VÄRMLANDS LÄN</t>
        </is>
      </c>
      <c r="G408" t="inlineStr">
        <is>
          <t>KRISTINEHAMN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45798</v>
      </c>
      <c r="E409" s="1" t="n">
        <v>46286</v>
      </c>
      <c r="F409" t="inlineStr">
        <is>
          <t>VÄRMLANDS LÄN</t>
        </is>
      </c>
      <c r="G409" t="inlineStr">
        <is>
          <t>KRISTINEHAMN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45802</v>
      </c>
      <c r="E410" s="1" t="n">
        <v>46286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Naturvårdsverket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45805</v>
      </c>
      <c r="E411" s="1" t="n">
        <v>46286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46286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26623-2025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45810</v>
      </c>
      <c r="E413" s="1" t="n">
        <v>46286</v>
      </c>
      <c r="F413" t="inlineStr">
        <is>
          <t>VÄRMLANDS LÄN</t>
        </is>
      </c>
      <c r="G413" t="inlineStr">
        <is>
          <t>KRISTINEHAMN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45810</v>
      </c>
      <c r="E414" s="1" t="n">
        <v>46286</v>
      </c>
      <c r="F414" t="inlineStr">
        <is>
          <t>VÄRMLANDS LÄN</t>
        </is>
      </c>
      <c r="G414" t="inlineStr">
        <is>
          <t>KRISTINEHAMN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45812</v>
      </c>
      <c r="E415" s="1" t="n">
        <v>46286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45812</v>
      </c>
      <c r="E416" s="1" t="n">
        <v>46286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28731-2025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45820</v>
      </c>
      <c r="E417" s="1" t="n">
        <v>46286</v>
      </c>
      <c r="F417" t="inlineStr">
        <is>
          <t>VÄRMLANDS LÄN</t>
        </is>
      </c>
      <c r="G417" t="inlineStr">
        <is>
          <t>KRISTINEHAMN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45364</v>
      </c>
      <c r="E418" s="1" t="n">
        <v>46286</v>
      </c>
      <c r="F418" t="inlineStr">
        <is>
          <t>VÄRMLANDS LÄN</t>
        </is>
      </c>
      <c r="G418" t="inlineStr">
        <is>
          <t>KRISTINEHAMN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45385</v>
      </c>
      <c r="E419" s="1" t="n">
        <v>46286</v>
      </c>
      <c r="F419" t="inlineStr">
        <is>
          <t>VÄRMLANDS LÄN</t>
        </is>
      </c>
      <c r="G419" t="inlineStr">
        <is>
          <t>KRISTINEHAMN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30221-2025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46286</v>
      </c>
      <c r="F420" t="inlineStr">
        <is>
          <t>VÄRMLANDS LÄN</t>
        </is>
      </c>
      <c r="G420" t="inlineStr">
        <is>
          <t>KRISTINEHAMN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12261-2024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45378</v>
      </c>
      <c r="E421" s="1" t="n">
        <v>46286</v>
      </c>
      <c r="F421" t="inlineStr">
        <is>
          <t>VÄRMLANDS LÄN</t>
        </is>
      </c>
      <c r="G421" t="inlineStr">
        <is>
          <t>KRISTINEHAMN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45364</v>
      </c>
      <c r="E422" s="1" t="n">
        <v>46286</v>
      </c>
      <c r="F422" t="inlineStr">
        <is>
          <t>VÄRMLANDS LÄN</t>
        </is>
      </c>
      <c r="G422" t="inlineStr">
        <is>
          <t>KRISTINEHAMN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45364</v>
      </c>
      <c r="E423" s="1" t="n">
        <v>46286</v>
      </c>
      <c r="F423" t="inlineStr">
        <is>
          <t>VÄRMLANDS LÄN</t>
        </is>
      </c>
      <c r="G423" t="inlineStr">
        <is>
          <t>KRISTINEHAMN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45833</v>
      </c>
      <c r="E424" s="1" t="n">
        <v>46286</v>
      </c>
      <c r="F424" t="inlineStr">
        <is>
          <t>VÄRMLANDS LÄN</t>
        </is>
      </c>
      <c r="G424" t="inlineStr">
        <is>
          <t>KRISTINEHAMN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45832</v>
      </c>
      <c r="E425" s="1" t="n">
        <v>46286</v>
      </c>
      <c r="F425" t="inlineStr">
        <is>
          <t>VÄRMLANDS LÄN</t>
        </is>
      </c>
      <c r="G425" t="inlineStr">
        <is>
          <t>KRISTINEHAMN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45833</v>
      </c>
      <c r="E426" s="1" t="n">
        <v>46286</v>
      </c>
      <c r="F426" t="inlineStr">
        <is>
          <t>VÄRMLANDS LÄN</t>
        </is>
      </c>
      <c r="G426" t="inlineStr">
        <is>
          <t>KRISTINEHAMN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31327-2025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46286</v>
      </c>
      <c r="F427" t="inlineStr">
        <is>
          <t>VÄRMLANDS LÄN</t>
        </is>
      </c>
      <c r="G427" t="inlineStr">
        <is>
          <t>KRISTINEHAMN</t>
        </is>
      </c>
      <c r="I427" t="n">
        <v>20.1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45664</v>
      </c>
      <c r="E428" s="1" t="n">
        <v>46286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21384-2025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45782</v>
      </c>
      <c r="E429" s="1" t="n">
        <v>46286</v>
      </c>
      <c r="F429" t="inlineStr">
        <is>
          <t>VÄRMLANDS LÄN</t>
        </is>
      </c>
      <c r="G429" t="inlineStr">
        <is>
          <t>KRISTINEHAMN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44965</v>
      </c>
      <c r="E430" s="1" t="n">
        <v>46286</v>
      </c>
      <c r="F430" t="inlineStr">
        <is>
          <t>VÄRMLANDS LÄN</t>
        </is>
      </c>
      <c r="G430" t="inlineStr">
        <is>
          <t>KRISTINEHAMN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37267-2025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45876</v>
      </c>
      <c r="E431" s="1" t="n">
        <v>46286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45876</v>
      </c>
      <c r="E432" s="1" t="n">
        <v>46286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1219-2020</t>
        </is>
      </c>
      <c r="B433" t="inlineStr">
        <is>
          <t>samrådsanmälan</t>
        </is>
      </c>
      <c r="C433" t="n">
        <v/>
      </c>
      <c r="D433" s="1" t="n">
        <v>43980</v>
      </c>
      <c r="E433" s="1" t="n">
        <v>46286</v>
      </c>
      <c r="F433" t="inlineStr">
        <is>
          <t>VÄRMLANDS LÄN</t>
        </is>
      </c>
      <c r="G433" t="inlineStr">
        <is>
          <t>KRISTINEHAMN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4147-2023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46286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4149-2023</t>
        </is>
      </c>
      <c r="B435" t="inlineStr">
        <is>
          <t>samrådsanmälan</t>
        </is>
      </c>
      <c r="C435" t="inlineStr">
        <is>
          <t>Skogsgödsling</t>
        </is>
      </c>
      <c r="D435" s="1" t="n">
        <v>45247</v>
      </c>
      <c r="E435" s="1" t="n">
        <v>46286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Naturvårdsverket</t>
        </is>
      </c>
      <c r="I435" t="n">
        <v>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1815-2022</t>
        </is>
      </c>
      <c r="B436" t="inlineStr">
        <is>
          <t>samrådsanmälan</t>
        </is>
      </c>
      <c r="C436" t="inlineStr">
        <is>
          <t>Åtgärd i nyckelbiotop</t>
        </is>
      </c>
      <c r="D436" s="1" t="n">
        <v>44657</v>
      </c>
      <c r="E436" s="1" t="n">
        <v>46286</v>
      </c>
      <c r="F436" t="inlineStr">
        <is>
          <t>VÄRMLANDS LÄN</t>
        </is>
      </c>
      <c r="G436" t="inlineStr">
        <is>
          <t>KRISTINEHAMN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2254-2023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45103</v>
      </c>
      <c r="E437" s="1" t="n">
        <v>46286</v>
      </c>
      <c r="F437" t="inlineStr">
        <is>
          <t>VÄRMLANDS LÄN</t>
        </is>
      </c>
      <c r="G437" t="inlineStr">
        <is>
          <t>KRISTINEHAMN</t>
        </is>
      </c>
      <c r="I437" t="n">
        <v>51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2879-2022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44711</v>
      </c>
      <c r="E438" s="1" t="n">
        <v>46286</v>
      </c>
      <c r="F438" t="inlineStr">
        <is>
          <t>VÄRMLANDS LÄN</t>
        </is>
      </c>
      <c r="G438" t="inlineStr">
        <is>
          <t>KRISTINEHAMN</t>
        </is>
      </c>
      <c r="I438" t="n">
        <v>25.9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1899-2024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46286</v>
      </c>
      <c r="F439" t="inlineStr">
        <is>
          <t>VÄRMLANDS LÄN</t>
        </is>
      </c>
      <c r="G439" t="inlineStr">
        <is>
          <t>KRISTINEHAMN</t>
        </is>
      </c>
      <c r="I439" t="n">
        <v>21.4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2301-2024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45463</v>
      </c>
      <c r="E440" s="1" t="n">
        <v>46286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28.1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2553-2024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45475</v>
      </c>
      <c r="E441" s="1" t="n">
        <v>46286</v>
      </c>
      <c r="F441" t="inlineStr">
        <is>
          <t>VÄRMLANDS LÄN</t>
        </is>
      </c>
      <c r="G441" t="inlineStr">
        <is>
          <t>KRISTINEHAMN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3378-2024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45533</v>
      </c>
      <c r="E442" s="1" t="n">
        <v>46286</v>
      </c>
      <c r="F442" t="inlineStr">
        <is>
          <t>VÄRMLANDS LÄN</t>
        </is>
      </c>
      <c r="G442" t="inlineStr">
        <is>
          <t>KRISTINEHAMN</t>
        </is>
      </c>
      <c r="I442" t="n">
        <v>53.7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2393-2022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44690</v>
      </c>
      <c r="E443" s="1" t="n">
        <v>46286</v>
      </c>
      <c r="F443" t="inlineStr">
        <is>
          <t>VÄRMLANDS LÄN</t>
        </is>
      </c>
      <c r="G443" t="inlineStr">
        <is>
          <t>KRISTINEHAMN</t>
        </is>
      </c>
      <c r="I443" t="n">
        <v>51.7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1903-2024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46286</v>
      </c>
      <c r="F444" t="inlineStr">
        <is>
          <t>VÄRMLANDS LÄN</t>
        </is>
      </c>
      <c r="G444" t="inlineStr">
        <is>
          <t>KRISTINEHAMN</t>
        </is>
      </c>
      <c r="I444" t="n">
        <v>104.3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717-2023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44985</v>
      </c>
      <c r="E445" s="1" t="n">
        <v>46286</v>
      </c>
      <c r="F445" t="inlineStr">
        <is>
          <t>VÄRMLANDS LÄN</t>
        </is>
      </c>
      <c r="G445" t="inlineStr">
        <is>
          <t>KRISTINEHAMN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1412-2024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45414</v>
      </c>
      <c r="E446" s="1" t="n">
        <v>46286</v>
      </c>
      <c r="F446" t="inlineStr">
        <is>
          <t>VÄRMLANDS LÄN</t>
        </is>
      </c>
      <c r="G446" t="inlineStr">
        <is>
          <t>KRISTINEHAMN</t>
        </is>
      </c>
      <c r="I446" t="n">
        <v>42.9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46286</v>
      </c>
      <c r="F447" t="inlineStr">
        <is>
          <t>VÄRMLANDS LÄN</t>
        </is>
      </c>
      <c r="G447" t="inlineStr">
        <is>
          <t>KRISTINEHAMN</t>
        </is>
      </c>
      <c r="I447" t="n">
        <v>63.5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3374-2024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46286</v>
      </c>
      <c r="F448" t="inlineStr">
        <is>
          <t>VÄRMLANDS LÄN</t>
        </is>
      </c>
      <c r="G448" t="inlineStr">
        <is>
          <t>KRISTINEHAMN</t>
        </is>
      </c>
      <c r="I448" t="n">
        <v>18.3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2464-2023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45118</v>
      </c>
      <c r="E449" s="1" t="n">
        <v>46286</v>
      </c>
      <c r="F449" t="inlineStr">
        <is>
          <t>VÄRMLANDS LÄN</t>
        </is>
      </c>
      <c r="G449" t="inlineStr">
        <is>
          <t>KRISTINEHAMN</t>
        </is>
      </c>
      <c r="I449" t="n">
        <v>42.3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4146-2023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45247</v>
      </c>
      <c r="E450" s="1" t="n">
        <v>46286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3007-2024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45512</v>
      </c>
      <c r="E451" s="1" t="n">
        <v>46286</v>
      </c>
      <c r="F451" t="inlineStr">
        <is>
          <t>VÄRMLANDS LÄN</t>
        </is>
      </c>
      <c r="G451" t="inlineStr">
        <is>
          <t>KRISTINEHAMN</t>
        </is>
      </c>
      <c r="I451" t="n">
        <v>56.9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1418-2025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45783</v>
      </c>
      <c r="E452" s="1" t="n">
        <v>46286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1546-2025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45792</v>
      </c>
      <c r="E453" s="1" t="n">
        <v>46286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1698-2025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45805</v>
      </c>
      <c r="E454" s="1" t="n">
        <v>46286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121-2026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46040</v>
      </c>
      <c r="E455" s="1" t="n">
        <v>46286</v>
      </c>
      <c r="F455" t="inlineStr">
        <is>
          <t>VÄRMLANDS LÄN</t>
        </is>
      </c>
      <c r="G455" t="inlineStr">
        <is>
          <t>KRISTINEHAMN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865-2026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46106</v>
      </c>
      <c r="E456" s="1" t="n">
        <v>46286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99-2026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46036</v>
      </c>
      <c r="E457" s="1" t="n">
        <v>46286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80.8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2026-09-21T02:04:38Z</dcterms:created>
  <dcterms:modified xmlns:dcterms="http://purl.org/dc/terms/" xmlns:xsi="http://www.w3.org/2001/XMLSchema-instance" xsi:type="dcterms:W3CDTF">2026-09-21T02:04:38Z</dcterms:modified>
</cp:coreProperties>
</file>