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46266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46266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46266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46266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46266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46266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46266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46266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46266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46266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46266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46266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12593-2024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45380</v>
      </c>
      <c r="E30" s="1" t="n">
        <v>46266</v>
      </c>
      <c r="F30" t="inlineStr">
        <is>
          <t>VÄRMLANDS LÄN</t>
        </is>
      </c>
      <c r="G30" t="inlineStr">
        <is>
          <t>KRISTINEHAMN</t>
        </is>
      </c>
      <c r="I30" t="n">
        <v>5.9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Bombmurkla</t>
        </is>
      </c>
      <c r="W30">
        <f>HYPERLINK("https://klasma.github.io/Logging_1781/artfynd/A 12593-2024 artfynd.xlsx", "A 12593-2024")</f>
        <v/>
      </c>
      <c r="X30">
        <f>HYPERLINK("https://klasma.github.io/Logging_1781/kartor/A 12593-2024 karta.png", "A 12593-2024")</f>
        <v/>
      </c>
      <c r="Y30">
        <f>HYPERLINK("https://klasma.github.io/Logging_1781/kartor_geotiff/A 12593-2024 georefererad karta.tif", "A 12593-2024")</f>
        <v/>
      </c>
      <c r="AA30">
        <f>HYPERLINK("https://klasma.github.io/Logging_1781/klagomål/A 12593-2024 FSC-klagomål.docx", "A 12593-2024")</f>
        <v/>
      </c>
      <c r="AB30">
        <f>HYPERLINK("https://klasma.github.io/Logging_1781/klagomålsmail/A 12593-2024 FSC-klagomål mail.docx", "A 12593-2024")</f>
        <v/>
      </c>
      <c r="AC30">
        <f>HYPERLINK("https://klasma.github.io/Logging_1781/tillsyn/A 12593-2024 tillsynsbegäran.docx", "A 12593-2024")</f>
        <v/>
      </c>
      <c r="AD30">
        <f>HYPERLINK("https://klasma.github.io/Logging_1781/tillsynsmail/A 12593-2024 tillsynsbegäran mail.docx", "A 12593-2024")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46266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46266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46266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46266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46266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46266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46266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46266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46266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46266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46266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46266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46266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46266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46266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46266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46266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46266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46266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46266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46266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46266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46266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46266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46266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46266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46266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46266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46266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46266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46266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46266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46266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46266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46266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46266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46266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46266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46266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46266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46266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46266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46266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46266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46266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46266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46266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46266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46266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46266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46266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46266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46266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46266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46266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46266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46266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46266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46266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46266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46266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21702-2024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45442</v>
      </c>
      <c r="E93" s="1" t="n">
        <v>46266</v>
      </c>
      <c r="F93" t="inlineStr">
        <is>
          <t>VÄRMLANDS LÄN</t>
        </is>
      </c>
      <c r="G93" t="inlineStr">
        <is>
          <t>KRISTINEHAMN</t>
        </is>
      </c>
      <c r="I93" t="n">
        <v>14.9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46266</v>
      </c>
      <c r="F94" t="inlineStr">
        <is>
          <t>VÄRMLANDS LÄN</t>
        </is>
      </c>
      <c r="G94" t="inlineStr">
        <is>
          <t>KRISTINEHAMN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46266</v>
      </c>
      <c r="F95" t="inlineStr">
        <is>
          <t>VÄRMLANDS LÄN</t>
        </is>
      </c>
      <c r="G95" t="inlineStr">
        <is>
          <t>KRISTINEHAMN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46266</v>
      </c>
      <c r="F96" t="inlineStr">
        <is>
          <t>VÄRMLANDS LÄN</t>
        </is>
      </c>
      <c r="G96" t="inlineStr">
        <is>
          <t>KRISTINEHAMN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68505-2021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46266</v>
      </c>
      <c r="F97" t="inlineStr">
        <is>
          <t>VÄRMLANDS LÄN</t>
        </is>
      </c>
      <c r="G97" t="inlineStr">
        <is>
          <t>KRISTINEHAMN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45081</v>
      </c>
      <c r="E98" s="1" t="n">
        <v>46266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46266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45095</v>
      </c>
      <c r="E100" s="1" t="n">
        <v>46266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48416-2021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46266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46266</v>
      </c>
      <c r="F102" t="inlineStr">
        <is>
          <t>VÄRMLANDS LÄN</t>
        </is>
      </c>
      <c r="G102" t="inlineStr">
        <is>
          <t>KRISTINEHAMN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46266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46266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45701</v>
      </c>
      <c r="E105" s="1" t="n">
        <v>46266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Naturvårdsverket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46266</v>
      </c>
      <c r="F106" t="inlineStr">
        <is>
          <t>VÄRMLANDS LÄN</t>
        </is>
      </c>
      <c r="G106" t="inlineStr">
        <is>
          <t>KRISTINEHAMN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21602-2025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45783</v>
      </c>
      <c r="E107" s="1" t="n">
        <v>46266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46266</v>
      </c>
      <c r="F108" t="inlineStr">
        <is>
          <t>VÄRMLANDS LÄN</t>
        </is>
      </c>
      <c r="G108" t="inlineStr">
        <is>
          <t>KRISTINEHAMN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46266</v>
      </c>
      <c r="F109" t="inlineStr">
        <is>
          <t>VÄRMLANDS LÄN</t>
        </is>
      </c>
      <c r="G109" t="inlineStr">
        <is>
          <t>KRISTINEHAMN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46266</v>
      </c>
      <c r="F110" t="inlineStr">
        <is>
          <t>VÄRMLANDS LÄN</t>
        </is>
      </c>
      <c r="G110" t="inlineStr">
        <is>
          <t>KRISTINEHAMN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45933</v>
      </c>
      <c r="E111" s="1" t="n">
        <v>46266</v>
      </c>
      <c r="F111" t="inlineStr">
        <is>
          <t>VÄRMLANDS LÄN</t>
        </is>
      </c>
      <c r="G111" t="inlineStr">
        <is>
          <t>KRISTINEHAMN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44894</v>
      </c>
      <c r="E112" s="1" t="n">
        <v>46266</v>
      </c>
      <c r="F112" t="inlineStr">
        <is>
          <t>VÄRMLANDS LÄN</t>
        </is>
      </c>
      <c r="G112" t="inlineStr">
        <is>
          <t>KRISTINEHAMN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46266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Kommuner</t>
        </is>
      </c>
      <c r="I113" t="n">
        <v>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44805</v>
      </c>
      <c r="E114" s="1" t="n">
        <v>46266</v>
      </c>
      <c r="F114" t="inlineStr">
        <is>
          <t>VÄRMLANDS LÄN</t>
        </is>
      </c>
      <c r="G114" t="inlineStr">
        <is>
          <t>KRISTINEHAMN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46266</v>
      </c>
      <c r="F115" t="inlineStr">
        <is>
          <t>VÄRMLANDS LÄN</t>
        </is>
      </c>
      <c r="G115" t="inlineStr">
        <is>
          <t>KRISTINEHAMN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45477</v>
      </c>
      <c r="E116" s="1" t="n">
        <v>46266</v>
      </c>
      <c r="F116" t="inlineStr">
        <is>
          <t>VÄRMLANDS LÄN</t>
        </is>
      </c>
      <c r="G116" t="inlineStr">
        <is>
          <t>KRISTINEHAMN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45792</v>
      </c>
      <c r="E117" s="1" t="n">
        <v>46266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45792</v>
      </c>
      <c r="E118" s="1" t="n">
        <v>46266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46266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46266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46266</v>
      </c>
      <c r="F121" t="inlineStr">
        <is>
          <t>VÄRMLANDS LÄN</t>
        </is>
      </c>
      <c r="G121" t="inlineStr">
        <is>
          <t>KRISTINEHAMN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46266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46266</v>
      </c>
      <c r="F123" t="inlineStr">
        <is>
          <t>VÄRMLANDS LÄN</t>
        </is>
      </c>
      <c r="G123" t="inlineStr">
        <is>
          <t>KRISTINEHAMN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46266</v>
      </c>
      <c r="F124" t="inlineStr">
        <is>
          <t>VÄRMLANDS LÄN</t>
        </is>
      </c>
      <c r="G124" t="inlineStr">
        <is>
          <t>KRISTINEHAMN</t>
        </is>
      </c>
      <c r="I124" t="n">
        <v>10.4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46266</v>
      </c>
      <c r="F125" t="inlineStr">
        <is>
          <t>VÄRMLANDS LÄN</t>
        </is>
      </c>
      <c r="G125" t="inlineStr">
        <is>
          <t>KRISTINEHAMN</t>
        </is>
      </c>
      <c r="I125" t="n">
        <v>11.2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46266</v>
      </c>
      <c r="F126" t="inlineStr">
        <is>
          <t>VÄRMLANDS LÄN</t>
        </is>
      </c>
      <c r="G126" t="inlineStr">
        <is>
          <t>KRISTINEHAMN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46266</v>
      </c>
      <c r="F127" t="inlineStr">
        <is>
          <t>VÄRMLANDS LÄN</t>
        </is>
      </c>
      <c r="G127" t="inlineStr">
        <is>
          <t>KRISTINEHAMN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45674</v>
      </c>
      <c r="E128" s="1" t="n">
        <v>46266</v>
      </c>
      <c r="F128" t="inlineStr">
        <is>
          <t>VÄRMLANDS LÄN</t>
        </is>
      </c>
      <c r="G128" t="inlineStr">
        <is>
          <t>KRISTINEHAMN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45693</v>
      </c>
      <c r="E129" s="1" t="n">
        <v>46266</v>
      </c>
      <c r="F129" t="inlineStr">
        <is>
          <t>VÄRMLANDS LÄN</t>
        </is>
      </c>
      <c r="G129" t="inlineStr">
        <is>
          <t>KRISTINEHAMN</t>
        </is>
      </c>
      <c r="I129" t="n">
        <v>8.699999999999999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46266</v>
      </c>
      <c r="F130" t="inlineStr">
        <is>
          <t>VÄRMLANDS LÄN</t>
        </is>
      </c>
      <c r="G130" t="inlineStr">
        <is>
          <t>KRISTINEHAMN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46266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46266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46266</v>
      </c>
      <c r="F133" t="inlineStr">
        <is>
          <t>VÄRMLANDS LÄN</t>
        </is>
      </c>
      <c r="G133" t="inlineStr">
        <is>
          <t>KRISTINEHAMN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46266</v>
      </c>
      <c r="F134" t="inlineStr">
        <is>
          <t>VÄRMLANDS LÄN</t>
        </is>
      </c>
      <c r="G134" t="inlineStr">
        <is>
          <t>KRISTINEHAMN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44959</v>
      </c>
      <c r="E135" s="1" t="n">
        <v>46266</v>
      </c>
      <c r="F135" t="inlineStr">
        <is>
          <t>VÄRMLANDS LÄN</t>
        </is>
      </c>
      <c r="G135" t="inlineStr">
        <is>
          <t>KRISTINEHAMN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46266</v>
      </c>
      <c r="F136" t="inlineStr">
        <is>
          <t>VÄRMLANDS LÄN</t>
        </is>
      </c>
      <c r="G136" t="inlineStr">
        <is>
          <t>KRISTINEHAMN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46266</v>
      </c>
      <c r="F137" t="inlineStr">
        <is>
          <t>VÄRMLANDS LÄN</t>
        </is>
      </c>
      <c r="G137" t="inlineStr">
        <is>
          <t>KRISTINEHAMN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46266</v>
      </c>
      <c r="F138" t="inlineStr">
        <is>
          <t>VÄRMLANDS LÄN</t>
        </is>
      </c>
      <c r="G138" t="inlineStr">
        <is>
          <t>KRISTINEHAMN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45802</v>
      </c>
      <c r="E139" s="1" t="n">
        <v>46266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Naturvårdsverket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46266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46266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46266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45447</v>
      </c>
      <c r="E143" s="1" t="n">
        <v>46266</v>
      </c>
      <c r="F143" t="inlineStr">
        <is>
          <t>VÄRMLANDS LÄN</t>
        </is>
      </c>
      <c r="G143" t="inlineStr">
        <is>
          <t>KRISTINEHAMN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46266</v>
      </c>
      <c r="F144" t="inlineStr">
        <is>
          <t>VÄRMLANDS LÄN</t>
        </is>
      </c>
      <c r="G144" t="inlineStr">
        <is>
          <t>KRISTINEHAMN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45662</v>
      </c>
      <c r="E145" s="1" t="n">
        <v>46266</v>
      </c>
      <c r="F145" t="inlineStr">
        <is>
          <t>VÄRMLANDS LÄN</t>
        </is>
      </c>
      <c r="G145" t="inlineStr">
        <is>
          <t>KRISTINEHAMN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45944</v>
      </c>
      <c r="E146" s="1" t="n">
        <v>46266</v>
      </c>
      <c r="F146" t="inlineStr">
        <is>
          <t>VÄRMLANDS LÄN</t>
        </is>
      </c>
      <c r="G146" t="inlineStr">
        <is>
          <t>KRISTINEHAMN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46266</v>
      </c>
      <c r="F147" t="inlineStr">
        <is>
          <t>VÄRMLANDS LÄN</t>
        </is>
      </c>
      <c r="G147" t="inlineStr">
        <is>
          <t>KRISTINEHAMN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46266</v>
      </c>
      <c r="F148" t="inlineStr">
        <is>
          <t>VÄRMLANDS LÄN</t>
        </is>
      </c>
      <c r="G148" t="inlineStr">
        <is>
          <t>KRISTINEHAMN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46266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46266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46266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Naturvårdsverket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46266</v>
      </c>
      <c r="F152" t="inlineStr">
        <is>
          <t>VÄRMLANDS LÄN</t>
        </is>
      </c>
      <c r="G152" t="inlineStr">
        <is>
          <t>KRISTINEHAMN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46266</v>
      </c>
      <c r="F153" t="inlineStr">
        <is>
          <t>VÄRMLANDS LÄN</t>
        </is>
      </c>
      <c r="G153" t="inlineStr">
        <is>
          <t>KRISTINEHAMN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46266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46266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46266</v>
      </c>
      <c r="F156" t="inlineStr">
        <is>
          <t>VÄRMLANDS LÄN</t>
        </is>
      </c>
      <c r="G156" t="inlineStr">
        <is>
          <t>KRISTINEHAMN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46266</v>
      </c>
      <c r="F157" t="inlineStr">
        <is>
          <t>VÄRMLANDS LÄN</t>
        </is>
      </c>
      <c r="G157" t="inlineStr">
        <is>
          <t>KRISTINEHAMN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46266</v>
      </c>
      <c r="F158" t="inlineStr">
        <is>
          <t>VÄRMLANDS LÄN</t>
        </is>
      </c>
      <c r="G158" t="inlineStr">
        <is>
          <t>KRISTINEHAMN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45364</v>
      </c>
      <c r="E159" s="1" t="n">
        <v>46266</v>
      </c>
      <c r="F159" t="inlineStr">
        <is>
          <t>VÄRMLANDS LÄN</t>
        </is>
      </c>
      <c r="G159" t="inlineStr">
        <is>
          <t>KRISTINEHAMN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46266</v>
      </c>
      <c r="F160" t="inlineStr">
        <is>
          <t>VÄRMLANDS LÄN</t>
        </is>
      </c>
      <c r="G160" t="inlineStr">
        <is>
          <t>KRISTINEHAMN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46266</v>
      </c>
      <c r="F161" t="inlineStr">
        <is>
          <t>VÄRMLANDS LÄN</t>
        </is>
      </c>
      <c r="G161" t="inlineStr">
        <is>
          <t>KRISTINEHAMN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46266</v>
      </c>
      <c r="F162" t="inlineStr">
        <is>
          <t>VÄRMLANDS LÄN</t>
        </is>
      </c>
      <c r="G162" t="inlineStr">
        <is>
          <t>KRISTINEHAMN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46266</v>
      </c>
      <c r="F163" t="inlineStr">
        <is>
          <t>VÄRMLANDS LÄN</t>
        </is>
      </c>
      <c r="G163" t="inlineStr">
        <is>
          <t>KRISTINEHAMN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46266</v>
      </c>
      <c r="F164" t="inlineStr">
        <is>
          <t>VÄRMLANDS LÄN</t>
        </is>
      </c>
      <c r="G164" t="inlineStr">
        <is>
          <t>KRISTINEHAMN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45044</v>
      </c>
      <c r="E165" s="1" t="n">
        <v>46266</v>
      </c>
      <c r="F165" t="inlineStr">
        <is>
          <t>VÄRMLANDS LÄN</t>
        </is>
      </c>
      <c r="G165" t="inlineStr">
        <is>
          <t>KRISTINEHAMN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46266</v>
      </c>
      <c r="F166" t="inlineStr">
        <is>
          <t>VÄRMLANDS LÄN</t>
        </is>
      </c>
      <c r="G166" t="inlineStr">
        <is>
          <t>KRISTINEHAMN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46266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46266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46266</v>
      </c>
      <c r="F169" t="inlineStr">
        <is>
          <t>VÄRMLANDS LÄN</t>
        </is>
      </c>
      <c r="G169" t="inlineStr">
        <is>
          <t>KRISTINEHAMN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46266</v>
      </c>
      <c r="F170" t="inlineStr">
        <is>
          <t>VÄRMLANDS LÄN</t>
        </is>
      </c>
      <c r="G170" t="inlineStr">
        <is>
          <t>KRISTINEHAMN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46266</v>
      </c>
      <c r="F171" t="inlineStr">
        <is>
          <t>VÄRMLANDS LÄN</t>
        </is>
      </c>
      <c r="G171" t="inlineStr">
        <is>
          <t>KRISTINEHAMN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46266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46266</v>
      </c>
      <c r="F173" t="inlineStr">
        <is>
          <t>VÄRMLANDS LÄN</t>
        </is>
      </c>
      <c r="G173" t="inlineStr">
        <is>
          <t>KRISTINEHAMN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46266</v>
      </c>
      <c r="F174" t="inlineStr">
        <is>
          <t>VÄRMLANDS LÄN</t>
        </is>
      </c>
      <c r="G174" t="inlineStr">
        <is>
          <t>KRISTINEHAMN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46266</v>
      </c>
      <c r="F175" t="inlineStr">
        <is>
          <t>VÄRMLANDS LÄN</t>
        </is>
      </c>
      <c r="G175" t="inlineStr">
        <is>
          <t>KRISTINEHAMN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46266</v>
      </c>
      <c r="F176" t="inlineStr">
        <is>
          <t>VÄRMLANDS LÄN</t>
        </is>
      </c>
      <c r="G176" t="inlineStr">
        <is>
          <t>KRISTINEHAMN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45782</v>
      </c>
      <c r="E177" s="1" t="n">
        <v>46266</v>
      </c>
      <c r="F177" t="inlineStr">
        <is>
          <t>VÄRMLANDS LÄN</t>
        </is>
      </c>
      <c r="G177" t="inlineStr">
        <is>
          <t>KRISTINEHAMN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46266</v>
      </c>
      <c r="F178" t="inlineStr">
        <is>
          <t>VÄRMLANDS LÄN</t>
        </is>
      </c>
      <c r="G178" t="inlineStr">
        <is>
          <t>KRISTINEHAMN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46266</v>
      </c>
      <c r="F179" t="inlineStr">
        <is>
          <t>VÄRMLANDS LÄN</t>
        </is>
      </c>
      <c r="G179" t="inlineStr">
        <is>
          <t>KRISTINEHAMN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44742</v>
      </c>
      <c r="E180" s="1" t="n">
        <v>46266</v>
      </c>
      <c r="F180" t="inlineStr">
        <is>
          <t>VÄRMLANDS LÄN</t>
        </is>
      </c>
      <c r="G180" t="inlineStr">
        <is>
          <t>KRISTINEHAMN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46266</v>
      </c>
      <c r="F181" t="inlineStr">
        <is>
          <t>VÄRMLANDS LÄN</t>
        </is>
      </c>
      <c r="G181" t="inlineStr">
        <is>
          <t>KRISTINEHAMN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46266</v>
      </c>
      <c r="F182" t="inlineStr">
        <is>
          <t>VÄRMLANDS LÄN</t>
        </is>
      </c>
      <c r="G182" t="inlineStr">
        <is>
          <t>KRISTINEHAMN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46266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46266</v>
      </c>
      <c r="F184" t="inlineStr">
        <is>
          <t>VÄRMLANDS LÄN</t>
        </is>
      </c>
      <c r="G184" t="inlineStr">
        <is>
          <t>KRISTINEHAMN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46266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46266</v>
      </c>
      <c r="F186" t="inlineStr">
        <is>
          <t>VÄRMLANDS LÄN</t>
        </is>
      </c>
      <c r="G186" t="inlineStr">
        <is>
          <t>KRISTINEHAMN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46266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46266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45876</v>
      </c>
      <c r="E189" s="1" t="n">
        <v>46266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45041</v>
      </c>
      <c r="E190" s="1" t="n">
        <v>46266</v>
      </c>
      <c r="F190" t="inlineStr">
        <is>
          <t>VÄRMLANDS LÄN</t>
        </is>
      </c>
      <c r="G190" t="inlineStr">
        <is>
          <t>KRISTINEHAMN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46266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46266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46266</v>
      </c>
      <c r="F193" t="inlineStr">
        <is>
          <t>VÄRMLANDS LÄN</t>
        </is>
      </c>
      <c r="G193" t="inlineStr">
        <is>
          <t>KRISTINEHAMN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46266</v>
      </c>
      <c r="F194" t="inlineStr">
        <is>
          <t>VÄRMLANDS LÄN</t>
        </is>
      </c>
      <c r="G194" t="inlineStr">
        <is>
          <t>KRISTINEHAMN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46266</v>
      </c>
      <c r="F195" t="inlineStr">
        <is>
          <t>VÄRMLANDS LÄN</t>
        </is>
      </c>
      <c r="G195" t="inlineStr">
        <is>
          <t>KRISTINEHAMN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46266</v>
      </c>
      <c r="F196" t="inlineStr">
        <is>
          <t>VÄRMLANDS LÄN</t>
        </is>
      </c>
      <c r="G196" t="inlineStr">
        <is>
          <t>KRISTINEHAMN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56315-2025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45974</v>
      </c>
      <c r="E197" s="1" t="n">
        <v>46266</v>
      </c>
      <c r="F197" t="inlineStr">
        <is>
          <t>VÄRMLANDS LÄN</t>
        </is>
      </c>
      <c r="G197" t="inlineStr">
        <is>
          <t>KRISTINEHAMN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46266</v>
      </c>
      <c r="F198" t="inlineStr">
        <is>
          <t>VÄRMLANDS LÄN</t>
        </is>
      </c>
      <c r="G198" t="inlineStr">
        <is>
          <t>KRISTINEHAMN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46266</v>
      </c>
      <c r="F199" t="inlineStr">
        <is>
          <t>VÄRMLANDS LÄN</t>
        </is>
      </c>
      <c r="G199" t="inlineStr">
        <is>
          <t>KRISTINEHAMN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46266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46266</v>
      </c>
      <c r="F201" t="inlineStr">
        <is>
          <t>VÄRMLANDS LÄN</t>
        </is>
      </c>
      <c r="G201" t="inlineStr">
        <is>
          <t>KRISTINEHAMN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46266</v>
      </c>
      <c r="F202" t="inlineStr">
        <is>
          <t>VÄRMLANDS LÄN</t>
        </is>
      </c>
      <c r="G202" t="inlineStr">
        <is>
          <t>KRISTINEHAMN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46266</v>
      </c>
      <c r="F203" t="inlineStr">
        <is>
          <t>VÄRMLANDS LÄN</t>
        </is>
      </c>
      <c r="G203" t="inlineStr">
        <is>
          <t>KRISTINEHAMN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46266</v>
      </c>
      <c r="F204" t="inlineStr">
        <is>
          <t>VÄRMLANDS LÄN</t>
        </is>
      </c>
      <c r="G204" t="inlineStr">
        <is>
          <t>KRISTINEHAMN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45313</v>
      </c>
      <c r="E205" s="1" t="n">
        <v>46266</v>
      </c>
      <c r="F205" t="inlineStr">
        <is>
          <t>VÄRMLANDS LÄN</t>
        </is>
      </c>
      <c r="G205" t="inlineStr">
        <is>
          <t>KRISTINEHAMN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45647</v>
      </c>
      <c r="E206" s="1" t="n">
        <v>46266</v>
      </c>
      <c r="F206" t="inlineStr">
        <is>
          <t>VÄRMLANDS LÄN</t>
        </is>
      </c>
      <c r="G206" t="inlineStr">
        <is>
          <t>KRISTINEHAMN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46266</v>
      </c>
      <c r="F207" t="inlineStr">
        <is>
          <t>VÄRMLANDS LÄN</t>
        </is>
      </c>
      <c r="G207" t="inlineStr">
        <is>
          <t>KRISTINEHAMN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45202</v>
      </c>
      <c r="E208" s="1" t="n">
        <v>46266</v>
      </c>
      <c r="F208" t="inlineStr">
        <is>
          <t>VÄRMLANDS LÄN</t>
        </is>
      </c>
      <c r="G208" t="inlineStr">
        <is>
          <t>KRISTINEHAMN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46266</v>
      </c>
      <c r="F209" t="inlineStr">
        <is>
          <t>VÄRMLANDS LÄN</t>
        </is>
      </c>
      <c r="G209" t="inlineStr">
        <is>
          <t>KRISTINEHAMN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13459-2024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45387</v>
      </c>
      <c r="E210" s="1" t="n">
        <v>46266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19638-2025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45770</v>
      </c>
      <c r="E211" s="1" t="n">
        <v>46266</v>
      </c>
      <c r="F211" t="inlineStr">
        <is>
          <t>VÄRMLANDS LÄN</t>
        </is>
      </c>
      <c r="G211" t="inlineStr">
        <is>
          <t>KRISTINEHAMN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45995</v>
      </c>
      <c r="E212" s="1" t="n">
        <v>46266</v>
      </c>
      <c r="F212" t="inlineStr">
        <is>
          <t>VÄRMLANDS LÄN</t>
        </is>
      </c>
      <c r="G212" t="inlineStr">
        <is>
          <t>KRISTINEHAMN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46266</v>
      </c>
      <c r="F213" t="inlineStr">
        <is>
          <t>VÄRMLANDS LÄN</t>
        </is>
      </c>
      <c r="G213" t="inlineStr">
        <is>
          <t>KRISTINEHAMN</t>
        </is>
      </c>
      <c r="I213" t="n">
        <v>19.4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46266</v>
      </c>
      <c r="F214" t="inlineStr">
        <is>
          <t>VÄRMLANDS LÄN</t>
        </is>
      </c>
      <c r="G214" t="inlineStr">
        <is>
          <t>KRISTINEHAMN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46266</v>
      </c>
      <c r="F215" t="inlineStr">
        <is>
          <t>VÄRMLANDS LÄN</t>
        </is>
      </c>
      <c r="G215" t="inlineStr">
        <is>
          <t>KRISTINEHAMN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46266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55003-2021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44474</v>
      </c>
      <c r="E217" s="1" t="n">
        <v>46266</v>
      </c>
      <c r="F217" t="inlineStr">
        <is>
          <t>VÄRMLANDS LÄN</t>
        </is>
      </c>
      <c r="G217" t="inlineStr">
        <is>
          <t>KRISTINEHAMN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46266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46266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46266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44656</v>
      </c>
      <c r="E221" s="1" t="n">
        <v>46266</v>
      </c>
      <c r="F221" t="inlineStr">
        <is>
          <t>VÄRMLANDS LÄN</t>
        </is>
      </c>
      <c r="G221" t="inlineStr">
        <is>
          <t>KRISTINEHAMN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46266</v>
      </c>
      <c r="F222" t="inlineStr">
        <is>
          <t>VÄRMLANDS LÄN</t>
        </is>
      </c>
      <c r="G222" t="inlineStr">
        <is>
          <t>KRISTINEHAMN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46266</v>
      </c>
      <c r="F223" t="inlineStr">
        <is>
          <t>VÄRMLANDS LÄN</t>
        </is>
      </c>
      <c r="G223" t="inlineStr">
        <is>
          <t>KRISTINEHAMN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46266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46266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45076</v>
      </c>
      <c r="E226" s="1" t="n">
        <v>46266</v>
      </c>
      <c r="F226" t="inlineStr">
        <is>
          <t>VÄRMLANDS LÄN</t>
        </is>
      </c>
      <c r="G226" t="inlineStr">
        <is>
          <t>KRISTINEHAMN</t>
        </is>
      </c>
      <c r="I226" t="n">
        <v>15.9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46266</v>
      </c>
      <c r="F227" t="inlineStr">
        <is>
          <t>VÄRMLANDS LÄN</t>
        </is>
      </c>
      <c r="G227" t="inlineStr">
        <is>
          <t>KRISTINEHAMN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46266</v>
      </c>
      <c r="F228" t="inlineStr">
        <is>
          <t>VÄRMLANDS LÄN</t>
        </is>
      </c>
      <c r="G228" t="inlineStr">
        <is>
          <t>KRISTINEHAMN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46266</v>
      </c>
      <c r="F229" t="inlineStr">
        <is>
          <t>VÄRMLANDS LÄN</t>
        </is>
      </c>
      <c r="G229" t="inlineStr">
        <is>
          <t>KRISTINEHAMN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45681</v>
      </c>
      <c r="E230" s="1" t="n">
        <v>46266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46266</v>
      </c>
      <c r="F231" t="inlineStr">
        <is>
          <t>VÄRMLANDS LÄN</t>
        </is>
      </c>
      <c r="G231" t="inlineStr">
        <is>
          <t>KRISTINEHAMN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45366</v>
      </c>
      <c r="E232" s="1" t="n">
        <v>46266</v>
      </c>
      <c r="F232" t="inlineStr">
        <is>
          <t>VÄRMLANDS LÄN</t>
        </is>
      </c>
      <c r="G232" t="inlineStr">
        <is>
          <t>KRISTINEHAMN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44648</v>
      </c>
      <c r="E233" s="1" t="n">
        <v>46266</v>
      </c>
      <c r="F233" t="inlineStr">
        <is>
          <t>VÄRMLANDS LÄN</t>
        </is>
      </c>
      <c r="G233" t="inlineStr">
        <is>
          <t>KRISTINEHAMN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46266</v>
      </c>
      <c r="F234" t="inlineStr">
        <is>
          <t>VÄRMLANDS LÄN</t>
        </is>
      </c>
      <c r="G234" t="inlineStr">
        <is>
          <t>KRISTINEHAMN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45698</v>
      </c>
      <c r="E235" s="1" t="n">
        <v>46266</v>
      </c>
      <c r="F235" t="inlineStr">
        <is>
          <t>VÄRMLANDS LÄN</t>
        </is>
      </c>
      <c r="G235" t="inlineStr">
        <is>
          <t>KRISTINEHAMN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46266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Kommuner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46266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46266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45379</v>
      </c>
      <c r="E239" s="1" t="n">
        <v>46266</v>
      </c>
      <c r="F239" t="inlineStr">
        <is>
          <t>VÄRMLANDS LÄN</t>
        </is>
      </c>
      <c r="G239" t="inlineStr">
        <is>
          <t>KRISTINEHAMN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46266</v>
      </c>
      <c r="F240" t="inlineStr">
        <is>
          <t>VÄRMLANDS LÄN</t>
        </is>
      </c>
      <c r="G240" t="inlineStr">
        <is>
          <t>KRISTINEHAMN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54606-2021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46266</v>
      </c>
      <c r="F241" t="inlineStr">
        <is>
          <t>VÄRMLANDS LÄN</t>
        </is>
      </c>
      <c r="G241" t="inlineStr">
        <is>
          <t>KRISTINEHAMN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45361</v>
      </c>
      <c r="E242" s="1" t="n">
        <v>46266</v>
      </c>
      <c r="F242" t="inlineStr">
        <is>
          <t>VÄRMLANDS LÄN</t>
        </is>
      </c>
      <c r="G242" t="inlineStr">
        <is>
          <t>KRISTINEHAMN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46266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46266</v>
      </c>
      <c r="F244" t="inlineStr">
        <is>
          <t>VÄRMLANDS LÄN</t>
        </is>
      </c>
      <c r="G244" t="inlineStr">
        <is>
          <t>KRISTINEHAMN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45679</v>
      </c>
      <c r="E245" s="1" t="n">
        <v>46266</v>
      </c>
      <c r="F245" t="inlineStr">
        <is>
          <t>VÄRMLANDS LÄN</t>
        </is>
      </c>
      <c r="G245" t="inlineStr">
        <is>
          <t>KRISTINEHAMN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46266</v>
      </c>
      <c r="F246" t="inlineStr">
        <is>
          <t>VÄRMLANDS LÄN</t>
        </is>
      </c>
      <c r="G246" t="inlineStr">
        <is>
          <t>KRISTINEHAMN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46266</v>
      </c>
      <c r="F247" t="inlineStr">
        <is>
          <t>VÄRMLANDS LÄN</t>
        </is>
      </c>
      <c r="G247" t="inlineStr">
        <is>
          <t>KRISTINEHAMN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45450</v>
      </c>
      <c r="E248" s="1" t="n">
        <v>46266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68526-2021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44526</v>
      </c>
      <c r="E249" s="1" t="n">
        <v>46266</v>
      </c>
      <c r="F249" t="inlineStr">
        <is>
          <t>VÄRMLANDS LÄN</t>
        </is>
      </c>
      <c r="G249" t="inlineStr">
        <is>
          <t>KRISTINEHAMN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68530-2021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44526</v>
      </c>
      <c r="E250" s="1" t="n">
        <v>46266</v>
      </c>
      <c r="F250" t="inlineStr">
        <is>
          <t>VÄRMLANDS LÄN</t>
        </is>
      </c>
      <c r="G250" t="inlineStr">
        <is>
          <t>KRISTINEHAMN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46266</v>
      </c>
      <c r="F251" t="inlineStr">
        <is>
          <t>VÄRMLANDS LÄN</t>
        </is>
      </c>
      <c r="G251" t="inlineStr">
        <is>
          <t>KRISTINEHAMN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44712</v>
      </c>
      <c r="E252" s="1" t="n">
        <v>46266</v>
      </c>
      <c r="F252" t="inlineStr">
        <is>
          <t>VÄRMLANDS LÄN</t>
        </is>
      </c>
      <c r="G252" t="inlineStr">
        <is>
          <t>KRISTINEHAMN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46266</v>
      </c>
      <c r="F253" t="inlineStr">
        <is>
          <t>VÄRMLANDS LÄN</t>
        </is>
      </c>
      <c r="G253" t="inlineStr">
        <is>
          <t>KRISTINEHAMN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46266</v>
      </c>
      <c r="F254" t="inlineStr">
        <is>
          <t>VÄRMLANDS LÄN</t>
        </is>
      </c>
      <c r="G254" t="inlineStr">
        <is>
          <t>KRISTINEHAMN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46266</v>
      </c>
      <c r="F255" t="inlineStr">
        <is>
          <t>VÄRMLANDS LÄN</t>
        </is>
      </c>
      <c r="G255" t="inlineStr">
        <is>
          <t>KRISTINEHAMN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46266</v>
      </c>
      <c r="F256" t="inlineStr">
        <is>
          <t>VÄRMLANDS LÄN</t>
        </is>
      </c>
      <c r="G256" t="inlineStr">
        <is>
          <t>KRISTINEHAMN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44753</v>
      </c>
      <c r="E257" s="1" t="n">
        <v>46266</v>
      </c>
      <c r="F257" t="inlineStr">
        <is>
          <t>VÄRMLANDS LÄN</t>
        </is>
      </c>
      <c r="G257" t="inlineStr">
        <is>
          <t>KRISTINEHAMN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46266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46266</v>
      </c>
      <c r="F259" t="inlineStr">
        <is>
          <t>VÄRMLANDS LÄN</t>
        </is>
      </c>
      <c r="G259" t="inlineStr">
        <is>
          <t>KRISTINEHAMN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45477</v>
      </c>
      <c r="E260" s="1" t="n">
        <v>46266</v>
      </c>
      <c r="F260" t="inlineStr">
        <is>
          <t>VÄRMLANDS LÄN</t>
        </is>
      </c>
      <c r="G260" t="inlineStr">
        <is>
          <t>KRISTINEHAMN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44923</v>
      </c>
      <c r="E261" s="1" t="n">
        <v>46266</v>
      </c>
      <c r="F261" t="inlineStr">
        <is>
          <t>VÄRMLANDS LÄN</t>
        </is>
      </c>
      <c r="G261" t="inlineStr">
        <is>
          <t>KRISTINEHAMN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44972</v>
      </c>
      <c r="E262" s="1" t="n">
        <v>46266</v>
      </c>
      <c r="F262" t="inlineStr">
        <is>
          <t>VÄRMLANDS LÄN</t>
        </is>
      </c>
      <c r="G262" t="inlineStr">
        <is>
          <t>KRISTINEHAMN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46266</v>
      </c>
      <c r="F263" t="inlineStr">
        <is>
          <t>VÄRMLANDS LÄN</t>
        </is>
      </c>
      <c r="G263" t="inlineStr">
        <is>
          <t>KRISTINEHAMN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46049</v>
      </c>
      <c r="E264" s="1" t="n">
        <v>46266</v>
      </c>
      <c r="F264" t="inlineStr">
        <is>
          <t>VÄRMLANDS LÄN</t>
        </is>
      </c>
      <c r="G264" t="inlineStr">
        <is>
          <t>KRISTINEHAMN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46266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52750-2021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44466</v>
      </c>
      <c r="E266" s="1" t="n">
        <v>46266</v>
      </c>
      <c r="F266" t="inlineStr">
        <is>
          <t>VÄRMLANDS LÄN</t>
        </is>
      </c>
      <c r="G266" t="inlineStr">
        <is>
          <t>KRISTINEHAMN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46266</v>
      </c>
      <c r="F267" t="inlineStr">
        <is>
          <t>VÄRMLANDS LÄN</t>
        </is>
      </c>
      <c r="G267" t="inlineStr">
        <is>
          <t>KRISTINEHAMN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6259-2026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46051</v>
      </c>
      <c r="E268" s="1" t="n">
        <v>46266</v>
      </c>
      <c r="F268" t="inlineStr">
        <is>
          <t>VÄRMLANDS LÄN</t>
        </is>
      </c>
      <c r="G268" t="inlineStr">
        <is>
          <t>KRISTINEHAMN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46266</v>
      </c>
      <c r="F269" t="inlineStr">
        <is>
          <t>VÄRMLANDS LÄN</t>
        </is>
      </c>
      <c r="G269" t="inlineStr">
        <is>
          <t>KRISTINEHAMN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46266</v>
      </c>
      <c r="F270" t="inlineStr">
        <is>
          <t>VÄRMLANDS LÄN</t>
        </is>
      </c>
      <c r="G270" t="inlineStr">
        <is>
          <t>KRISTINEHAMN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58616-2021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44489</v>
      </c>
      <c r="E271" s="1" t="n">
        <v>46266</v>
      </c>
      <c r="F271" t="inlineStr">
        <is>
          <t>VÄRMLANDS LÄN</t>
        </is>
      </c>
      <c r="G271" t="inlineStr">
        <is>
          <t>KRISTINEHAMN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45453</v>
      </c>
      <c r="E272" s="1" t="n">
        <v>46266</v>
      </c>
      <c r="F272" t="inlineStr">
        <is>
          <t>VÄRMLANDS LÄN</t>
        </is>
      </c>
      <c r="G272" t="inlineStr">
        <is>
          <t>KRISTINEHAMN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46266</v>
      </c>
      <c r="F273" t="inlineStr">
        <is>
          <t>VÄRMLANDS LÄN</t>
        </is>
      </c>
      <c r="G273" t="inlineStr">
        <is>
          <t>KRISTINEHAMN</t>
        </is>
      </c>
      <c r="I273" t="n">
        <v>8.699999999999999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45322</v>
      </c>
      <c r="E274" s="1" t="n">
        <v>46266</v>
      </c>
      <c r="F274" t="inlineStr">
        <is>
          <t>VÄRMLANDS LÄN</t>
        </is>
      </c>
      <c r="G274" t="inlineStr">
        <is>
          <t>KRISTINEHAMN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46266</v>
      </c>
      <c r="F275" t="inlineStr">
        <is>
          <t>VÄRMLANDS LÄN</t>
        </is>
      </c>
      <c r="G275" t="inlineStr">
        <is>
          <t>KRISTINEHAMN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45461</v>
      </c>
      <c r="E276" s="1" t="n">
        <v>46266</v>
      </c>
      <c r="F276" t="inlineStr">
        <is>
          <t>VÄRMLANDS LÄN</t>
        </is>
      </c>
      <c r="G276" t="inlineStr">
        <is>
          <t>KRISTINEHAMN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46083</v>
      </c>
      <c r="E277" s="1" t="n">
        <v>46266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46266</v>
      </c>
      <c r="F278" t="inlineStr">
        <is>
          <t>VÄRMLANDS LÄN</t>
        </is>
      </c>
      <c r="G278" t="inlineStr">
        <is>
          <t>KRISTINEHAMN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44595</v>
      </c>
      <c r="E279" s="1" t="n">
        <v>46266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46266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Kommuner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45302</v>
      </c>
      <c r="E281" s="1" t="n">
        <v>46266</v>
      </c>
      <c r="F281" t="inlineStr">
        <is>
          <t>VÄRMLANDS LÄN</t>
        </is>
      </c>
      <c r="G281" t="inlineStr">
        <is>
          <t>KRISTINEHAMN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46266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46266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46266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44855</v>
      </c>
      <c r="E285" s="1" t="n">
        <v>46266</v>
      </c>
      <c r="F285" t="inlineStr">
        <is>
          <t>VÄRMLANDS LÄN</t>
        </is>
      </c>
      <c r="G285" t="inlineStr">
        <is>
          <t>KRISTINEHAMN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46266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46266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46266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46266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47951-2021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44448</v>
      </c>
      <c r="E290" s="1" t="n">
        <v>46266</v>
      </c>
      <c r="F290" t="inlineStr">
        <is>
          <t>VÄRMLANDS LÄN</t>
        </is>
      </c>
      <c r="G290" t="inlineStr">
        <is>
          <t>KRISTINEHAMN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46266</v>
      </c>
      <c r="F291" t="inlineStr">
        <is>
          <t>VÄRMLANDS LÄN</t>
        </is>
      </c>
      <c r="G291" t="inlineStr">
        <is>
          <t>KRISTINEHAMN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46266</v>
      </c>
      <c r="F292" t="inlineStr">
        <is>
          <t>VÄRMLANDS LÄN</t>
        </is>
      </c>
      <c r="G292" t="inlineStr">
        <is>
          <t>KRISTINEHAMN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46266</v>
      </c>
      <c r="F293" t="inlineStr">
        <is>
          <t>VÄRMLANDS LÄN</t>
        </is>
      </c>
      <c r="G293" t="inlineStr">
        <is>
          <t>KRISTINEHAMN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46266</v>
      </c>
      <c r="F294" t="inlineStr">
        <is>
          <t>VÄRMLANDS LÄN</t>
        </is>
      </c>
      <c r="G294" t="inlineStr">
        <is>
          <t>KRISTINEHAMN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46266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46101</v>
      </c>
      <c r="E296" s="1" t="n">
        <v>46266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46266</v>
      </c>
      <c r="F297" t="inlineStr">
        <is>
          <t>VÄRMLANDS LÄN</t>
        </is>
      </c>
      <c r="G297" t="inlineStr">
        <is>
          <t>KRISTINEHAMN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15646-2026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46106</v>
      </c>
      <c r="E298" s="1" t="n">
        <v>46266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28152-2022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44746</v>
      </c>
      <c r="E299" s="1" t="n">
        <v>46266</v>
      </c>
      <c r="F299" t="inlineStr">
        <is>
          <t>VÄRMLANDS LÄN</t>
        </is>
      </c>
      <c r="G299" t="inlineStr">
        <is>
          <t>KRISTINEHAMN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46266</v>
      </c>
      <c r="F300" t="inlineStr">
        <is>
          <t>VÄRMLANDS LÄN</t>
        </is>
      </c>
      <c r="G300" t="inlineStr">
        <is>
          <t>KRISTINEHAMN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15827-2026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46266</v>
      </c>
      <c r="F301" t="inlineStr">
        <is>
          <t>VÄRMLANDS LÄN</t>
        </is>
      </c>
      <c r="G301" t="inlineStr">
        <is>
          <t>KRISTINEHAMN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44941</v>
      </c>
      <c r="E302" s="1" t="n">
        <v>46266</v>
      </c>
      <c r="F302" t="inlineStr">
        <is>
          <t>VÄRMLANDS LÄN</t>
        </is>
      </c>
      <c r="G302" t="inlineStr">
        <is>
          <t>KRISTINEHAMN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46266</v>
      </c>
      <c r="F303" t="inlineStr">
        <is>
          <t>VÄRMLANDS LÄN</t>
        </is>
      </c>
      <c r="G303" t="inlineStr">
        <is>
          <t>KRISTINEHAMN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46266</v>
      </c>
      <c r="F304" t="inlineStr">
        <is>
          <t>VÄRMLANDS LÄN</t>
        </is>
      </c>
      <c r="G304" t="inlineStr">
        <is>
          <t>KRISTINEHAMN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45625</v>
      </c>
      <c r="E305" s="1" t="n">
        <v>46266</v>
      </c>
      <c r="F305" t="inlineStr">
        <is>
          <t>VÄRMLANDS LÄN</t>
        </is>
      </c>
      <c r="G305" t="inlineStr">
        <is>
          <t>KRISTINEHAMN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45450</v>
      </c>
      <c r="E306" s="1" t="n">
        <v>46266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46266</v>
      </c>
      <c r="F307" t="inlineStr">
        <is>
          <t>VÄRMLANDS LÄN</t>
        </is>
      </c>
      <c r="G307" t="inlineStr">
        <is>
          <t>KRISTINEHAMN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45112</v>
      </c>
      <c r="E308" s="1" t="n">
        <v>46266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46129</v>
      </c>
      <c r="E309" s="1" t="n">
        <v>46266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46266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46266</v>
      </c>
      <c r="F311" t="inlineStr">
        <is>
          <t>VÄRMLANDS LÄN</t>
        </is>
      </c>
      <c r="G311" t="inlineStr">
        <is>
          <t>KRISTINEHAMN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32821-2023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45112</v>
      </c>
      <c r="E312" s="1" t="n">
        <v>46266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46266</v>
      </c>
      <c r="F313" t="inlineStr">
        <is>
          <t>VÄRMLANDS LÄN</t>
        </is>
      </c>
      <c r="G313" t="inlineStr">
        <is>
          <t>KRISTINEHAMN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46266</v>
      </c>
      <c r="F314" t="inlineStr">
        <is>
          <t>VÄRMLANDS LÄN</t>
        </is>
      </c>
      <c r="G314" t="inlineStr">
        <is>
          <t>KRISTINEHAMN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46266</v>
      </c>
      <c r="F315" t="inlineStr">
        <is>
          <t>VÄRMLANDS LÄN</t>
        </is>
      </c>
      <c r="G315" t="inlineStr">
        <is>
          <t>KRISTINEHAMN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44831</v>
      </c>
      <c r="E316" s="1" t="n">
        <v>46266</v>
      </c>
      <c r="F316" t="inlineStr">
        <is>
          <t>VÄRMLANDS LÄN</t>
        </is>
      </c>
      <c r="G316" t="inlineStr">
        <is>
          <t>KRISTINEHAMN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46266</v>
      </c>
      <c r="F317" t="inlineStr">
        <is>
          <t>VÄRMLANDS LÄN</t>
        </is>
      </c>
      <c r="G317" t="inlineStr">
        <is>
          <t>KRISTINEHAMN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46266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45804</v>
      </c>
      <c r="E319" s="1" t="n">
        <v>46266</v>
      </c>
      <c r="F319" t="inlineStr">
        <is>
          <t>VÄRMLANDS LÄN</t>
        </is>
      </c>
      <c r="G319" t="inlineStr">
        <is>
          <t>KRISTINEHAMN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61942-2022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44918</v>
      </c>
      <c r="E320" s="1" t="n">
        <v>46266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41857-2023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45176</v>
      </c>
      <c r="E321" s="1" t="n">
        <v>46266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46266</v>
      </c>
      <c r="F322" t="inlineStr">
        <is>
          <t>VÄRMLANDS LÄN</t>
        </is>
      </c>
      <c r="G322" t="inlineStr">
        <is>
          <t>KRISTINEHAMN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46266</v>
      </c>
      <c r="F323" t="inlineStr">
        <is>
          <t>VÄRMLANDS LÄN</t>
        </is>
      </c>
      <c r="G323" t="inlineStr">
        <is>
          <t>KRISTINEHAMN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46266</v>
      </c>
      <c r="F324" t="inlineStr">
        <is>
          <t>VÄRMLANDS LÄN</t>
        </is>
      </c>
      <c r="G324" t="inlineStr">
        <is>
          <t>KRISTINEHAMN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46266</v>
      </c>
      <c r="F325" t="inlineStr">
        <is>
          <t>VÄRMLANDS LÄN</t>
        </is>
      </c>
      <c r="G325" t="inlineStr">
        <is>
          <t>KRISTINEHAMN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46266</v>
      </c>
      <c r="F326" t="inlineStr">
        <is>
          <t>VÄRMLANDS LÄN</t>
        </is>
      </c>
      <c r="G326" t="inlineStr">
        <is>
          <t>KRISTINEHAMN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46266</v>
      </c>
      <c r="F327" t="inlineStr">
        <is>
          <t>VÄRMLANDS LÄN</t>
        </is>
      </c>
      <c r="G327" t="inlineStr">
        <is>
          <t>KRISTINEHAMN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46266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46266</v>
      </c>
      <c r="F329" t="inlineStr">
        <is>
          <t>VÄRMLANDS LÄN</t>
        </is>
      </c>
      <c r="G329" t="inlineStr">
        <is>
          <t>KRISTINEHAMN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46266</v>
      </c>
      <c r="F330" t="inlineStr">
        <is>
          <t>VÄRMLANDS LÄN</t>
        </is>
      </c>
      <c r="G330" t="inlineStr">
        <is>
          <t>KRISTINEHAMN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46266</v>
      </c>
      <c r="F331" t="inlineStr">
        <is>
          <t>VÄRMLANDS LÄN</t>
        </is>
      </c>
      <c r="G331" t="inlineStr">
        <is>
          <t>KRISTINEHAMN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23706-2022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44722</v>
      </c>
      <c r="E332" s="1" t="n">
        <v>46266</v>
      </c>
      <c r="F332" t="inlineStr">
        <is>
          <t>VÄRMLANDS LÄN</t>
        </is>
      </c>
      <c r="G332" t="inlineStr">
        <is>
          <t>KRISTINEHAMN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45002</v>
      </c>
      <c r="E333" s="1" t="n">
        <v>46266</v>
      </c>
      <c r="F333" t="inlineStr">
        <is>
          <t>VÄRMLANDS LÄN</t>
        </is>
      </c>
      <c r="G333" t="inlineStr">
        <is>
          <t>KRISTINEHAMN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44677</v>
      </c>
      <c r="E334" s="1" t="n">
        <v>46266</v>
      </c>
      <c r="F334" t="inlineStr">
        <is>
          <t>VÄRMLANDS LÄN</t>
        </is>
      </c>
      <c r="G334" t="inlineStr">
        <is>
          <t>KRISTINEHAMN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46266</v>
      </c>
      <c r="F335" t="inlineStr">
        <is>
          <t>VÄRMLANDS LÄN</t>
        </is>
      </c>
      <c r="G335" t="inlineStr">
        <is>
          <t>KRISTINEHAMN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46266</v>
      </c>
      <c r="F336" t="inlineStr">
        <is>
          <t>VÄRMLANDS LÄN</t>
        </is>
      </c>
      <c r="G336" t="inlineStr">
        <is>
          <t>KRISTINEHAMN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45756</v>
      </c>
      <c r="E337" s="1" t="n">
        <v>46266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46266</v>
      </c>
      <c r="F338" t="inlineStr">
        <is>
          <t>VÄRMLANDS LÄN</t>
        </is>
      </c>
      <c r="G338" t="inlineStr">
        <is>
          <t>KRISTINEHAMN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46266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46266</v>
      </c>
      <c r="F340" t="inlineStr">
        <is>
          <t>VÄRMLANDS LÄN</t>
        </is>
      </c>
      <c r="G340" t="inlineStr">
        <is>
          <t>KRISTINEHAMN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46266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46266</v>
      </c>
      <c r="F342" t="inlineStr">
        <is>
          <t>VÄRMLANDS LÄN</t>
        </is>
      </c>
      <c r="G342" t="inlineStr">
        <is>
          <t>KRISTINEHAMN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46266</v>
      </c>
      <c r="F343" t="inlineStr">
        <is>
          <t>VÄRMLANDS LÄN</t>
        </is>
      </c>
      <c r="G343" t="inlineStr">
        <is>
          <t>KRISTINEHAMN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45239</v>
      </c>
      <c r="E344" s="1" t="n">
        <v>46266</v>
      </c>
      <c r="F344" t="inlineStr">
        <is>
          <t>VÄRMLANDS LÄN</t>
        </is>
      </c>
      <c r="G344" t="inlineStr">
        <is>
          <t>KRISTINEHAMN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45058</v>
      </c>
      <c r="E345" s="1" t="n">
        <v>46266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Kommuner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21688-2024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45442</v>
      </c>
      <c r="E346" s="1" t="n">
        <v>46266</v>
      </c>
      <c r="F346" t="inlineStr">
        <is>
          <t>VÄRMLANDS LÄN</t>
        </is>
      </c>
      <c r="G346" t="inlineStr">
        <is>
          <t>KRISTINEHAMN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45226</v>
      </c>
      <c r="E347" s="1" t="n">
        <v>46266</v>
      </c>
      <c r="F347" t="inlineStr">
        <is>
          <t>VÄRMLANDS LÄN</t>
        </is>
      </c>
      <c r="G347" t="inlineStr">
        <is>
          <t>KRISTINEHAMN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45226</v>
      </c>
      <c r="E348" s="1" t="n">
        <v>46266</v>
      </c>
      <c r="F348" t="inlineStr">
        <is>
          <t>VÄRMLANDS LÄN</t>
        </is>
      </c>
      <c r="G348" t="inlineStr">
        <is>
          <t>KRISTINEHAMN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46266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Bergvik skog väst AB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46266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Naturvårdsverket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46266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46266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46266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46266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46266</v>
      </c>
      <c r="F355" t="inlineStr">
        <is>
          <t>VÄRMLANDS LÄN</t>
        </is>
      </c>
      <c r="G355" t="inlineStr">
        <is>
          <t>KRISTINEHAMN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46141</v>
      </c>
      <c r="E356" s="1" t="n">
        <v>46266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Naturvårdsverket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46266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14.2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45127</v>
      </c>
      <c r="E358" s="1" t="n">
        <v>46266</v>
      </c>
      <c r="F358" t="inlineStr">
        <is>
          <t>VÄRMLANDS LÄN</t>
        </is>
      </c>
      <c r="G358" t="inlineStr">
        <is>
          <t>KRISTINEHAMN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46266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46266</v>
      </c>
      <c r="F360" t="inlineStr">
        <is>
          <t>VÄRMLANDS LÄN</t>
        </is>
      </c>
      <c r="G360" t="inlineStr">
        <is>
          <t>KRISTINEHAMN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44454</v>
      </c>
      <c r="E361" s="1" t="n">
        <v>46266</v>
      </c>
      <c r="F361" t="inlineStr">
        <is>
          <t>VÄRMLANDS LÄN</t>
        </is>
      </c>
      <c r="G361" t="inlineStr">
        <is>
          <t>KRISTINEHAMN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46266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46266</v>
      </c>
      <c r="F363" t="inlineStr">
        <is>
          <t>VÄRMLANDS LÄN</t>
        </is>
      </c>
      <c r="G363" t="inlineStr">
        <is>
          <t>KRISTINEHAMN</t>
        </is>
      </c>
      <c r="I363" t="n">
        <v>11.1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45188</v>
      </c>
      <c r="E364" s="1" t="n">
        <v>46266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46266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22896-2023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45072</v>
      </c>
      <c r="E366" s="1" t="n">
        <v>46266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44985</v>
      </c>
      <c r="E367" s="1" t="n">
        <v>46266</v>
      </c>
      <c r="F367" t="inlineStr">
        <is>
          <t>VÄRMLANDS LÄN</t>
        </is>
      </c>
      <c r="G367" t="inlineStr">
        <is>
          <t>KRISTINEHAMN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22060-2026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46149</v>
      </c>
      <c r="E368" s="1" t="n">
        <v>46266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46150</v>
      </c>
      <c r="E369" s="1" t="n">
        <v>46266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46266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46266</v>
      </c>
      <c r="F371" t="inlineStr">
        <is>
          <t>VÄRMLANDS LÄN</t>
        </is>
      </c>
      <c r="G371" t="inlineStr">
        <is>
          <t>KRISTINEHAMN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47091-2022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44851</v>
      </c>
      <c r="E372" s="1" t="n">
        <v>46266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46266</v>
      </c>
      <c r="F373" t="inlineStr">
        <is>
          <t>VÄRMLANDS LÄN</t>
        </is>
      </c>
      <c r="G373" t="inlineStr">
        <is>
          <t>KRISTINEHAMN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45341</v>
      </c>
      <c r="E374" s="1" t="n">
        <v>46266</v>
      </c>
      <c r="F374" t="inlineStr">
        <is>
          <t>VÄRMLANDS LÄN</t>
        </is>
      </c>
      <c r="G374" t="inlineStr">
        <is>
          <t>KRISTINEHAMN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46266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45569</v>
      </c>
      <c r="E376" s="1" t="n">
        <v>46266</v>
      </c>
      <c r="F376" t="inlineStr">
        <is>
          <t>VÄRMLANDS LÄN</t>
        </is>
      </c>
      <c r="G376" t="inlineStr">
        <is>
          <t>KRISTINEHAMN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46266</v>
      </c>
      <c r="F377" t="inlineStr">
        <is>
          <t>VÄRMLANDS LÄN</t>
        </is>
      </c>
      <c r="G377" t="inlineStr">
        <is>
          <t>KRISTINEHAMN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46266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46266</v>
      </c>
      <c r="F379" t="inlineStr">
        <is>
          <t>VÄRMLANDS LÄN</t>
        </is>
      </c>
      <c r="G379" t="inlineStr">
        <is>
          <t>KRISTINEHAMN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12319-2022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44637</v>
      </c>
      <c r="E380" s="1" t="n">
        <v>46266</v>
      </c>
      <c r="F380" t="inlineStr">
        <is>
          <t>VÄRMLANDS LÄN</t>
        </is>
      </c>
      <c r="G380" t="inlineStr">
        <is>
          <t>KRISTINEHAMN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45690-2021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44441</v>
      </c>
      <c r="E381" s="1" t="n">
        <v>46266</v>
      </c>
      <c r="F381" t="inlineStr">
        <is>
          <t>VÄRMLANDS LÄN</t>
        </is>
      </c>
      <c r="G381" t="inlineStr">
        <is>
          <t>KRISTINEHAMN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45513</v>
      </c>
      <c r="E382" s="1" t="n">
        <v>46266</v>
      </c>
      <c r="F382" t="inlineStr">
        <is>
          <t>VÄRMLANDS LÄN</t>
        </is>
      </c>
      <c r="G382" t="inlineStr">
        <is>
          <t>KRISTINEHAMN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46266</v>
      </c>
      <c r="F383" t="inlineStr">
        <is>
          <t>VÄRMLANDS LÄN</t>
        </is>
      </c>
      <c r="G383" t="inlineStr">
        <is>
          <t>KRISTINEHAMN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46266</v>
      </c>
      <c r="F384" t="inlineStr">
        <is>
          <t>VÄRMLANDS LÄN</t>
        </is>
      </c>
      <c r="G384" t="inlineStr">
        <is>
          <t>KRISTINEHAMN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46266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46266</v>
      </c>
      <c r="F386" t="inlineStr">
        <is>
          <t>VÄRMLANDS LÄN</t>
        </is>
      </c>
      <c r="G386" t="inlineStr">
        <is>
          <t>KRISTINEHAMN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46266</v>
      </c>
      <c r="F387" t="inlineStr">
        <is>
          <t>VÄRMLANDS LÄN</t>
        </is>
      </c>
      <c r="G387" t="inlineStr">
        <is>
          <t>KRISTINEHAMN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46266</v>
      </c>
      <c r="F388" t="inlineStr">
        <is>
          <t>VÄRMLANDS LÄN</t>
        </is>
      </c>
      <c r="G388" t="inlineStr">
        <is>
          <t>KRISTINEHAMN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46266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46266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62453-2022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44924</v>
      </c>
      <c r="E391" s="1" t="n">
        <v>46266</v>
      </c>
      <c r="F391" t="inlineStr">
        <is>
          <t>VÄRMLANDS LÄN</t>
        </is>
      </c>
      <c r="G391" t="inlineStr">
        <is>
          <t>KRISTINEHAMN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48405-2023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45201</v>
      </c>
      <c r="E392" s="1" t="n">
        <v>46266</v>
      </c>
      <c r="F392" t="inlineStr">
        <is>
          <t>VÄRMLANDS LÄN</t>
        </is>
      </c>
      <c r="G392" t="inlineStr">
        <is>
          <t>KRISTINEHAMN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46266</v>
      </c>
      <c r="F393" t="inlineStr">
        <is>
          <t>VÄRMLANDS LÄN</t>
        </is>
      </c>
      <c r="G393" t="inlineStr">
        <is>
          <t>KRISTINEHAMN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12041-2024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45377</v>
      </c>
      <c r="E394" s="1" t="n">
        <v>46266</v>
      </c>
      <c r="F394" t="inlineStr">
        <is>
          <t>VÄRMLANDS LÄN</t>
        </is>
      </c>
      <c r="G394" t="inlineStr">
        <is>
          <t>KRISTINEHAMN</t>
        </is>
      </c>
      <c r="I394" t="n">
        <v>13.2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45104</v>
      </c>
      <c r="E395" s="1" t="n">
        <v>46266</v>
      </c>
      <c r="F395" t="inlineStr">
        <is>
          <t>VÄRMLANDS LÄN</t>
        </is>
      </c>
      <c r="G395" t="inlineStr">
        <is>
          <t>KRISTINEHAMN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10522-2024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46266</v>
      </c>
      <c r="F396" t="inlineStr">
        <is>
          <t>VÄRMLANDS LÄN</t>
        </is>
      </c>
      <c r="G396" t="inlineStr">
        <is>
          <t>KRISTINEHAMN</t>
        </is>
      </c>
      <c r="I396" t="n">
        <v>19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46266</v>
      </c>
      <c r="F397" t="inlineStr">
        <is>
          <t>VÄRMLANDS LÄN</t>
        </is>
      </c>
      <c r="G397" t="inlineStr">
        <is>
          <t>KRISTINEHAMN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24570-2026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46170</v>
      </c>
      <c r="E398" s="1" t="n">
        <v>46266</v>
      </c>
      <c r="F398" t="inlineStr">
        <is>
          <t>VÄRMLANDS LÄN</t>
        </is>
      </c>
      <c r="G398" t="inlineStr">
        <is>
          <t>KRISTINEHAMN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46266</v>
      </c>
      <c r="F399" t="inlineStr">
        <is>
          <t>VÄRMLANDS LÄN</t>
        </is>
      </c>
      <c r="G399" t="inlineStr">
        <is>
          <t>KRISTINEHAMN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45656</v>
      </c>
      <c r="E400" s="1" t="n">
        <v>46266</v>
      </c>
      <c r="F400" t="inlineStr">
        <is>
          <t>VÄRMLANDS LÄN</t>
        </is>
      </c>
      <c r="G400" t="inlineStr">
        <is>
          <t>KRISTINEHAMN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59144-2021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44490</v>
      </c>
      <c r="E401" s="1" t="n">
        <v>46266</v>
      </c>
      <c r="F401" t="inlineStr">
        <is>
          <t>VÄRMLANDS LÄN</t>
        </is>
      </c>
      <c r="G401" t="inlineStr">
        <is>
          <t>KRISTINEHAMN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46266</v>
      </c>
      <c r="F402" t="inlineStr">
        <is>
          <t>VÄRMLANDS LÄN</t>
        </is>
      </c>
      <c r="G402" t="inlineStr">
        <is>
          <t>KRISTINEHAMN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46171</v>
      </c>
      <c r="E403" s="1" t="n">
        <v>46266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44651</v>
      </c>
      <c r="E404" s="1" t="n">
        <v>46266</v>
      </c>
      <c r="F404" t="inlineStr">
        <is>
          <t>VÄRMLANDS LÄN</t>
        </is>
      </c>
      <c r="G404" t="inlineStr">
        <is>
          <t>KRISTINEHAMN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45379</v>
      </c>
      <c r="E405" s="1" t="n">
        <v>46266</v>
      </c>
      <c r="F405" t="inlineStr">
        <is>
          <t>VÄRMLANDS LÄN</t>
        </is>
      </c>
      <c r="G405" t="inlineStr">
        <is>
          <t>KRISTINEHAMN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46266</v>
      </c>
      <c r="F406" t="inlineStr">
        <is>
          <t>VÄRMLANDS LÄN</t>
        </is>
      </c>
      <c r="G406" t="inlineStr">
        <is>
          <t>KRISTINEHAMN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44722</v>
      </c>
      <c r="E407" s="1" t="n">
        <v>46266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46266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46266</v>
      </c>
      <c r="F409" t="inlineStr">
        <is>
          <t>VÄRMLANDS LÄN</t>
        </is>
      </c>
      <c r="G409" t="inlineStr">
        <is>
          <t>KRISTINEHAMN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45705</v>
      </c>
      <c r="E410" s="1" t="n">
        <v>46266</v>
      </c>
      <c r="F410" t="inlineStr">
        <is>
          <t>VÄRMLANDS LÄN</t>
        </is>
      </c>
      <c r="G410" t="inlineStr">
        <is>
          <t>KRISTINEHAMN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46266</v>
      </c>
      <c r="F411" t="inlineStr">
        <is>
          <t>VÄRMLANDS LÄN</t>
        </is>
      </c>
      <c r="G411" t="inlineStr">
        <is>
          <t>KRISTINEHAMN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70126-2021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44533</v>
      </c>
      <c r="E412" s="1" t="n">
        <v>46266</v>
      </c>
      <c r="F412" t="inlineStr">
        <is>
          <t>VÄRMLANDS LÄN</t>
        </is>
      </c>
      <c r="G412" t="inlineStr">
        <is>
          <t>KRISTINEHAMN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46526-2022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46266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46266</v>
      </c>
      <c r="F414" t="inlineStr">
        <is>
          <t>VÄRMLANDS LÄN</t>
        </is>
      </c>
      <c r="G414" t="inlineStr">
        <is>
          <t>KRISTINEHAMN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46266</v>
      </c>
      <c r="F415" t="inlineStr">
        <is>
          <t>VÄRMLANDS LÄN</t>
        </is>
      </c>
      <c r="G415" t="inlineStr">
        <is>
          <t>KRISTINEHAMN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46037</v>
      </c>
      <c r="E416" s="1" t="n">
        <v>46266</v>
      </c>
      <c r="F416" t="inlineStr">
        <is>
          <t>VÄRMLANDS LÄN</t>
        </is>
      </c>
      <c r="G416" t="inlineStr">
        <is>
          <t>KRISTINEHAMN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46230</v>
      </c>
      <c r="E417" s="1" t="n">
        <v>46266</v>
      </c>
      <c r="F417" t="inlineStr">
        <is>
          <t>VÄRMLANDS LÄN</t>
        </is>
      </c>
      <c r="G417" t="inlineStr">
        <is>
          <t>KRISTINEHAMN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46266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Naturvårdsverket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44994</v>
      </c>
      <c r="E419" s="1" t="n">
        <v>46266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46266</v>
      </c>
      <c r="F420" t="inlineStr">
        <is>
          <t>VÄRMLANDS LÄN</t>
        </is>
      </c>
      <c r="G420" t="inlineStr">
        <is>
          <t>KRISTINEHAMN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46266</v>
      </c>
      <c r="F421" t="inlineStr">
        <is>
          <t>VÄRMLANDS LÄN</t>
        </is>
      </c>
      <c r="G421" t="inlineStr">
        <is>
          <t>KRISTINEHAMN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45243</v>
      </c>
      <c r="E422" s="1" t="n">
        <v>46266</v>
      </c>
      <c r="F422" t="inlineStr">
        <is>
          <t>VÄRMLANDS LÄN</t>
        </is>
      </c>
      <c r="G422" t="inlineStr">
        <is>
          <t>KRISTINEHAMN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56522-2021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44480</v>
      </c>
      <c r="E423" s="1" t="n">
        <v>46266</v>
      </c>
      <c r="F423" t="inlineStr">
        <is>
          <t>VÄRMLANDS LÄN</t>
        </is>
      </c>
      <c r="G423" t="inlineStr">
        <is>
          <t>KRISTINEHAMN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45315</v>
      </c>
      <c r="E424" s="1" t="n">
        <v>46266</v>
      </c>
      <c r="F424" t="inlineStr">
        <is>
          <t>VÄRMLANDS LÄN</t>
        </is>
      </c>
      <c r="G424" t="inlineStr">
        <is>
          <t>KRISTINEHAMN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45344</v>
      </c>
      <c r="E425" s="1" t="n">
        <v>46266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46266</v>
      </c>
      <c r="F426" t="inlineStr">
        <is>
          <t>VÄRMLANDS LÄN</t>
        </is>
      </c>
      <c r="G426" t="inlineStr">
        <is>
          <t>KRISTINEHAMN</t>
        </is>
      </c>
      <c r="I426" t="n">
        <v>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46266</v>
      </c>
      <c r="F427" t="inlineStr">
        <is>
          <t>VÄRMLANDS LÄN</t>
        </is>
      </c>
      <c r="G427" t="inlineStr">
        <is>
          <t>KRISTINEHAMN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46266</v>
      </c>
      <c r="F428" t="inlineStr">
        <is>
          <t>VÄRMLANDS LÄN</t>
        </is>
      </c>
      <c r="G428" t="inlineStr">
        <is>
          <t>KRISTINEHAMN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33464-2023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45118</v>
      </c>
      <c r="E429" s="1" t="n">
        <v>46266</v>
      </c>
      <c r="F429" t="inlineStr">
        <is>
          <t>VÄRMLANDS LÄN</t>
        </is>
      </c>
      <c r="G429" t="inlineStr">
        <is>
          <t>KRISTINEHAMN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45769</v>
      </c>
      <c r="E430" s="1" t="n">
        <v>46266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Kyrkan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45159</v>
      </c>
      <c r="E431" s="1" t="n">
        <v>46266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44888</v>
      </c>
      <c r="E432" s="1" t="n">
        <v>46266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44722</v>
      </c>
      <c r="E433" s="1" t="n">
        <v>46266</v>
      </c>
      <c r="F433" t="inlineStr">
        <is>
          <t>VÄRMLANDS LÄN</t>
        </is>
      </c>
      <c r="G433" t="inlineStr">
        <is>
          <t>KRISTINEHAMN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45379</v>
      </c>
      <c r="E434" s="1" t="n">
        <v>46266</v>
      </c>
      <c r="F434" t="inlineStr">
        <is>
          <t>VÄRMLANDS LÄN</t>
        </is>
      </c>
      <c r="G434" t="inlineStr">
        <is>
          <t>KRISTINEHAMN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28834-2024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45478</v>
      </c>
      <c r="E435" s="1" t="n">
        <v>46266</v>
      </c>
      <c r="F435" t="inlineStr">
        <is>
          <t>VÄRMLANDS LÄN</t>
        </is>
      </c>
      <c r="G435" t="inlineStr">
        <is>
          <t>KRISTINEHAMN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46266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46266</v>
      </c>
      <c r="F437" t="inlineStr">
        <is>
          <t>VÄRMLANDS LÄN</t>
        </is>
      </c>
      <c r="G437" t="inlineStr">
        <is>
          <t>KRISTINEHAMN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46266</v>
      </c>
      <c r="F438" t="inlineStr">
        <is>
          <t>VÄRMLANDS LÄN</t>
        </is>
      </c>
      <c r="G438" t="inlineStr">
        <is>
          <t>KRISTINEHAMN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46266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4147-2023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46266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13.5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4149-2023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46266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1815-2022</t>
        </is>
      </c>
      <c r="B442" t="inlineStr">
        <is>
          <t>samrådsanmälan</t>
        </is>
      </c>
      <c r="C442" t="inlineStr">
        <is>
          <t>Åtgärd i nyckelbiotop</t>
        </is>
      </c>
      <c r="D442" s="1" t="n">
        <v>44657</v>
      </c>
      <c r="E442" s="1" t="n">
        <v>46266</v>
      </c>
      <c r="F442" t="inlineStr">
        <is>
          <t>VÄRMLANDS LÄN</t>
        </is>
      </c>
      <c r="G442" t="inlineStr">
        <is>
          <t>KRISTINEHAMN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2254-2023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45103</v>
      </c>
      <c r="E443" s="1" t="n">
        <v>46266</v>
      </c>
      <c r="F443" t="inlineStr">
        <is>
          <t>VÄRMLANDS LÄN</t>
        </is>
      </c>
      <c r="G443" t="inlineStr">
        <is>
          <t>KRISTINEHAMN</t>
        </is>
      </c>
      <c r="I443" t="n">
        <v>51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46266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1899-2024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46266</v>
      </c>
      <c r="F445" t="inlineStr">
        <is>
          <t>VÄRMLANDS LÄN</t>
        </is>
      </c>
      <c r="G445" t="inlineStr">
        <is>
          <t>KRISTINEHAMN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2301-2024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45463</v>
      </c>
      <c r="E446" s="1" t="n">
        <v>46266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28.1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2553-2024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46266</v>
      </c>
      <c r="F447" t="inlineStr">
        <is>
          <t>VÄRMLANDS LÄN</t>
        </is>
      </c>
      <c r="G447" t="inlineStr">
        <is>
          <t>KRISTINEHAMN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3378-2024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46266</v>
      </c>
      <c r="F448" t="inlineStr">
        <is>
          <t>VÄRMLANDS LÄN</t>
        </is>
      </c>
      <c r="G448" t="inlineStr">
        <is>
          <t>KRISTINEHAMN</t>
        </is>
      </c>
      <c r="I448" t="n">
        <v>53.7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2393-2022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44690</v>
      </c>
      <c r="E449" s="1" t="n">
        <v>46266</v>
      </c>
      <c r="F449" t="inlineStr">
        <is>
          <t>VÄRMLANDS LÄN</t>
        </is>
      </c>
      <c r="G449" t="inlineStr">
        <is>
          <t>KRISTINEHAMN</t>
        </is>
      </c>
      <c r="I449" t="n">
        <v>51.7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46266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46266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46266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46266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46266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46266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46266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46266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46266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46266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46266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46266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46266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2026-09-01T02:06:47Z</dcterms:created>
  <dcterms:modified xmlns:dcterms="http://purl.org/dc/terms/" xmlns:xsi="http://www.w3.org/2001/XMLSchema-instance" xsi:type="dcterms:W3CDTF">2026-09-01T02:06:47Z</dcterms:modified>
</cp:coreProperties>
</file>