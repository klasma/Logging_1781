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46261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46261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46261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46261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46261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46261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46261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46261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46261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46261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46261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46261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46261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46261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46261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46261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46261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46261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46261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60714-2025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45996</v>
      </c>
      <c r="E21" s="1" t="n">
        <v>46261</v>
      </c>
      <c r="F21" t="inlineStr">
        <is>
          <t>VÄRMLANDS LÄN</t>
        </is>
      </c>
      <c r="G21" t="inlineStr">
        <is>
          <t>KRISTINEHAMN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Björksplintborre</t>
        </is>
      </c>
      <c r="W21">
        <f>HYPERLINK("https://klasma.github.io/Logging_1781/artfynd/A 60714-2025 artfynd.xlsx", "A 60714-2025")</f>
        <v/>
      </c>
      <c r="X21">
        <f>HYPERLINK("https://klasma.github.io/Logging_1781/kartor/A 60714-2025 karta.png", "A 60714-2025")</f>
        <v/>
      </c>
      <c r="Y21">
        <f>HYPERLINK("https://klasma.github.io/Logging_1781/kartor_geotiff/A 60714-2025 georefererad karta.tif", "A 60714-2025")</f>
        <v/>
      </c>
      <c r="AA21">
        <f>HYPERLINK("https://klasma.github.io/Logging_1781/klagomål/A 60714-2025 FSC-klagomål.docx", "A 60714-2025")</f>
        <v/>
      </c>
      <c r="AB21">
        <f>HYPERLINK("https://klasma.github.io/Logging_1781/klagomålsmail/A 60714-2025 FSC-klagomål mail.docx", "A 60714-2025")</f>
        <v/>
      </c>
      <c r="AC21">
        <f>HYPERLINK("https://klasma.github.io/Logging_1781/tillsyn/A 60714-2025 tillsynsbegäran.docx", "A 60714-2025")</f>
        <v/>
      </c>
      <c r="AD21">
        <f>HYPERLINK("https://klasma.github.io/Logging_1781/tillsynsmail/A 60714-2025 tillsynsbegäran mail.docx", "A 60714-2025")</f>
        <v/>
      </c>
    </row>
    <row r="22" ht="15" customHeight="1">
      <c r="A22" t="inlineStr">
        <is>
          <t>A 14762-2026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46101</v>
      </c>
      <c r="E22" s="1" t="n">
        <v>46261</v>
      </c>
      <c r="F22" t="inlineStr">
        <is>
          <t>VÄRMLANDS LÄN</t>
        </is>
      </c>
      <c r="G22" t="inlineStr">
        <is>
          <t>KRISTINEHAMN</t>
        </is>
      </c>
      <c r="H22" t="inlineStr">
        <is>
          <t>Sveaskog</t>
        </is>
      </c>
      <c r="I22" t="n">
        <v>3.2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Fläcknycklar</t>
        </is>
      </c>
      <c r="W22">
        <f>HYPERLINK("https://klasma.github.io/Logging_1781/artfynd/A 14762-2026 artfynd.xlsx", "A 14762-2026")</f>
        <v/>
      </c>
      <c r="X22">
        <f>HYPERLINK("https://klasma.github.io/Logging_1781/kartor/A 14762-2026 karta.png", "A 14762-2026")</f>
        <v/>
      </c>
      <c r="Y22">
        <f>HYPERLINK("https://klasma.github.io/Logging_1781/kartor_geotiff/A 14762-2026 georefererad karta.tif", "A 14762-2026")</f>
        <v/>
      </c>
      <c r="AA22">
        <f>HYPERLINK("https://klasma.github.io/Logging_1781/klagomål/A 14762-2026 FSC-klagomål.docx", "A 14762-2026")</f>
        <v/>
      </c>
      <c r="AB22">
        <f>HYPERLINK("https://klasma.github.io/Logging_1781/klagomålsmail/A 14762-2026 FSC-klagomål mail.docx", "A 14762-2026")</f>
        <v/>
      </c>
      <c r="AC22">
        <f>HYPERLINK("https://klasma.github.io/Logging_1781/tillsyn/A 14762-2026 tillsynsbegäran.docx", "A 14762-2026")</f>
        <v/>
      </c>
      <c r="AD22">
        <f>HYPERLINK("https://klasma.github.io/Logging_1781/tillsynsmail/A 14762-2026 tillsynsbegäran mail.docx", "A 14762-2026")</f>
        <v/>
      </c>
    </row>
    <row r="23" ht="15" customHeight="1">
      <c r="A23" t="inlineStr">
        <is>
          <t>A 14760-2026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46261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14760-2026 artfynd.xlsx", "A 14760-2026")</f>
        <v/>
      </c>
      <c r="X23">
        <f>HYPERLINK("https://klasma.github.io/Logging_1781/kartor/A 14760-2026 karta.png", "A 14760-2026")</f>
        <v/>
      </c>
      <c r="Y23">
        <f>HYPERLINK("https://klasma.github.io/Logging_1781/kartor_geotiff/A 14760-2026 georefererad karta.tif", "A 14760-2026")</f>
        <v/>
      </c>
      <c r="AA23">
        <f>HYPERLINK("https://klasma.github.io/Logging_1781/klagomål/A 14760-2026 FSC-klagomål.docx", "A 14760-2026")</f>
        <v/>
      </c>
      <c r="AB23">
        <f>HYPERLINK("https://klasma.github.io/Logging_1781/klagomålsmail/A 14760-2026 FSC-klagomål mail.docx", "A 14760-2026")</f>
        <v/>
      </c>
      <c r="AC23">
        <f>HYPERLINK("https://klasma.github.io/Logging_1781/tillsyn/A 14760-2026 tillsynsbegäran.docx", "A 14760-2026")</f>
        <v/>
      </c>
      <c r="AD23">
        <f>HYPERLINK("https://klasma.github.io/Logging_1781/tillsynsmail/A 14760-2026 tillsynsbegäran mail.docx", "A 14760-2026")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46261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46261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46261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58021-2025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46261</v>
      </c>
      <c r="F27" t="inlineStr">
        <is>
          <t>VÄRMLANDS LÄN</t>
        </is>
      </c>
      <c r="G27" t="inlineStr">
        <is>
          <t>KRISTINEHAMN</t>
        </is>
      </c>
      <c r="I27" t="n">
        <v>4.2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HYPERLINK("https://klasma.github.io/Logging_1781/artfynd/A 58021-2025 artfynd.xlsx", "A 58021-2025")</f>
        <v/>
      </c>
      <c r="X27">
        <f>HYPERLINK("https://klasma.github.io/Logging_1781/kartor/A 58021-2025 karta.png", "A 58021-2025")</f>
        <v/>
      </c>
      <c r="Y27">
        <f>HYPERLINK("https://klasma.github.io/Logging_1781/kartor_geotiff/A 58021-2025 georefererad karta.tif", "A 58021-2025")</f>
        <v/>
      </c>
      <c r="AA27">
        <f>HYPERLINK("https://klasma.github.io/Logging_1781/klagomål/A 58021-2025 FSC-klagomål.docx", "A 58021-2025")</f>
        <v/>
      </c>
      <c r="AB27">
        <f>HYPERLINK("https://klasma.github.io/Logging_1781/klagomålsmail/A 58021-2025 FSC-klagomål mail.docx", "A 58021-2025")</f>
        <v/>
      </c>
      <c r="AC27">
        <f>HYPERLINK("https://klasma.github.io/Logging_1781/tillsyn/A 58021-2025 tillsynsbegäran.docx", "A 58021-2025")</f>
        <v/>
      </c>
      <c r="AD27">
        <f>HYPERLINK("https://klasma.github.io/Logging_1781/tillsynsmail/A 58021-2025 tillsynsbegäran mail.docx", "A 58021-2025")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46261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59096-2024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45637</v>
      </c>
      <c r="E29" s="1" t="n">
        <v>46261</v>
      </c>
      <c r="F29" t="inlineStr">
        <is>
          <t>VÄRMLANDS LÄN</t>
        </is>
      </c>
      <c r="G29" t="inlineStr">
        <is>
          <t>KRISTINEHAMN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Bombmurkla</t>
        </is>
      </c>
      <c r="W29">
        <f>HYPERLINK("https://klasma.github.io/Logging_1781/artfynd/A 59096-2024 artfynd.xlsx", "A 59096-2024")</f>
        <v/>
      </c>
      <c r="X29">
        <f>HYPERLINK("https://klasma.github.io/Logging_1781/kartor/A 59096-2024 karta.png", "A 59096-2024")</f>
        <v/>
      </c>
      <c r="Y29">
        <f>HYPERLINK("https://klasma.github.io/Logging_1781/kartor_geotiff/A 59096-2024 georefererad karta.tif", "A 59096-2024")</f>
        <v/>
      </c>
      <c r="AA29">
        <f>HYPERLINK("https://klasma.github.io/Logging_1781/klagomål/A 59096-2024 FSC-klagomål.docx", "A 59096-2024")</f>
        <v/>
      </c>
      <c r="AB29">
        <f>HYPERLINK("https://klasma.github.io/Logging_1781/klagomålsmail/A 59096-2024 FSC-klagomål mail.docx", "A 59096-2024")</f>
        <v/>
      </c>
      <c r="AC29">
        <f>HYPERLINK("https://klasma.github.io/Logging_1781/tillsyn/A 59096-2024 tillsynsbegäran.docx", "A 59096-2024")</f>
        <v/>
      </c>
      <c r="AD29">
        <f>HYPERLINK("https://klasma.github.io/Logging_1781/tillsynsmail/A 59096-2024 tillsynsbegäran mail.docx", "A 59096-2024")</f>
        <v/>
      </c>
    </row>
    <row r="30" ht="15" customHeight="1">
      <c r="A30" t="inlineStr">
        <is>
          <t>A 20746-2026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46261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6.3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20746-2026 artfynd.xlsx", "A 20746-2026")</f>
        <v/>
      </c>
      <c r="X30">
        <f>HYPERLINK("https://klasma.github.io/Logging_1781/kartor/A 20746-2026 karta.png", "A 20746-2026")</f>
        <v/>
      </c>
      <c r="Y30">
        <f>HYPERLINK("https://klasma.github.io/Logging_1781/kartor_geotiff/A 20746-2026 georefererad karta.tif", "A 20746-2026")</f>
        <v/>
      </c>
      <c r="AA30">
        <f>HYPERLINK("https://klasma.github.io/Logging_1781/klagomål/A 20746-2026 FSC-klagomål.docx", "A 20746-2026")</f>
        <v/>
      </c>
      <c r="AB30">
        <f>HYPERLINK("https://klasma.github.io/Logging_1781/klagomålsmail/A 20746-2026 FSC-klagomål mail.docx", "A 20746-2026")</f>
        <v/>
      </c>
      <c r="AC30">
        <f>HYPERLINK("https://klasma.github.io/Logging_1781/tillsyn/A 20746-2026 tillsynsbegäran.docx", "A 20746-2026")</f>
        <v/>
      </c>
      <c r="AD30">
        <f>HYPERLINK("https://klasma.github.io/Logging_1781/tillsynsmail/A 20746-2026 tillsynsbegäran mail.docx", "A 20746-2026")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46261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54771-2022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46261</v>
      </c>
      <c r="F32" t="inlineStr">
        <is>
          <t>VÄRMLANDS LÄN</t>
        </is>
      </c>
      <c r="G32" t="inlineStr">
        <is>
          <t>KRISTINEHAMN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HYPERLINK("https://klasma.github.io/Logging_1781/artfynd/A 54771-2022 artfynd.xlsx", "A 54771-2022")</f>
        <v/>
      </c>
      <c r="X32">
        <f>HYPERLINK("https://klasma.github.io/Logging_1781/kartor/A 54771-2022 karta.png", "A 54771-2022")</f>
        <v/>
      </c>
      <c r="Y32">
        <f>HYPERLINK("https://klasma.github.io/Logging_1781/kartor_geotiff/A 54771-2022 georefererad karta.tif", "A 54771-2022")</f>
        <v/>
      </c>
      <c r="AA32">
        <f>HYPERLINK("https://klasma.github.io/Logging_1781/klagomål/A 54771-2022 FSC-klagomål.docx", "A 54771-2022")</f>
        <v/>
      </c>
      <c r="AB32">
        <f>HYPERLINK("https://klasma.github.io/Logging_1781/klagomålsmail/A 54771-2022 FSC-klagomål mail.docx", "A 54771-2022")</f>
        <v/>
      </c>
      <c r="AC32">
        <f>HYPERLINK("https://klasma.github.io/Logging_1781/tillsyn/A 54771-2022 tillsynsbegäran.docx", "A 54771-2022")</f>
        <v/>
      </c>
      <c r="AD32">
        <f>HYPERLINK("https://klasma.github.io/Logging_1781/tillsynsmail/A 54771-2022 tillsynsbegäran mail.docx", "A 54771-2022")</f>
        <v/>
      </c>
      <c r="AE32">
        <f>HYPERLINK("https://klasma.github.io/Logging_1781/fåglar/A 54771-2022 prioriterade fågelarter.docx", "A 54771-2022")</f>
        <v/>
      </c>
    </row>
    <row r="33" ht="15" customHeight="1">
      <c r="A33" t="inlineStr">
        <is>
          <t>A 13025-2023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45002</v>
      </c>
      <c r="E33" s="1" t="n">
        <v>46261</v>
      </c>
      <c r="F33" t="inlineStr">
        <is>
          <t>VÄRMLANDS LÄN</t>
        </is>
      </c>
      <c r="G33" t="inlineStr">
        <is>
          <t>KRISTINEHAMN</t>
        </is>
      </c>
      <c r="I33" t="n">
        <v>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HYPERLINK("https://klasma.github.io/Logging_1781/artfynd/A 13025-2023 artfynd.xlsx", "A 13025-2023")</f>
        <v/>
      </c>
      <c r="X33">
        <f>HYPERLINK("https://klasma.github.io/Logging_1781/kartor/A 13025-2023 karta.png", "A 13025-2023")</f>
        <v/>
      </c>
      <c r="Y33">
        <f>HYPERLINK("https://klasma.github.io/Logging_1781/kartor_geotiff/A 13025-2023 georefererad karta.tif", "A 13025-2023")</f>
        <v/>
      </c>
      <c r="AA33">
        <f>HYPERLINK("https://klasma.github.io/Logging_1781/klagomål/A 13025-2023 FSC-klagomål.docx", "A 13025-2023")</f>
        <v/>
      </c>
      <c r="AB33">
        <f>HYPERLINK("https://klasma.github.io/Logging_1781/klagomålsmail/A 13025-2023 FSC-klagomål mail.docx", "A 13025-2023")</f>
        <v/>
      </c>
      <c r="AC33">
        <f>HYPERLINK("https://klasma.github.io/Logging_1781/tillsyn/A 13025-2023 tillsynsbegäran.docx", "A 13025-2023")</f>
        <v/>
      </c>
      <c r="AD33">
        <f>HYPERLINK("https://klasma.github.io/Logging_1781/tillsynsmail/A 13025-2023 tillsynsbegäran mail.docx", "A 13025-2023")</f>
        <v/>
      </c>
    </row>
    <row r="34" ht="15" customHeight="1">
      <c r="A34" t="inlineStr">
        <is>
          <t>A 12593-2024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45380</v>
      </c>
      <c r="E34" s="1" t="n">
        <v>46261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Bombmurkla</t>
        </is>
      </c>
      <c r="W34">
        <f>HYPERLINK("https://klasma.github.io/Logging_1781/artfynd/A 12593-2024 artfynd.xlsx", "A 12593-2024")</f>
        <v/>
      </c>
      <c r="X34">
        <f>HYPERLINK("https://klasma.github.io/Logging_1781/kartor/A 12593-2024 karta.png", "A 12593-2024")</f>
        <v/>
      </c>
      <c r="Y34">
        <f>HYPERLINK("https://klasma.github.io/Logging_1781/kartor_geotiff/A 12593-2024 georefererad karta.tif", "A 12593-2024")</f>
        <v/>
      </c>
      <c r="AA34">
        <f>HYPERLINK("https://klasma.github.io/Logging_1781/klagomål/A 12593-2024 FSC-klagomål.docx", "A 12593-2024")</f>
        <v/>
      </c>
      <c r="AB34">
        <f>HYPERLINK("https://klasma.github.io/Logging_1781/klagomålsmail/A 12593-2024 FSC-klagomål mail.docx", "A 12593-2024")</f>
        <v/>
      </c>
      <c r="AC34">
        <f>HYPERLINK("https://klasma.github.io/Logging_1781/tillsyn/A 12593-2024 tillsynsbegäran.docx", "A 12593-2024")</f>
        <v/>
      </c>
      <c r="AD34">
        <f>HYPERLINK("https://klasma.github.io/Logging_1781/tillsynsmail/A 12593-2024 tillsynsbegäran mail.docx", "A 12593-2024")</f>
        <v/>
      </c>
    </row>
    <row r="35" ht="15" customHeight="1">
      <c r="A35" t="inlineStr">
        <is>
          <t>A 8714-2024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46261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Bombmurkla</t>
        </is>
      </c>
      <c r="W35">
        <f>HYPERLINK("https://klasma.github.io/Logging_1781/artfynd/A 8714-2024 artfynd.xlsx", "A 8714-2024")</f>
        <v/>
      </c>
      <c r="X35">
        <f>HYPERLINK("https://klasma.github.io/Logging_1781/kartor/A 8714-2024 karta.png", "A 8714-2024")</f>
        <v/>
      </c>
      <c r="Y35">
        <f>HYPERLINK("https://klasma.github.io/Logging_1781/kartor_geotiff/A 8714-2024 georefererad karta.tif", "A 8714-2024")</f>
        <v/>
      </c>
      <c r="AA35">
        <f>HYPERLINK("https://klasma.github.io/Logging_1781/klagomål/A 8714-2024 FSC-klagomål.docx", "A 8714-2024")</f>
        <v/>
      </c>
      <c r="AB35">
        <f>HYPERLINK("https://klasma.github.io/Logging_1781/klagomålsmail/A 8714-2024 FSC-klagomål mail.docx", "A 8714-2024")</f>
        <v/>
      </c>
      <c r="AC35">
        <f>HYPERLINK("https://klasma.github.io/Logging_1781/tillsyn/A 8714-2024 tillsynsbegäran.docx", "A 8714-2024")</f>
        <v/>
      </c>
      <c r="AD35">
        <f>HYPERLINK("https://klasma.github.io/Logging_1781/tillsynsmail/A 8714-2024 tillsynsbegäran mail.docx", "A 8714-2024")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46261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46261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46261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46261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46261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46261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46261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46261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46261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46261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46261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46261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46261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46261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46261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46261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46261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46261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46261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46261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46261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46261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46261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46261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46261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46261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46261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46261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46261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46261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46261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46261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46261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46261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46261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46261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46261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46261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46261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46261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46261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46261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46261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46261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46261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46261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46261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46261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46261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46261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46261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46261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46261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46261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46261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46261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46261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44742</v>
      </c>
      <c r="E93" s="1" t="n">
        <v>46261</v>
      </c>
      <c r="F93" t="inlineStr">
        <is>
          <t>VÄRMLANDS LÄN</t>
        </is>
      </c>
      <c r="G93" t="inlineStr">
        <is>
          <t>KRISTINEHAMN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46261</v>
      </c>
      <c r="F94" t="inlineStr">
        <is>
          <t>VÄRMLANDS LÄN</t>
        </is>
      </c>
      <c r="G94" t="inlineStr">
        <is>
          <t>KRISTINEHAMN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45202</v>
      </c>
      <c r="E95" s="1" t="n">
        <v>46261</v>
      </c>
      <c r="F95" t="inlineStr">
        <is>
          <t>VÄRMLANDS LÄN</t>
        </is>
      </c>
      <c r="G95" t="inlineStr">
        <is>
          <t>KRISTINEHAMN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46261</v>
      </c>
      <c r="F96" t="inlineStr">
        <is>
          <t>VÄRMLANDS LÄN</t>
        </is>
      </c>
      <c r="G96" t="inlineStr">
        <is>
          <t>KRISTINEHAMN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46261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46261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46261</v>
      </c>
      <c r="F99" t="inlineStr">
        <is>
          <t>VÄRMLANDS LÄN</t>
        </is>
      </c>
      <c r="G99" t="inlineStr">
        <is>
          <t>KRISTINEHAMN</t>
        </is>
      </c>
      <c r="H99" t="inlineStr">
        <is>
          <t>Naturvårdsverket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45095</v>
      </c>
      <c r="E100" s="1" t="n">
        <v>46261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19447-2024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46261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45282</v>
      </c>
      <c r="E102" s="1" t="n">
        <v>46261</v>
      </c>
      <c r="F102" t="inlineStr">
        <is>
          <t>VÄRMLANDS LÄN</t>
        </is>
      </c>
      <c r="G102" t="inlineStr">
        <is>
          <t>KRISTINEHAMN</t>
        </is>
      </c>
      <c r="I102" t="n">
        <v>9.6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45447</v>
      </c>
      <c r="E103" s="1" t="n">
        <v>46261</v>
      </c>
      <c r="F103" t="inlineStr">
        <is>
          <t>VÄRMLANDS LÄN</t>
        </is>
      </c>
      <c r="G103" t="inlineStr">
        <is>
          <t>KRISTINEHAMN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46261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46261</v>
      </c>
      <c r="F105" t="inlineStr">
        <is>
          <t>VÄRMLANDS LÄN</t>
        </is>
      </c>
      <c r="G105" t="inlineStr">
        <is>
          <t>KRISTINEHAMN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46261</v>
      </c>
      <c r="F106" t="inlineStr">
        <is>
          <t>VÄRMLANDS LÄN</t>
        </is>
      </c>
      <c r="G106" t="inlineStr">
        <is>
          <t>KRISTINEHAMN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56697-2022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46261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44770</v>
      </c>
      <c r="E108" s="1" t="n">
        <v>46261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23510-2025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45792</v>
      </c>
      <c r="E109" s="1" t="n">
        <v>46261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46261</v>
      </c>
      <c r="F110" t="inlineStr">
        <is>
          <t>VÄRMLANDS LÄN</t>
        </is>
      </c>
      <c r="G110" t="inlineStr">
        <is>
          <t>KRISTINEHAMN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46261</v>
      </c>
      <c r="F111" t="inlineStr">
        <is>
          <t>VÄRMLANDS LÄN</t>
        </is>
      </c>
      <c r="G111" t="inlineStr">
        <is>
          <t>KRISTINEHAMN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46261</v>
      </c>
      <c r="F112" t="inlineStr">
        <is>
          <t>VÄRMLANDS LÄN</t>
        </is>
      </c>
      <c r="G112" t="inlineStr">
        <is>
          <t>KRISTINEHAMN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45674</v>
      </c>
      <c r="E113" s="1" t="n">
        <v>46261</v>
      </c>
      <c r="F113" t="inlineStr">
        <is>
          <t>VÄRMLANDS LÄN</t>
        </is>
      </c>
      <c r="G113" t="inlineStr">
        <is>
          <t>KRISTINEHAMN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46261</v>
      </c>
      <c r="F114" t="inlineStr">
        <is>
          <t>VÄRMLANDS LÄN</t>
        </is>
      </c>
      <c r="G114" t="inlineStr">
        <is>
          <t>KRISTINEHAMN</t>
        </is>
      </c>
      <c r="I114" t="n">
        <v>11.2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46261</v>
      </c>
      <c r="F115" t="inlineStr">
        <is>
          <t>VÄRMLANDS LÄN</t>
        </is>
      </c>
      <c r="G115" t="inlineStr">
        <is>
          <t>KRISTINEHAMN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45575</v>
      </c>
      <c r="E116" s="1" t="n">
        <v>46261</v>
      </c>
      <c r="F116" t="inlineStr">
        <is>
          <t>VÄRMLANDS LÄN</t>
        </is>
      </c>
      <c r="G116" t="inlineStr">
        <is>
          <t>KRISTINEHAMN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54690-2022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44883</v>
      </c>
      <c r="E117" s="1" t="n">
        <v>46261</v>
      </c>
      <c r="F117" t="inlineStr">
        <is>
          <t>VÄRMLANDS LÄN</t>
        </is>
      </c>
      <c r="G117" t="inlineStr">
        <is>
          <t>KRISTINEHAMN</t>
        </is>
      </c>
      <c r="I117" t="n">
        <v>11.1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46034</v>
      </c>
      <c r="E118" s="1" t="n">
        <v>46261</v>
      </c>
      <c r="F118" t="inlineStr">
        <is>
          <t>VÄRMLANDS LÄN</t>
        </is>
      </c>
      <c r="G118" t="inlineStr">
        <is>
          <t>KRISTINEHAMN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46261</v>
      </c>
      <c r="F119" t="inlineStr">
        <is>
          <t>VÄRMLANDS LÄN</t>
        </is>
      </c>
      <c r="G119" t="inlineStr">
        <is>
          <t>KRISTINEHAMN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46261</v>
      </c>
      <c r="F120" t="inlineStr">
        <is>
          <t>VÄRMLANDS LÄN</t>
        </is>
      </c>
      <c r="G120" t="inlineStr">
        <is>
          <t>KRISTINEHAMN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24970-2025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46261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46261</v>
      </c>
      <c r="F122" t="inlineStr">
        <is>
          <t>VÄRMLANDS LÄN</t>
        </is>
      </c>
      <c r="G122" t="inlineStr">
        <is>
          <t>KRISTINEHAMN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46261</v>
      </c>
      <c r="F123" t="inlineStr">
        <is>
          <t>VÄRMLANDS LÄN</t>
        </is>
      </c>
      <c r="G123" t="inlineStr">
        <is>
          <t>KRISTINEHAMN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45802</v>
      </c>
      <c r="E124" s="1" t="n">
        <v>46261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46038</v>
      </c>
      <c r="E125" s="1" t="n">
        <v>46261</v>
      </c>
      <c r="F125" t="inlineStr">
        <is>
          <t>VÄRMLANDS LÄN</t>
        </is>
      </c>
      <c r="G125" t="inlineStr">
        <is>
          <t>KRISTINEHAMN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46261</v>
      </c>
      <c r="F126" t="inlineStr">
        <is>
          <t>VÄRMLANDS LÄN</t>
        </is>
      </c>
      <c r="G126" t="inlineStr">
        <is>
          <t>KRISTINEHAMN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45477</v>
      </c>
      <c r="E127" s="1" t="n">
        <v>46261</v>
      </c>
      <c r="F127" t="inlineStr">
        <is>
          <t>VÄRMLANDS LÄN</t>
        </is>
      </c>
      <c r="G127" t="inlineStr">
        <is>
          <t>KRISTINEHAMN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46261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45805</v>
      </c>
      <c r="E129" s="1" t="n">
        <v>46261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46261</v>
      </c>
      <c r="F130" t="inlineStr">
        <is>
          <t>VÄRMLANDS LÄN</t>
        </is>
      </c>
      <c r="G130" t="inlineStr">
        <is>
          <t>KRISTINEHAMN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46261</v>
      </c>
      <c r="F131" t="inlineStr">
        <is>
          <t>VÄRMLANDS LÄN</t>
        </is>
      </c>
      <c r="G131" t="inlineStr">
        <is>
          <t>KRISTINEHAMN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46261</v>
      </c>
      <c r="F132" t="inlineStr">
        <is>
          <t>VÄRMLANDS LÄN</t>
        </is>
      </c>
      <c r="G132" t="inlineStr">
        <is>
          <t>KRISTINEHAMN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46261</v>
      </c>
      <c r="F133" t="inlineStr">
        <is>
          <t>VÄRMLANDS LÄN</t>
        </is>
      </c>
      <c r="G133" t="inlineStr">
        <is>
          <t>KRISTINEHAMN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44941</v>
      </c>
      <c r="E134" s="1" t="n">
        <v>46261</v>
      </c>
      <c r="F134" t="inlineStr">
        <is>
          <t>VÄRMLANDS LÄN</t>
        </is>
      </c>
      <c r="G134" t="inlineStr">
        <is>
          <t>KRISTINEHAMN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46261</v>
      </c>
      <c r="F135" t="inlineStr">
        <is>
          <t>VÄRMLANDS LÄN</t>
        </is>
      </c>
      <c r="G135" t="inlineStr">
        <is>
          <t>KRISTINEHAMN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27140-2025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46261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Sveaskog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46261</v>
      </c>
      <c r="F137" t="inlineStr">
        <is>
          <t>VÄRMLANDS LÄN</t>
        </is>
      </c>
      <c r="G137" t="inlineStr">
        <is>
          <t>KRISTINEHAMN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6259-2026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46051</v>
      </c>
      <c r="E138" s="1" t="n">
        <v>46261</v>
      </c>
      <c r="F138" t="inlineStr">
        <is>
          <t>VÄRMLANDS LÄN</t>
        </is>
      </c>
      <c r="G138" t="inlineStr">
        <is>
          <t>KRISTINEHAMN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46261</v>
      </c>
      <c r="F139" t="inlineStr">
        <is>
          <t>VÄRMLANDS LÄN</t>
        </is>
      </c>
      <c r="G139" t="inlineStr">
        <is>
          <t>KRISTINEHAMN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46261</v>
      </c>
      <c r="F140" t="inlineStr">
        <is>
          <t>VÄRMLANDS LÄN</t>
        </is>
      </c>
      <c r="G140" t="inlineStr">
        <is>
          <t>KRISTINEHAMN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46261</v>
      </c>
      <c r="F141" t="inlineStr">
        <is>
          <t>VÄRMLANDS LÄN</t>
        </is>
      </c>
      <c r="G141" t="inlineStr">
        <is>
          <t>KRISTINEHAMN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41770-2025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46261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42178-2025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46261</v>
      </c>
      <c r="F143" t="inlineStr">
        <is>
          <t>VÄRMLANDS LÄN</t>
        </is>
      </c>
      <c r="G143" t="inlineStr">
        <is>
          <t>KRISTINEHAMN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46261</v>
      </c>
      <c r="F144" t="inlineStr">
        <is>
          <t>VÄRMLANDS LÄN</t>
        </is>
      </c>
      <c r="G144" t="inlineStr">
        <is>
          <t>KRISTINEHAMN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46261</v>
      </c>
      <c r="F145" t="inlineStr">
        <is>
          <t>VÄRMLANDS LÄN</t>
        </is>
      </c>
      <c r="G145" t="inlineStr">
        <is>
          <t>KRISTINEHAMN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46261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45513</v>
      </c>
      <c r="E147" s="1" t="n">
        <v>46261</v>
      </c>
      <c r="F147" t="inlineStr">
        <is>
          <t>VÄRMLANDS LÄN</t>
        </is>
      </c>
      <c r="G147" t="inlineStr">
        <is>
          <t>KRISTINEHAMN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45385</v>
      </c>
      <c r="E148" s="1" t="n">
        <v>46261</v>
      </c>
      <c r="F148" t="inlineStr">
        <is>
          <t>VÄRMLANDS LÄN</t>
        </is>
      </c>
      <c r="G148" t="inlineStr">
        <is>
          <t>KRISTINEHAMN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46261</v>
      </c>
      <c r="F149" t="inlineStr">
        <is>
          <t>VÄRMLANDS LÄN</t>
        </is>
      </c>
      <c r="G149" t="inlineStr">
        <is>
          <t>KRISTINEHAMN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46261</v>
      </c>
      <c r="F150" t="inlineStr">
        <is>
          <t>VÄRMLANDS LÄN</t>
        </is>
      </c>
      <c r="G150" t="inlineStr">
        <is>
          <t>KRISTINEHAMN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45827</v>
      </c>
      <c r="E151" s="1" t="n">
        <v>46261</v>
      </c>
      <c r="F151" t="inlineStr">
        <is>
          <t>VÄRMLANDS LÄN</t>
        </is>
      </c>
      <c r="G151" t="inlineStr">
        <is>
          <t>KRISTINEHAMN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31449-2025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46261</v>
      </c>
      <c r="F152" t="inlineStr">
        <is>
          <t>VÄRMLANDS LÄN</t>
        </is>
      </c>
      <c r="G152" t="inlineStr">
        <is>
          <t>KRISTINEHAMN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46261</v>
      </c>
      <c r="F153" t="inlineStr">
        <is>
          <t>VÄRMLANDS LÄN</t>
        </is>
      </c>
      <c r="G153" t="inlineStr">
        <is>
          <t>KRISTINEHAMN</t>
        </is>
      </c>
      <c r="I153" t="n">
        <v>20.1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46261</v>
      </c>
      <c r="F154" t="inlineStr">
        <is>
          <t>VÄRMLANDS LÄN</t>
        </is>
      </c>
      <c r="G154" t="inlineStr">
        <is>
          <t>KRISTINEHAMN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46261</v>
      </c>
      <c r="F155" t="inlineStr">
        <is>
          <t>VÄRMLANDS LÄN</t>
        </is>
      </c>
      <c r="G155" t="inlineStr">
        <is>
          <t>KRISTINEHAMN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46261</v>
      </c>
      <c r="F156" t="inlineStr">
        <is>
          <t>VÄRMLANDS LÄN</t>
        </is>
      </c>
      <c r="G156" t="inlineStr">
        <is>
          <t>KRISTINEHAMN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46261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46083</v>
      </c>
      <c r="E158" s="1" t="n">
        <v>46261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45933</v>
      </c>
      <c r="E159" s="1" t="n">
        <v>46261</v>
      </c>
      <c r="F159" t="inlineStr">
        <is>
          <t>VÄRMLANDS LÄN</t>
        </is>
      </c>
      <c r="G159" t="inlineStr">
        <is>
          <t>KRISTINEHAMN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12932-2026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46261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46261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46261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45782</v>
      </c>
      <c r="E163" s="1" t="n">
        <v>46261</v>
      </c>
      <c r="F163" t="inlineStr">
        <is>
          <t>VÄRMLANDS LÄN</t>
        </is>
      </c>
      <c r="G163" t="inlineStr">
        <is>
          <t>KRISTINEHAMN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46261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13461-2026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46094</v>
      </c>
      <c r="E165" s="1" t="n">
        <v>46261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46094</v>
      </c>
      <c r="E166" s="1" t="n">
        <v>46261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Sveaskog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14772-2022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44656</v>
      </c>
      <c r="E167" s="1" t="n">
        <v>46261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45944</v>
      </c>
      <c r="E168" s="1" t="n">
        <v>46261</v>
      </c>
      <c r="F168" t="inlineStr">
        <is>
          <t>VÄRMLANDS LÄN</t>
        </is>
      </c>
      <c r="G168" t="inlineStr">
        <is>
          <t>KRISTINEHAMN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46261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46101</v>
      </c>
      <c r="E170" s="1" t="n">
        <v>46261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Sveaskog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46104</v>
      </c>
      <c r="E171" s="1" t="n">
        <v>46261</v>
      </c>
      <c r="F171" t="inlineStr">
        <is>
          <t>VÄRMLANDS LÄN</t>
        </is>
      </c>
      <c r="G171" t="inlineStr">
        <is>
          <t>KRISTINEHAMN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46261</v>
      </c>
      <c r="F172" t="inlineStr">
        <is>
          <t>VÄRMLANDS LÄN</t>
        </is>
      </c>
      <c r="G172" t="inlineStr">
        <is>
          <t>KRISTINEHAMN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44965</v>
      </c>
      <c r="E173" s="1" t="n">
        <v>46261</v>
      </c>
      <c r="F173" t="inlineStr">
        <is>
          <t>VÄRMLANDS LÄN</t>
        </is>
      </c>
      <c r="G173" t="inlineStr">
        <is>
          <t>KRISTINEHAMN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15646-2026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46106</v>
      </c>
      <c r="E174" s="1" t="n">
        <v>46261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46261</v>
      </c>
      <c r="F175" t="inlineStr">
        <is>
          <t>VÄRMLANDS LÄN</t>
        </is>
      </c>
      <c r="G175" t="inlineStr">
        <is>
          <t>KRISTINEHAMN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44918</v>
      </c>
      <c r="E176" s="1" t="n">
        <v>46261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Kommuner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46261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46261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46261</v>
      </c>
      <c r="F179" t="inlineStr">
        <is>
          <t>VÄRMLANDS LÄN</t>
        </is>
      </c>
      <c r="G179" t="inlineStr">
        <is>
          <t>KRISTINEHAMN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46261</v>
      </c>
      <c r="F180" t="inlineStr">
        <is>
          <t>VÄRMLANDS LÄN</t>
        </is>
      </c>
      <c r="G180" t="inlineStr">
        <is>
          <t>KRISTINEHAMN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46261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61034-2021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44497</v>
      </c>
      <c r="E182" s="1" t="n">
        <v>46261</v>
      </c>
      <c r="F182" t="inlineStr">
        <is>
          <t>VÄRMLANDS LÄN</t>
        </is>
      </c>
      <c r="G182" t="inlineStr">
        <is>
          <t>KRISTINEHAMN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45366</v>
      </c>
      <c r="E183" s="1" t="n">
        <v>46261</v>
      </c>
      <c r="F183" t="inlineStr">
        <is>
          <t>VÄRMLANDS LÄN</t>
        </is>
      </c>
      <c r="G183" t="inlineStr">
        <is>
          <t>KRISTINEHAMN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45959</v>
      </c>
      <c r="E184" s="1" t="n">
        <v>46261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Naturvårdsverket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45121</v>
      </c>
      <c r="E185" s="1" t="n">
        <v>46261</v>
      </c>
      <c r="F185" t="inlineStr">
        <is>
          <t>VÄRMLANDS LÄN</t>
        </is>
      </c>
      <c r="G185" t="inlineStr">
        <is>
          <t>KRISTINEHAMN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45644</v>
      </c>
      <c r="E186" s="1" t="n">
        <v>46261</v>
      </c>
      <c r="F186" t="inlineStr">
        <is>
          <t>VÄRMLANDS LÄN</t>
        </is>
      </c>
      <c r="G186" t="inlineStr">
        <is>
          <t>KRISTINEHAMN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46261</v>
      </c>
      <c r="F187" t="inlineStr">
        <is>
          <t>VÄRMLANDS LÄN</t>
        </is>
      </c>
      <c r="G187" t="inlineStr">
        <is>
          <t>KRISTINEHAMN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46261</v>
      </c>
      <c r="F188" t="inlineStr">
        <is>
          <t>VÄRMLANDS LÄN</t>
        </is>
      </c>
      <c r="G188" t="inlineStr">
        <is>
          <t>KRISTINEHAMN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53405-2025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46261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Naturvårdsverket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45961</v>
      </c>
      <c r="E190" s="1" t="n">
        <v>46261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Naturvårdsverket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45961</v>
      </c>
      <c r="E191" s="1" t="n">
        <v>46261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45112</v>
      </c>
      <c r="E192" s="1" t="n">
        <v>46261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46129</v>
      </c>
      <c r="E193" s="1" t="n">
        <v>46261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46129</v>
      </c>
      <c r="E194" s="1" t="n">
        <v>46261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32821-2023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45112</v>
      </c>
      <c r="E195" s="1" t="n">
        <v>46261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46132</v>
      </c>
      <c r="E196" s="1" t="n">
        <v>46261</v>
      </c>
      <c r="F196" t="inlineStr">
        <is>
          <t>VÄRMLANDS LÄN</t>
        </is>
      </c>
      <c r="G196" t="inlineStr">
        <is>
          <t>KRISTINEHAMN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46261</v>
      </c>
      <c r="F197" t="inlineStr">
        <is>
          <t>VÄRMLANDS LÄN</t>
        </is>
      </c>
      <c r="G197" t="inlineStr">
        <is>
          <t>KRISTINEHAMN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44452</v>
      </c>
      <c r="E198" s="1" t="n">
        <v>46261</v>
      </c>
      <c r="F198" t="inlineStr">
        <is>
          <t>VÄRMLANDS LÄN</t>
        </is>
      </c>
      <c r="G198" t="inlineStr">
        <is>
          <t>KRISTINEHAMN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45974</v>
      </c>
      <c r="E199" s="1" t="n">
        <v>46261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17110-2022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44677</v>
      </c>
      <c r="E200" s="1" t="n">
        <v>46261</v>
      </c>
      <c r="F200" t="inlineStr">
        <is>
          <t>VÄRMLANDS LÄN</t>
        </is>
      </c>
      <c r="G200" t="inlineStr">
        <is>
          <t>KRISTINEHAMN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46261</v>
      </c>
      <c r="F201" t="inlineStr">
        <is>
          <t>VÄRMLANDS LÄN</t>
        </is>
      </c>
      <c r="G201" t="inlineStr">
        <is>
          <t>KRISTINEHAMN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46261</v>
      </c>
      <c r="F202" t="inlineStr">
        <is>
          <t>VÄRMLANDS LÄN</t>
        </is>
      </c>
      <c r="G202" t="inlineStr">
        <is>
          <t>KRISTINEHAMN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46261</v>
      </c>
      <c r="F203" t="inlineStr">
        <is>
          <t>VÄRMLANDS LÄN</t>
        </is>
      </c>
      <c r="G203" t="inlineStr">
        <is>
          <t>KRISTINEHAMN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46261</v>
      </c>
      <c r="F204" t="inlineStr">
        <is>
          <t>VÄRMLANDS LÄN</t>
        </is>
      </c>
      <c r="G204" t="inlineStr">
        <is>
          <t>KRISTINEHAMN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46261</v>
      </c>
      <c r="F205" t="inlineStr">
        <is>
          <t>VÄRMLANDS LÄN</t>
        </is>
      </c>
      <c r="G205" t="inlineStr">
        <is>
          <t>KRISTINEHAMN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45888</v>
      </c>
      <c r="E206" s="1" t="n">
        <v>46261</v>
      </c>
      <c r="F206" t="inlineStr">
        <is>
          <t>VÄRMLANDS LÄN</t>
        </is>
      </c>
      <c r="G206" t="inlineStr">
        <is>
          <t>KRISTINEHAMN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46261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Bergvik skog väst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46261</v>
      </c>
      <c r="F208" t="inlineStr">
        <is>
          <t>VÄRMLANDS LÄN</t>
        </is>
      </c>
      <c r="G208" t="inlineStr">
        <is>
          <t>KRISTINEHAMN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46261</v>
      </c>
      <c r="F209" t="inlineStr">
        <is>
          <t>VÄRMLANDS LÄN</t>
        </is>
      </c>
      <c r="G209" t="inlineStr">
        <is>
          <t>KRISTINEHAMN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45370</v>
      </c>
      <c r="E210" s="1" t="n">
        <v>46261</v>
      </c>
      <c r="F210" t="inlineStr">
        <is>
          <t>VÄRMLANDS LÄN</t>
        </is>
      </c>
      <c r="G210" t="inlineStr">
        <is>
          <t>KRISTINEHAMN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12467-2024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46261</v>
      </c>
      <c r="F211" t="inlineStr">
        <is>
          <t>VÄRMLANDS LÄN</t>
        </is>
      </c>
      <c r="G211" t="inlineStr">
        <is>
          <t>KRISTINEHAMN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45995</v>
      </c>
      <c r="E212" s="1" t="n">
        <v>46261</v>
      </c>
      <c r="F212" t="inlineStr">
        <is>
          <t>VÄRMLANDS LÄN</t>
        </is>
      </c>
      <c r="G212" t="inlineStr">
        <is>
          <t>KRISTINEHAMN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46261</v>
      </c>
      <c r="F213" t="inlineStr">
        <is>
          <t>VÄRMLANDS LÄN</t>
        </is>
      </c>
      <c r="G213" t="inlineStr">
        <is>
          <t>KRISTINEHAMN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46261</v>
      </c>
      <c r="F214" t="inlineStr">
        <is>
          <t>VÄRMLANDS LÄN</t>
        </is>
      </c>
      <c r="G214" t="inlineStr">
        <is>
          <t>KRISTINEHAMN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46261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Bergvik skog väst AB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46261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46261</v>
      </c>
      <c r="F217" t="inlineStr">
        <is>
          <t>VÄRMLANDS LÄN</t>
        </is>
      </c>
      <c r="G217" t="inlineStr">
        <is>
          <t>KRISTINEHAMN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46261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20570-2026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46261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14.2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46261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46261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45999</v>
      </c>
      <c r="E222" s="1" t="n">
        <v>46261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46261</v>
      </c>
      <c r="F223" t="inlineStr">
        <is>
          <t>VÄRMLANDS LÄN</t>
        </is>
      </c>
      <c r="G223" t="inlineStr">
        <is>
          <t>KRISTINEHAMN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45756</v>
      </c>
      <c r="E224" s="1" t="n">
        <v>46261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46261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46003</v>
      </c>
      <c r="E226" s="1" t="n">
        <v>46261</v>
      </c>
      <c r="F226" t="inlineStr">
        <is>
          <t>VÄRMLANDS LÄN</t>
        </is>
      </c>
      <c r="G226" t="inlineStr">
        <is>
          <t>KRISTINEHAMN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46261</v>
      </c>
      <c r="F227" t="inlineStr">
        <is>
          <t>VÄRMLANDS LÄN</t>
        </is>
      </c>
      <c r="G227" t="inlineStr">
        <is>
          <t>KRISTINEHAMN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46261</v>
      </c>
      <c r="F228" t="inlineStr">
        <is>
          <t>VÄRMLANDS LÄN</t>
        </is>
      </c>
      <c r="G228" t="inlineStr">
        <is>
          <t>KRISTINEHAMN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46261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46261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56572-2024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46261</v>
      </c>
      <c r="F231" t="inlineStr">
        <is>
          <t>VÄRMLANDS LÄN</t>
        </is>
      </c>
      <c r="G231" t="inlineStr">
        <is>
          <t>KRISTINEHAMN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62349-2025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46261</v>
      </c>
      <c r="F232" t="inlineStr">
        <is>
          <t>VÄRMLANDS LÄN</t>
        </is>
      </c>
      <c r="G232" t="inlineStr">
        <is>
          <t>KRISTINEHAMN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46261</v>
      </c>
      <c r="F233" t="inlineStr">
        <is>
          <t>VÄRMLANDS LÄN</t>
        </is>
      </c>
      <c r="G233" t="inlineStr">
        <is>
          <t>KRISTINEHAMN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44722</v>
      </c>
      <c r="E234" s="1" t="n">
        <v>46261</v>
      </c>
      <c r="F234" t="inlineStr">
        <is>
          <t>VÄRMLANDS LÄN</t>
        </is>
      </c>
      <c r="G234" t="inlineStr">
        <is>
          <t>KRISTINEHAMN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46261</v>
      </c>
      <c r="F235" t="inlineStr">
        <is>
          <t>VÄRMLANDS LÄN</t>
        </is>
      </c>
      <c r="G235" t="inlineStr">
        <is>
          <t>KRISTINEHAMN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20982-2026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46261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46261</v>
      </c>
      <c r="F237" t="inlineStr">
        <is>
          <t>VÄRMLANDS LÄN</t>
        </is>
      </c>
      <c r="G237" t="inlineStr">
        <is>
          <t>KRISTINEHAMN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46141</v>
      </c>
      <c r="E238" s="1" t="n">
        <v>46261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12319-2022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44637</v>
      </c>
      <c r="E239" s="1" t="n">
        <v>46261</v>
      </c>
      <c r="F239" t="inlineStr">
        <is>
          <t>VÄRMLANDS LÄN</t>
        </is>
      </c>
      <c r="G239" t="inlineStr">
        <is>
          <t>KRISTINEHAMN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23332-2024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45453</v>
      </c>
      <c r="E240" s="1" t="n">
        <v>46261</v>
      </c>
      <c r="F240" t="inlineStr">
        <is>
          <t>VÄRMLANDS LÄN</t>
        </is>
      </c>
      <c r="G240" t="inlineStr">
        <is>
          <t>KRISTINEHAMN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46146</v>
      </c>
      <c r="E241" s="1" t="n">
        <v>46261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46150</v>
      </c>
      <c r="E242" s="1" t="n">
        <v>46261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46149</v>
      </c>
      <c r="E243" s="1" t="n">
        <v>46261</v>
      </c>
      <c r="F243" t="inlineStr">
        <is>
          <t>VÄRMLANDS LÄN</t>
        </is>
      </c>
      <c r="G243" t="inlineStr">
        <is>
          <t>KRISTINEHAMN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46261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46261</v>
      </c>
      <c r="F245" t="inlineStr">
        <is>
          <t>VÄRMLANDS LÄN</t>
        </is>
      </c>
      <c r="G245" t="inlineStr">
        <is>
          <t>KRISTINEHAMN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45239</v>
      </c>
      <c r="E246" s="1" t="n">
        <v>46261</v>
      </c>
      <c r="F246" t="inlineStr">
        <is>
          <t>VÄRMLANDS LÄN</t>
        </is>
      </c>
      <c r="G246" t="inlineStr">
        <is>
          <t>KRISTINEHAMN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44722</v>
      </c>
      <c r="E247" s="1" t="n">
        <v>46261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23707-2022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44722</v>
      </c>
      <c r="E248" s="1" t="n">
        <v>46261</v>
      </c>
      <c r="F248" t="inlineStr">
        <is>
          <t>VÄRMLANDS LÄN</t>
        </is>
      </c>
      <c r="G248" t="inlineStr">
        <is>
          <t>KRISTINEHAMN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46261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45341</v>
      </c>
      <c r="E250" s="1" t="n">
        <v>46261</v>
      </c>
      <c r="F250" t="inlineStr">
        <is>
          <t>VÄRMLANDS LÄN</t>
        </is>
      </c>
      <c r="G250" t="inlineStr">
        <is>
          <t>KRISTINEHAMN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46261</v>
      </c>
      <c r="F251" t="inlineStr">
        <is>
          <t>VÄRMLANDS LÄN</t>
        </is>
      </c>
      <c r="G251" t="inlineStr">
        <is>
          <t>KRISTINEHAMN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45041</v>
      </c>
      <c r="E252" s="1" t="n">
        <v>46261</v>
      </c>
      <c r="F252" t="inlineStr">
        <is>
          <t>VÄRMLANDS LÄN</t>
        </is>
      </c>
      <c r="G252" t="inlineStr">
        <is>
          <t>KRISTINEHAMN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52750-2021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44466</v>
      </c>
      <c r="E253" s="1" t="n">
        <v>46261</v>
      </c>
      <c r="F253" t="inlineStr">
        <is>
          <t>VÄRMLANDS LÄN</t>
        </is>
      </c>
      <c r="G253" t="inlineStr">
        <is>
          <t>KRISTINEHAMN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45569</v>
      </c>
      <c r="E254" s="1" t="n">
        <v>46261</v>
      </c>
      <c r="F254" t="inlineStr">
        <is>
          <t>VÄRMLANDS LÄN</t>
        </is>
      </c>
      <c r="G254" t="inlineStr">
        <is>
          <t>KRISTINEHAMN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46261</v>
      </c>
      <c r="F255" t="inlineStr">
        <is>
          <t>VÄRMLANDS LÄN</t>
        </is>
      </c>
      <c r="G255" t="inlineStr">
        <is>
          <t>KRISTINEHAMN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44753</v>
      </c>
      <c r="E256" s="1" t="n">
        <v>46261</v>
      </c>
      <c r="F256" t="inlineStr">
        <is>
          <t>VÄRMLANDS LÄN</t>
        </is>
      </c>
      <c r="G256" t="inlineStr">
        <is>
          <t>KRISTINEHAMN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46261</v>
      </c>
      <c r="F257" t="inlineStr">
        <is>
          <t>VÄRMLANDS LÄN</t>
        </is>
      </c>
      <c r="G257" t="inlineStr">
        <is>
          <t>KRISTINEHAMN</t>
        </is>
      </c>
      <c r="I257" t="n">
        <v>8.9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46261</v>
      </c>
      <c r="F258" t="inlineStr">
        <is>
          <t>VÄRMLANDS LÄN</t>
        </is>
      </c>
      <c r="G258" t="inlineStr">
        <is>
          <t>KRISTINEHAMN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46261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23294-2026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46162</v>
      </c>
      <c r="E260" s="1" t="n">
        <v>46261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45690-2021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44441</v>
      </c>
      <c r="E261" s="1" t="n">
        <v>46261</v>
      </c>
      <c r="F261" t="inlineStr">
        <is>
          <t>VÄRMLANDS LÄN</t>
        </is>
      </c>
      <c r="G261" t="inlineStr">
        <is>
          <t>KRISTINEHAMN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45118</v>
      </c>
      <c r="E262" s="1" t="n">
        <v>46261</v>
      </c>
      <c r="F262" t="inlineStr">
        <is>
          <t>VÄRMLANDS LÄN</t>
        </is>
      </c>
      <c r="G262" t="inlineStr">
        <is>
          <t>KRISTINEHAMN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46261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22201-2022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44712</v>
      </c>
      <c r="E264" s="1" t="n">
        <v>46261</v>
      </c>
      <c r="F264" t="inlineStr">
        <is>
          <t>VÄRMLANDS LÄN</t>
        </is>
      </c>
      <c r="G264" t="inlineStr">
        <is>
          <t>KRISTINEHAMN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45662</v>
      </c>
      <c r="E265" s="1" t="n">
        <v>46261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44924</v>
      </c>
      <c r="E266" s="1" t="n">
        <v>46261</v>
      </c>
      <c r="F266" t="inlineStr">
        <is>
          <t>VÄRMLANDS LÄN</t>
        </is>
      </c>
      <c r="G266" t="inlineStr">
        <is>
          <t>KRISTINEHAMN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32161-2023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45119</v>
      </c>
      <c r="E267" s="1" t="n">
        <v>46261</v>
      </c>
      <c r="F267" t="inlineStr">
        <is>
          <t>VÄRMLANDS LÄN</t>
        </is>
      </c>
      <c r="G267" t="inlineStr">
        <is>
          <t>KRISTINEHAMN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34893-2023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46261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46261</v>
      </c>
      <c r="F269" t="inlineStr">
        <is>
          <t>VÄRMLANDS LÄN</t>
        </is>
      </c>
      <c r="G269" t="inlineStr">
        <is>
          <t>KRISTINEHAMN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24570-2026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46170</v>
      </c>
      <c r="E270" s="1" t="n">
        <v>46261</v>
      </c>
      <c r="F270" t="inlineStr">
        <is>
          <t>VÄRMLANDS LÄN</t>
        </is>
      </c>
      <c r="G270" t="inlineStr">
        <is>
          <t>KRISTINEHAMN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46171</v>
      </c>
      <c r="E271" s="1" t="n">
        <v>46261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46261</v>
      </c>
      <c r="F272" t="inlineStr">
        <is>
          <t>VÄRMLANDS LÄN</t>
        </is>
      </c>
      <c r="G272" t="inlineStr">
        <is>
          <t>KRISTINEHAMN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46261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Naturvårdsverket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25258-2026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46175</v>
      </c>
      <c r="E274" s="1" t="n">
        <v>46261</v>
      </c>
      <c r="F274" t="inlineStr">
        <is>
          <t>VÄRMLANDS LÄN</t>
        </is>
      </c>
      <c r="G274" t="inlineStr">
        <is>
          <t>KRISTINEHAMN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45666</v>
      </c>
      <c r="E275" s="1" t="n">
        <v>46261</v>
      </c>
      <c r="F275" t="inlineStr">
        <is>
          <t>VÄRMLANDS LÄN</t>
        </is>
      </c>
      <c r="G275" t="inlineStr">
        <is>
          <t>KRISTINEHAMN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45656</v>
      </c>
      <c r="E276" s="1" t="n">
        <v>46261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45442</v>
      </c>
      <c r="E277" s="1" t="n">
        <v>46261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44987</v>
      </c>
      <c r="E278" s="1" t="n">
        <v>46261</v>
      </c>
      <c r="F278" t="inlineStr">
        <is>
          <t>VÄRMLANDS LÄN</t>
        </is>
      </c>
      <c r="G278" t="inlineStr">
        <is>
          <t>KRISTINEHAMN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45647</v>
      </c>
      <c r="E279" s="1" t="n">
        <v>46261</v>
      </c>
      <c r="F279" t="inlineStr">
        <is>
          <t>VÄRMLANDS LÄN</t>
        </is>
      </c>
      <c r="G279" t="inlineStr">
        <is>
          <t>KRISTINEHAMN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54606-2021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44473</v>
      </c>
      <c r="E280" s="1" t="n">
        <v>46261</v>
      </c>
      <c r="F280" t="inlineStr">
        <is>
          <t>VÄRMLANDS LÄN</t>
        </is>
      </c>
      <c r="G280" t="inlineStr">
        <is>
          <t>KRISTINEHAMN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46037</v>
      </c>
      <c r="E281" s="1" t="n">
        <v>46261</v>
      </c>
      <c r="F281" t="inlineStr">
        <is>
          <t>VÄRMLANDS LÄN</t>
        </is>
      </c>
      <c r="G281" t="inlineStr">
        <is>
          <t>KRISTINEHAMN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13021-2023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45002</v>
      </c>
      <c r="E282" s="1" t="n">
        <v>46261</v>
      </c>
      <c r="F282" t="inlineStr">
        <is>
          <t>VÄRMLANDS LÄN</t>
        </is>
      </c>
      <c r="G282" t="inlineStr">
        <is>
          <t>KRISTINEHAMN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41857-2023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45176</v>
      </c>
      <c r="E283" s="1" t="n">
        <v>46261</v>
      </c>
      <c r="F283" t="inlineStr">
        <is>
          <t>VÄRMLANDS LÄN</t>
        </is>
      </c>
      <c r="G283" t="inlineStr">
        <is>
          <t>KRISTINEHAMN</t>
        </is>
      </c>
      <c r="H283" t="inlineStr">
        <is>
          <t>Naturvårdsverket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45686</v>
      </c>
      <c r="E284" s="1" t="n">
        <v>46261</v>
      </c>
      <c r="F284" t="inlineStr">
        <is>
          <t>VÄRMLANDS LÄN</t>
        </is>
      </c>
      <c r="G284" t="inlineStr">
        <is>
          <t>KRISTINEHAMN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46230</v>
      </c>
      <c r="E285" s="1" t="n">
        <v>46261</v>
      </c>
      <c r="F285" t="inlineStr">
        <is>
          <t>VÄRMLANDS LÄN</t>
        </is>
      </c>
      <c r="G285" t="inlineStr">
        <is>
          <t>KRISTINEHAMN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56875-2022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46261</v>
      </c>
      <c r="F286" t="inlineStr">
        <is>
          <t>VÄRMLANDS LÄN</t>
        </is>
      </c>
      <c r="G286" t="inlineStr">
        <is>
          <t>KRISTINEHAMN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70126-2021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46261</v>
      </c>
      <c r="F287" t="inlineStr">
        <is>
          <t>VÄRMLANDS LÄN</t>
        </is>
      </c>
      <c r="G287" t="inlineStr">
        <is>
          <t>KRISTINEHAMN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46261</v>
      </c>
      <c r="F288" t="inlineStr">
        <is>
          <t>VÄRMLANDS LÄN</t>
        </is>
      </c>
      <c r="G288" t="inlineStr">
        <is>
          <t>KRISTINEHAMN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46261</v>
      </c>
      <c r="F289" t="inlineStr">
        <is>
          <t>VÄRMLANDS LÄN</t>
        </is>
      </c>
      <c r="G289" t="inlineStr">
        <is>
          <t>KRISTINEHAMN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46261</v>
      </c>
      <c r="F290" t="inlineStr">
        <is>
          <t>VÄRMLANDS LÄN</t>
        </is>
      </c>
      <c r="G290" t="inlineStr">
        <is>
          <t>KRISTINEHAMN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46190</v>
      </c>
      <c r="E291" s="1" t="n">
        <v>46261</v>
      </c>
      <c r="F291" t="inlineStr">
        <is>
          <t>VÄRMLANDS LÄN</t>
        </is>
      </c>
      <c r="G291" t="inlineStr">
        <is>
          <t>KRISTINEHAMN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46261</v>
      </c>
      <c r="F292" t="inlineStr">
        <is>
          <t>VÄRMLANDS LÄN</t>
        </is>
      </c>
      <c r="G292" t="inlineStr">
        <is>
          <t>KRISTINEHAMN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46526-2022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44847</v>
      </c>
      <c r="E293" s="1" t="n">
        <v>46261</v>
      </c>
      <c r="F293" t="inlineStr">
        <is>
          <t>VÄRMLANDS LÄN</t>
        </is>
      </c>
      <c r="G293" t="inlineStr">
        <is>
          <t>KRISTINEHAMN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49335-2021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46261</v>
      </c>
      <c r="F294" t="inlineStr">
        <is>
          <t>VÄRMLANDS LÄN</t>
        </is>
      </c>
      <c r="G294" t="inlineStr">
        <is>
          <t>KRISTINEHAMN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45226</v>
      </c>
      <c r="E295" s="1" t="n">
        <v>46261</v>
      </c>
      <c r="F295" t="inlineStr">
        <is>
          <t>VÄRMLANDS LÄN</t>
        </is>
      </c>
      <c r="G295" t="inlineStr">
        <is>
          <t>KRISTINEHAMN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45226</v>
      </c>
      <c r="E296" s="1" t="n">
        <v>46261</v>
      </c>
      <c r="F296" t="inlineStr">
        <is>
          <t>VÄRMLANDS LÄN</t>
        </is>
      </c>
      <c r="G296" t="inlineStr">
        <is>
          <t>KRISTINEHAMN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54603-2021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44473</v>
      </c>
      <c r="E297" s="1" t="n">
        <v>46261</v>
      </c>
      <c r="F297" t="inlineStr">
        <is>
          <t>VÄRMLANDS LÄN</t>
        </is>
      </c>
      <c r="G297" t="inlineStr">
        <is>
          <t>KRISTINEHAMN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24385-2023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45076</v>
      </c>
      <c r="E298" s="1" t="n">
        <v>46261</v>
      </c>
      <c r="F298" t="inlineStr">
        <is>
          <t>VÄRMLANDS LÄN</t>
        </is>
      </c>
      <c r="G298" t="inlineStr">
        <is>
          <t>KRISTINEHAMN</t>
        </is>
      </c>
      <c r="I298" t="n">
        <v>15.9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68505-2021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44525</v>
      </c>
      <c r="E299" s="1" t="n">
        <v>46261</v>
      </c>
      <c r="F299" t="inlineStr">
        <is>
          <t>VÄRMLANDS LÄN</t>
        </is>
      </c>
      <c r="G299" t="inlineStr">
        <is>
          <t>KRISTINEHAMN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46261</v>
      </c>
      <c r="F300" t="inlineStr">
        <is>
          <t>VÄRMLANDS LÄN</t>
        </is>
      </c>
      <c r="G300" t="inlineStr">
        <is>
          <t>KRISTINEHAMN</t>
        </is>
      </c>
      <c r="I300" t="n">
        <v>19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44923</v>
      </c>
      <c r="E301" s="1" t="n">
        <v>46261</v>
      </c>
      <c r="F301" t="inlineStr">
        <is>
          <t>VÄRMLANDS LÄN</t>
        </is>
      </c>
      <c r="G301" t="inlineStr">
        <is>
          <t>KRISTINEHAMN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62864-2023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45272</v>
      </c>
      <c r="E302" s="1" t="n">
        <v>46261</v>
      </c>
      <c r="F302" t="inlineStr">
        <is>
          <t>VÄRMLANDS LÄN</t>
        </is>
      </c>
      <c r="G302" t="inlineStr">
        <is>
          <t>KRISTINEHAMN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39781-2023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45167</v>
      </c>
      <c r="E303" s="1" t="n">
        <v>46261</v>
      </c>
      <c r="F303" t="inlineStr">
        <is>
          <t>VÄRMLANDS LÄN</t>
        </is>
      </c>
      <c r="G303" t="inlineStr">
        <is>
          <t>KRISTINEHAMN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45081</v>
      </c>
      <c r="E304" s="1" t="n">
        <v>46261</v>
      </c>
      <c r="F304" t="inlineStr">
        <is>
          <t>VÄRMLANDS LÄN</t>
        </is>
      </c>
      <c r="G304" t="inlineStr">
        <is>
          <t>KRISTINEHAMN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45313</v>
      </c>
      <c r="E305" s="1" t="n">
        <v>46261</v>
      </c>
      <c r="F305" t="inlineStr">
        <is>
          <t>VÄRMLANDS LÄN</t>
        </is>
      </c>
      <c r="G305" t="inlineStr">
        <is>
          <t>KRISTINEHAMN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45679</v>
      </c>
      <c r="E306" s="1" t="n">
        <v>46261</v>
      </c>
      <c r="F306" t="inlineStr">
        <is>
          <t>VÄRMLANDS LÄN</t>
        </is>
      </c>
      <c r="G306" t="inlineStr">
        <is>
          <t>KRISTINEHAMN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44994</v>
      </c>
      <c r="E307" s="1" t="n">
        <v>46261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45110</v>
      </c>
      <c r="E308" s="1" t="n">
        <v>46261</v>
      </c>
      <c r="F308" t="inlineStr">
        <is>
          <t>VÄRMLANDS LÄN</t>
        </is>
      </c>
      <c r="G308" t="inlineStr">
        <is>
          <t>KRISTINEHAMN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45081</v>
      </c>
      <c r="E309" s="1" t="n">
        <v>46261</v>
      </c>
      <c r="F309" t="inlineStr">
        <is>
          <t>VÄRMLANDS LÄN</t>
        </is>
      </c>
      <c r="G309" t="inlineStr">
        <is>
          <t>KRISTINEHAMN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46261</v>
      </c>
      <c r="F310" t="inlineStr">
        <is>
          <t>VÄRMLANDS LÄN</t>
        </is>
      </c>
      <c r="G310" t="inlineStr">
        <is>
          <t>KRISTINEHAMN</t>
        </is>
      </c>
      <c r="I310" t="n">
        <v>19.4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46261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Kommuner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46261</v>
      </c>
      <c r="F312" t="inlineStr">
        <is>
          <t>VÄRMLANDS LÄN</t>
        </is>
      </c>
      <c r="G312" t="inlineStr">
        <is>
          <t>KRISTINEHAMN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46261</v>
      </c>
      <c r="F313" t="inlineStr">
        <is>
          <t>VÄRMLANDS LÄN</t>
        </is>
      </c>
      <c r="G313" t="inlineStr">
        <is>
          <t>KRISTINEHAMN</t>
        </is>
      </c>
      <c r="I313" t="n">
        <v>12.6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46261</v>
      </c>
      <c r="F314" t="inlineStr">
        <is>
          <t>VÄRMLANDS LÄN</t>
        </is>
      </c>
      <c r="G314" t="inlineStr">
        <is>
          <t>KRISTINEHAMN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46261</v>
      </c>
      <c r="F315" t="inlineStr">
        <is>
          <t>VÄRMLANDS LÄN</t>
        </is>
      </c>
      <c r="G315" t="inlineStr">
        <is>
          <t>KRISTINEHAMN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46261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13459-2024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45387</v>
      </c>
      <c r="E317" s="1" t="n">
        <v>46261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46213</v>
      </c>
      <c r="E318" s="1" t="n">
        <v>46261</v>
      </c>
      <c r="F318" t="inlineStr">
        <is>
          <t>VÄRMLANDS LÄN</t>
        </is>
      </c>
      <c r="G318" t="inlineStr">
        <is>
          <t>KRISTINEHAMN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45324</v>
      </c>
      <c r="E319" s="1" t="n">
        <v>46261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46261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47091-2022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44851</v>
      </c>
      <c r="E321" s="1" t="n">
        <v>46261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Kommuner</t>
        </is>
      </c>
      <c r="I321" t="n">
        <v>8.6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46261</v>
      </c>
      <c r="F322" t="inlineStr">
        <is>
          <t>VÄRMLANDS LÄN</t>
        </is>
      </c>
      <c r="G322" t="inlineStr">
        <is>
          <t>KRISTINEHAMN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45000</v>
      </c>
      <c r="E323" s="1" t="n">
        <v>46261</v>
      </c>
      <c r="F323" t="inlineStr">
        <is>
          <t>VÄRMLANDS LÄN</t>
        </is>
      </c>
      <c r="G323" t="inlineStr">
        <is>
          <t>KRISTINEHAMN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46261</v>
      </c>
      <c r="F324" t="inlineStr">
        <is>
          <t>VÄRMLANDS LÄN</t>
        </is>
      </c>
      <c r="G324" t="inlineStr">
        <is>
          <t>KRISTINEHAMN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45461</v>
      </c>
      <c r="E325" s="1" t="n">
        <v>46261</v>
      </c>
      <c r="F325" t="inlineStr">
        <is>
          <t>VÄRMLANDS LÄN</t>
        </is>
      </c>
      <c r="G325" t="inlineStr">
        <is>
          <t>KRISTINEHAMN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46261</v>
      </c>
      <c r="F326" t="inlineStr">
        <is>
          <t>VÄRMLANDS LÄN</t>
        </is>
      </c>
      <c r="G326" t="inlineStr">
        <is>
          <t>KRISTINEHAMN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45456</v>
      </c>
      <c r="E327" s="1" t="n">
        <v>46261</v>
      </c>
      <c r="F327" t="inlineStr">
        <is>
          <t>VÄRMLANDS LÄN</t>
        </is>
      </c>
      <c r="G327" t="inlineStr">
        <is>
          <t>KRISTINEHAMN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46261</v>
      </c>
      <c r="F328" t="inlineStr">
        <is>
          <t>VÄRMLANDS LÄN</t>
        </is>
      </c>
      <c r="G328" t="inlineStr">
        <is>
          <t>KRISTINEHAMN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46261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46261</v>
      </c>
      <c r="F330" t="inlineStr">
        <is>
          <t>VÄRMLANDS LÄN</t>
        </is>
      </c>
      <c r="G330" t="inlineStr">
        <is>
          <t>KRISTINEHAMN</t>
        </is>
      </c>
      <c r="I330" t="n">
        <v>14.9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46261</v>
      </c>
      <c r="F331" t="inlineStr">
        <is>
          <t>VÄRMLANDS LÄN</t>
        </is>
      </c>
      <c r="G331" t="inlineStr">
        <is>
          <t>KRISTINEHAMN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55719-2024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46261</v>
      </c>
      <c r="F332" t="inlineStr">
        <is>
          <t>VÄRMLANDS LÄN</t>
        </is>
      </c>
      <c r="G332" t="inlineStr">
        <is>
          <t>KRISTINEHAMN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44588</v>
      </c>
      <c r="E333" s="1" t="n">
        <v>46261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46261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50159-2024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46261</v>
      </c>
      <c r="F335" t="inlineStr">
        <is>
          <t>VÄRMLANDS LÄN</t>
        </is>
      </c>
      <c r="G335" t="inlineStr">
        <is>
          <t>KRISTINEHAMN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25570-2023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45082</v>
      </c>
      <c r="E336" s="1" t="n">
        <v>46261</v>
      </c>
      <c r="F336" t="inlineStr">
        <is>
          <t>VÄRMLANDS LÄN</t>
        </is>
      </c>
      <c r="G336" t="inlineStr">
        <is>
          <t>KRISTINEHAMN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62767-2023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45268</v>
      </c>
      <c r="E337" s="1" t="n">
        <v>46261</v>
      </c>
      <c r="F337" t="inlineStr">
        <is>
          <t>VÄRMLANDS LÄN</t>
        </is>
      </c>
      <c r="G337" t="inlineStr">
        <is>
          <t>KRISTINEHAMN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28834-2024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45478</v>
      </c>
      <c r="E338" s="1" t="n">
        <v>46261</v>
      </c>
      <c r="F338" t="inlineStr">
        <is>
          <t>VÄRMLANDS LÄN</t>
        </is>
      </c>
      <c r="G338" t="inlineStr">
        <is>
          <t>KRISTINEHAMN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23270-2024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45450</v>
      </c>
      <c r="E339" s="1" t="n">
        <v>46261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Kommuner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44648</v>
      </c>
      <c r="E340" s="1" t="n">
        <v>46261</v>
      </c>
      <c r="F340" t="inlineStr">
        <is>
          <t>VÄRMLANDS LÄN</t>
        </is>
      </c>
      <c r="G340" t="inlineStr">
        <is>
          <t>KRISTINEHAMN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45198</v>
      </c>
      <c r="E341" s="1" t="n">
        <v>46261</v>
      </c>
      <c r="F341" t="inlineStr">
        <is>
          <t>VÄRMLANDS LÄN</t>
        </is>
      </c>
      <c r="G341" t="inlineStr">
        <is>
          <t>KRISTINEHAMN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45044</v>
      </c>
      <c r="E342" s="1" t="n">
        <v>46261</v>
      </c>
      <c r="F342" t="inlineStr">
        <is>
          <t>VÄRMLANDS LÄN</t>
        </is>
      </c>
      <c r="G342" t="inlineStr">
        <is>
          <t>KRISTINEHAMN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45313</v>
      </c>
      <c r="E343" s="1" t="n">
        <v>46261</v>
      </c>
      <c r="F343" t="inlineStr">
        <is>
          <t>VÄRMLANDS LÄN</t>
        </is>
      </c>
      <c r="G343" t="inlineStr">
        <is>
          <t>KRISTINEHAMN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45456</v>
      </c>
      <c r="E344" s="1" t="n">
        <v>46261</v>
      </c>
      <c r="F344" t="inlineStr">
        <is>
          <t>VÄRMLANDS LÄN</t>
        </is>
      </c>
      <c r="G344" t="inlineStr">
        <is>
          <t>KRISTINEHAMN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44812</v>
      </c>
      <c r="E345" s="1" t="n">
        <v>46261</v>
      </c>
      <c r="F345" t="inlineStr">
        <is>
          <t>VÄRMLANDS LÄN</t>
        </is>
      </c>
      <c r="G345" t="inlineStr">
        <is>
          <t>KRISTINEHAMN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44734</v>
      </c>
      <c r="E346" s="1" t="n">
        <v>46261</v>
      </c>
      <c r="F346" t="inlineStr">
        <is>
          <t>VÄRMLANDS LÄN</t>
        </is>
      </c>
      <c r="G346" t="inlineStr">
        <is>
          <t>KRISTINEHAMN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44722</v>
      </c>
      <c r="E347" s="1" t="n">
        <v>46261</v>
      </c>
      <c r="F347" t="inlineStr">
        <is>
          <t>VÄRMLANDS LÄN</t>
        </is>
      </c>
      <c r="G347" t="inlineStr">
        <is>
          <t>KRISTINEHAMN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44722</v>
      </c>
      <c r="E348" s="1" t="n">
        <v>46261</v>
      </c>
      <c r="F348" t="inlineStr">
        <is>
          <t>VÄRMLANDS LÄN</t>
        </is>
      </c>
      <c r="G348" t="inlineStr">
        <is>
          <t>KRISTINEHAMN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46261</v>
      </c>
      <c r="F349" t="inlineStr">
        <is>
          <t>VÄRMLANDS LÄN</t>
        </is>
      </c>
      <c r="G349" t="inlineStr">
        <is>
          <t>KRISTINEHAMN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42597-2023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45181</v>
      </c>
      <c r="E350" s="1" t="n">
        <v>46261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Sveaskog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47371-2023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45202</v>
      </c>
      <c r="E351" s="1" t="n">
        <v>46261</v>
      </c>
      <c r="F351" t="inlineStr">
        <is>
          <t>VÄRMLANDS LÄN</t>
        </is>
      </c>
      <c r="G351" t="inlineStr">
        <is>
          <t>KRISTINEHAMN</t>
        </is>
      </c>
      <c r="I351" t="n">
        <v>10.1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46261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Kyrkan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56671-2023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45243</v>
      </c>
      <c r="E353" s="1" t="n">
        <v>46261</v>
      </c>
      <c r="F353" t="inlineStr">
        <is>
          <t>VÄRMLANDS LÄN</t>
        </is>
      </c>
      <c r="G353" t="inlineStr">
        <is>
          <t>KRISTINEHAMN</t>
        </is>
      </c>
      <c r="I353" t="n">
        <v>8.699999999999999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28759-2022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44749</v>
      </c>
      <c r="E354" s="1" t="n">
        <v>46261</v>
      </c>
      <c r="F354" t="inlineStr">
        <is>
          <t>VÄRMLANDS LÄN</t>
        </is>
      </c>
      <c r="G354" t="inlineStr">
        <is>
          <t>KRISTINEHAMN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46261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Naturvårdsverket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45631</v>
      </c>
      <c r="E356" s="1" t="n">
        <v>46261</v>
      </c>
      <c r="F356" t="inlineStr">
        <is>
          <t>VÄRMLANDS LÄN</t>
        </is>
      </c>
      <c r="G356" t="inlineStr">
        <is>
          <t>KRISTINEHAMN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46333-2023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45191</v>
      </c>
      <c r="E357" s="1" t="n">
        <v>46261</v>
      </c>
      <c r="F357" t="inlineStr">
        <is>
          <t>VÄRMLANDS LÄN</t>
        </is>
      </c>
      <c r="G357" t="inlineStr">
        <is>
          <t>KRISTINEHAMN</t>
        </is>
      </c>
      <c r="I357" t="n">
        <v>7.5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48405-2023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45201</v>
      </c>
      <c r="E358" s="1" t="n">
        <v>46261</v>
      </c>
      <c r="F358" t="inlineStr">
        <is>
          <t>VÄRMLANDS LÄN</t>
        </is>
      </c>
      <c r="G358" t="inlineStr">
        <is>
          <t>KRISTINEHAMN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45302</v>
      </c>
      <c r="E359" s="1" t="n">
        <v>46261</v>
      </c>
      <c r="F359" t="inlineStr">
        <is>
          <t>VÄRMLANDS LÄN</t>
        </is>
      </c>
      <c r="G359" t="inlineStr">
        <is>
          <t>KRISTINEHAMN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45159</v>
      </c>
      <c r="E360" s="1" t="n">
        <v>46261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Sveaskog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45315</v>
      </c>
      <c r="E361" s="1" t="n">
        <v>46261</v>
      </c>
      <c r="F361" t="inlineStr">
        <is>
          <t>VÄRMLANDS LÄN</t>
        </is>
      </c>
      <c r="G361" t="inlineStr">
        <is>
          <t>KRISTINEHAMN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45770</v>
      </c>
      <c r="E362" s="1" t="n">
        <v>46261</v>
      </c>
      <c r="F362" t="inlineStr">
        <is>
          <t>VÄRMLANDS LÄN</t>
        </is>
      </c>
      <c r="G362" t="inlineStr">
        <is>
          <t>KRISTINEHAMN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7222-2024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45344</v>
      </c>
      <c r="E363" s="1" t="n">
        <v>46261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Naturvårdsverket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44831</v>
      </c>
      <c r="E364" s="1" t="n">
        <v>46261</v>
      </c>
      <c r="F364" t="inlineStr">
        <is>
          <t>VÄRMLANDS LÄN</t>
        </is>
      </c>
      <c r="G364" t="inlineStr">
        <is>
          <t>KRISTINEHAMN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46261</v>
      </c>
      <c r="F365" t="inlineStr">
        <is>
          <t>VÄRMLANDS LÄN</t>
        </is>
      </c>
      <c r="G365" t="inlineStr">
        <is>
          <t>KRISTINEHAMN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47467-2023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45202</v>
      </c>
      <c r="E366" s="1" t="n">
        <v>46261</v>
      </c>
      <c r="F366" t="inlineStr">
        <is>
          <t>VÄRMLANDS LÄN</t>
        </is>
      </c>
      <c r="G366" t="inlineStr">
        <is>
          <t>KRISTINEHAMN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44480</v>
      </c>
      <c r="E367" s="1" t="n">
        <v>46261</v>
      </c>
      <c r="F367" t="inlineStr">
        <is>
          <t>VÄRMLANDS LÄN</t>
        </is>
      </c>
      <c r="G367" t="inlineStr">
        <is>
          <t>KRISTINEHAMN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46261</v>
      </c>
      <c r="F368" t="inlineStr">
        <is>
          <t>VÄRMLANDS LÄN</t>
        </is>
      </c>
      <c r="G368" t="inlineStr">
        <is>
          <t>KRISTINEHAMN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45379</v>
      </c>
      <c r="E369" s="1" t="n">
        <v>46261</v>
      </c>
      <c r="F369" t="inlineStr">
        <is>
          <t>VÄRMLANDS LÄN</t>
        </is>
      </c>
      <c r="G369" t="inlineStr">
        <is>
          <t>KRISTINEHAMN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45244</v>
      </c>
      <c r="E370" s="1" t="n">
        <v>46261</v>
      </c>
      <c r="F370" t="inlineStr">
        <is>
          <t>VÄRMLANDS LÄN</t>
        </is>
      </c>
      <c r="G370" t="inlineStr">
        <is>
          <t>KRISTINEHAMN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45681</v>
      </c>
      <c r="E371" s="1" t="n">
        <v>46261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Kommuner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46261</v>
      </c>
      <c r="F372" t="inlineStr">
        <is>
          <t>VÄRMLANDS LÄN</t>
        </is>
      </c>
      <c r="G372" t="inlineStr">
        <is>
          <t>KRISTINEHAMN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47951-2021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44448</v>
      </c>
      <c r="E373" s="1" t="n">
        <v>46261</v>
      </c>
      <c r="F373" t="inlineStr">
        <is>
          <t>VÄRMLANDS LÄN</t>
        </is>
      </c>
      <c r="G373" t="inlineStr">
        <is>
          <t>KRISTINEHAMN</t>
        </is>
      </c>
      <c r="I373" t="n">
        <v>8.300000000000001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45386</v>
      </c>
      <c r="E374" s="1" t="n">
        <v>46261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46261</v>
      </c>
      <c r="F375" t="inlineStr">
        <is>
          <t>VÄRMLANDS LÄN</t>
        </is>
      </c>
      <c r="G375" t="inlineStr">
        <is>
          <t>KRISTINEHAMN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45681</v>
      </c>
      <c r="E376" s="1" t="n">
        <v>46261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45477</v>
      </c>
      <c r="E377" s="1" t="n">
        <v>46261</v>
      </c>
      <c r="F377" t="inlineStr">
        <is>
          <t>VÄRMLANDS LÄN</t>
        </is>
      </c>
      <c r="G377" t="inlineStr">
        <is>
          <t>KRISTINEHAMN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45268</v>
      </c>
      <c r="E378" s="1" t="n">
        <v>46261</v>
      </c>
      <c r="F378" t="inlineStr">
        <is>
          <t>VÄRMLANDS LÄN</t>
        </is>
      </c>
      <c r="G378" t="inlineStr">
        <is>
          <t>KRISTINEHAMN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44651</v>
      </c>
      <c r="E379" s="1" t="n">
        <v>46261</v>
      </c>
      <c r="F379" t="inlineStr">
        <is>
          <t>VÄRMLANDS LÄN</t>
        </is>
      </c>
      <c r="G379" t="inlineStr">
        <is>
          <t>KRISTINEHAMN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45563-2022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46261</v>
      </c>
      <c r="F380" t="inlineStr">
        <is>
          <t>VÄRMLANDS LÄN</t>
        </is>
      </c>
      <c r="G380" t="inlineStr">
        <is>
          <t>KRISTINEHAMN</t>
        </is>
      </c>
      <c r="I380" t="n">
        <v>6.9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27210-2022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44741</v>
      </c>
      <c r="E381" s="1" t="n">
        <v>46261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46261</v>
      </c>
      <c r="F382" t="inlineStr">
        <is>
          <t>VÄRMLANDS LÄN</t>
        </is>
      </c>
      <c r="G382" t="inlineStr">
        <is>
          <t>KRISTINEHAMN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47770-2023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45203</v>
      </c>
      <c r="E383" s="1" t="n">
        <v>46261</v>
      </c>
      <c r="F383" t="inlineStr">
        <is>
          <t>VÄRMLANDS LÄN</t>
        </is>
      </c>
      <c r="G383" t="inlineStr">
        <is>
          <t>KRISTINEHAMN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46261</v>
      </c>
      <c r="F384" t="inlineStr">
        <is>
          <t>VÄRMLANDS LÄN</t>
        </is>
      </c>
      <c r="G384" t="inlineStr">
        <is>
          <t>KRISTINEHAMN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46261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58616-2021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44489</v>
      </c>
      <c r="E386" s="1" t="n">
        <v>46261</v>
      </c>
      <c r="F386" t="inlineStr">
        <is>
          <t>VÄRMLANDS LÄN</t>
        </is>
      </c>
      <c r="G386" t="inlineStr">
        <is>
          <t>KRISTINEHAMN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45478</v>
      </c>
      <c r="E387" s="1" t="n">
        <v>46261</v>
      </c>
      <c r="F387" t="inlineStr">
        <is>
          <t>VÄRMLANDS LÄN</t>
        </is>
      </c>
      <c r="G387" t="inlineStr">
        <is>
          <t>KRISTINEHAMN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46261</v>
      </c>
      <c r="F388" t="inlineStr">
        <is>
          <t>VÄRMLANDS LÄN</t>
        </is>
      </c>
      <c r="G388" t="inlineStr">
        <is>
          <t>KRISTINEHAMN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46261</v>
      </c>
      <c r="F389" t="inlineStr">
        <is>
          <t>VÄRMLANDS LÄN</t>
        </is>
      </c>
      <c r="G389" t="inlineStr">
        <is>
          <t>KRISTINEHAMN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46261</v>
      </c>
      <c r="F390" t="inlineStr">
        <is>
          <t>VÄRMLANDS LÄN</t>
        </is>
      </c>
      <c r="G390" t="inlineStr">
        <is>
          <t>KRISTINEHAMN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46261</v>
      </c>
      <c r="F391" t="inlineStr">
        <is>
          <t>VÄRMLANDS LÄN</t>
        </is>
      </c>
      <c r="G391" t="inlineStr">
        <is>
          <t>KRISTINEHAMN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46261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Naturvårdsverket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68526-2021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44526</v>
      </c>
      <c r="E393" s="1" t="n">
        <v>46261</v>
      </c>
      <c r="F393" t="inlineStr">
        <is>
          <t>VÄRMLANDS LÄN</t>
        </is>
      </c>
      <c r="G393" t="inlineStr">
        <is>
          <t>KRISTINEHAMN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68530-2021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44526</v>
      </c>
      <c r="E394" s="1" t="n">
        <v>46261</v>
      </c>
      <c r="F394" t="inlineStr">
        <is>
          <t>VÄRMLANDS LÄN</t>
        </is>
      </c>
      <c r="G394" t="inlineStr">
        <is>
          <t>KRISTINEHAMN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45104</v>
      </c>
      <c r="E395" s="1" t="n">
        <v>46261</v>
      </c>
      <c r="F395" t="inlineStr">
        <is>
          <t>VÄRMLANDS LÄN</t>
        </is>
      </c>
      <c r="G395" t="inlineStr">
        <is>
          <t>KRISTINEHAMN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44595</v>
      </c>
      <c r="E396" s="1" t="n">
        <v>46261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Kommuner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44595</v>
      </c>
      <c r="E397" s="1" t="n">
        <v>46261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Kommuner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46261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46261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46261</v>
      </c>
      <c r="F400" t="inlineStr">
        <is>
          <t>VÄRMLANDS LÄN</t>
        </is>
      </c>
      <c r="G400" t="inlineStr">
        <is>
          <t>KRISTINEHAMN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45322</v>
      </c>
      <c r="E401" s="1" t="n">
        <v>46261</v>
      </c>
      <c r="F401" t="inlineStr">
        <is>
          <t>VÄRMLANDS LÄN</t>
        </is>
      </c>
      <c r="G401" t="inlineStr">
        <is>
          <t>KRISTINEHAMN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61988-2023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45266</v>
      </c>
      <c r="E402" s="1" t="n">
        <v>46261</v>
      </c>
      <c r="F402" t="inlineStr">
        <is>
          <t>VÄRMLANDS LÄN</t>
        </is>
      </c>
      <c r="G402" t="inlineStr">
        <is>
          <t>KRISTINEHAMN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8758-2023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44978</v>
      </c>
      <c r="E403" s="1" t="n">
        <v>46261</v>
      </c>
      <c r="F403" t="inlineStr">
        <is>
          <t>VÄRMLANDS LÄN</t>
        </is>
      </c>
      <c r="G403" t="inlineStr">
        <is>
          <t>KRISTINEHAMN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28152-2022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44746</v>
      </c>
      <c r="E404" s="1" t="n">
        <v>46261</v>
      </c>
      <c r="F404" t="inlineStr">
        <is>
          <t>VÄRMLANDS LÄN</t>
        </is>
      </c>
      <c r="G404" t="inlineStr">
        <is>
          <t>KRISTINEHAMN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59862-2024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45639</v>
      </c>
      <c r="E405" s="1" t="n">
        <v>46261</v>
      </c>
      <c r="F405" t="inlineStr">
        <is>
          <t>VÄRMLANDS LÄN</t>
        </is>
      </c>
      <c r="G405" t="inlineStr">
        <is>
          <t>KRISTINEHAMN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23246-2024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45450</v>
      </c>
      <c r="E406" s="1" t="n">
        <v>46261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Kommuner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22896-2023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45072</v>
      </c>
      <c r="E407" s="1" t="n">
        <v>46261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Bergvik skog väst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45167</v>
      </c>
      <c r="E408" s="1" t="n">
        <v>46261</v>
      </c>
      <c r="F408" t="inlineStr">
        <is>
          <t>VÄRMLANDS LÄN</t>
        </is>
      </c>
      <c r="G408" t="inlineStr">
        <is>
          <t>KRISTINEHAMN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44972</v>
      </c>
      <c r="E409" s="1" t="n">
        <v>46261</v>
      </c>
      <c r="F409" t="inlineStr">
        <is>
          <t>VÄRMLANDS LÄN</t>
        </is>
      </c>
      <c r="G409" t="inlineStr">
        <is>
          <t>KRISTINEHAMN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46261</v>
      </c>
      <c r="F410" t="inlineStr">
        <is>
          <t>VÄRMLANDS LÄN</t>
        </is>
      </c>
      <c r="G410" t="inlineStr">
        <is>
          <t>KRISTINEHAMN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45202</v>
      </c>
      <c r="E411" s="1" t="n">
        <v>46261</v>
      </c>
      <c r="F411" t="inlineStr">
        <is>
          <t>VÄRMLANDS LÄN</t>
        </is>
      </c>
      <c r="G411" t="inlineStr">
        <is>
          <t>KRISTINEHAMN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15406-2024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45401</v>
      </c>
      <c r="E412" s="1" t="n">
        <v>46261</v>
      </c>
      <c r="F412" t="inlineStr">
        <is>
          <t>VÄRMLANDS LÄN</t>
        </is>
      </c>
      <c r="G412" t="inlineStr">
        <is>
          <t>KRISTINEHAMN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45141</v>
      </c>
      <c r="E413" s="1" t="n">
        <v>46261</v>
      </c>
      <c r="F413" t="inlineStr">
        <is>
          <t>VÄRMLANDS LÄN</t>
        </is>
      </c>
      <c r="G413" t="inlineStr">
        <is>
          <t>KRISTINEHAMN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46261</v>
      </c>
      <c r="F414" t="inlineStr">
        <is>
          <t>VÄRMLANDS LÄN</t>
        </is>
      </c>
      <c r="G414" t="inlineStr">
        <is>
          <t>KRISTINEHAMN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46261</v>
      </c>
      <c r="F415" t="inlineStr">
        <is>
          <t>VÄRMLANDS LÄN</t>
        </is>
      </c>
      <c r="G415" t="inlineStr">
        <is>
          <t>KRISTINEHAMN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46261</v>
      </c>
      <c r="F416" t="inlineStr">
        <is>
          <t>VÄRMLANDS LÄN</t>
        </is>
      </c>
      <c r="G416" t="inlineStr">
        <is>
          <t>KRISTINEHAMN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56668-2023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46261</v>
      </c>
      <c r="F417" t="inlineStr">
        <is>
          <t>VÄRMLANDS LÄN</t>
        </is>
      </c>
      <c r="G417" t="inlineStr">
        <is>
          <t>KRISTINEHAMN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39778-2023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46261</v>
      </c>
      <c r="F418" t="inlineStr">
        <is>
          <t>VÄRMLANDS LÄN</t>
        </is>
      </c>
      <c r="G418" t="inlineStr">
        <is>
          <t>KRISTINEHAMN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45323</v>
      </c>
      <c r="E419" s="1" t="n">
        <v>46261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44985</v>
      </c>
      <c r="E420" s="1" t="n">
        <v>46261</v>
      </c>
      <c r="F420" t="inlineStr">
        <is>
          <t>VÄRMLANDS LÄN</t>
        </is>
      </c>
      <c r="G420" t="inlineStr">
        <is>
          <t>KRISTINEHAMN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11020-2023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46261</v>
      </c>
      <c r="F421" t="inlineStr">
        <is>
          <t>VÄRMLANDS LÄN</t>
        </is>
      </c>
      <c r="G421" t="inlineStr">
        <is>
          <t>KRISTINEHAMN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58284-2024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46261</v>
      </c>
      <c r="F422" t="inlineStr">
        <is>
          <t>VÄRMLANDS LÄN</t>
        </is>
      </c>
      <c r="G422" t="inlineStr">
        <is>
          <t>KRISTINEHAMN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46261</v>
      </c>
      <c r="F423" t="inlineStr">
        <is>
          <t>VÄRMLANDS LÄN</t>
        </is>
      </c>
      <c r="G423" t="inlineStr">
        <is>
          <t>KRISTINEHAMN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7695-2025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45705</v>
      </c>
      <c r="E424" s="1" t="n">
        <v>46261</v>
      </c>
      <c r="F424" t="inlineStr">
        <is>
          <t>VÄRMLANDS LÄN</t>
        </is>
      </c>
      <c r="G424" t="inlineStr">
        <is>
          <t>KRISTINEHAMN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45734</v>
      </c>
      <c r="E425" s="1" t="n">
        <v>46261</v>
      </c>
      <c r="F425" t="inlineStr">
        <is>
          <t>VÄRMLANDS LÄN</t>
        </is>
      </c>
      <c r="G425" t="inlineStr">
        <is>
          <t>KRISTINEHAMN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46261</v>
      </c>
      <c r="F426" t="inlineStr">
        <is>
          <t>VÄRMLANDS LÄN</t>
        </is>
      </c>
      <c r="G426" t="inlineStr">
        <is>
          <t>KRISTINEHAMN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51700-2023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45222</v>
      </c>
      <c r="E427" s="1" t="n">
        <v>46261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Bergvik skog väst AB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12458-2024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45379</v>
      </c>
      <c r="E428" s="1" t="n">
        <v>46261</v>
      </c>
      <c r="F428" t="inlineStr">
        <is>
          <t>VÄRMLANDS LÄN</t>
        </is>
      </c>
      <c r="G428" t="inlineStr">
        <is>
          <t>KRISTINEHAMN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59203-2024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46261</v>
      </c>
      <c r="F429" t="inlineStr">
        <is>
          <t>VÄRMLANDS LÄN</t>
        </is>
      </c>
      <c r="G429" t="inlineStr">
        <is>
          <t>KRISTINEHAMN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45679</v>
      </c>
      <c r="E430" s="1" t="n">
        <v>46261</v>
      </c>
      <c r="F430" t="inlineStr">
        <is>
          <t>VÄRMLANDS LÄN</t>
        </is>
      </c>
      <c r="G430" t="inlineStr">
        <is>
          <t>KRISTINEHAMN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45693</v>
      </c>
      <c r="E431" s="1" t="n">
        <v>46261</v>
      </c>
      <c r="F431" t="inlineStr">
        <is>
          <t>VÄRMLANDS LÄN</t>
        </is>
      </c>
      <c r="G431" t="inlineStr">
        <is>
          <t>KRISTINEHAMN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46261</v>
      </c>
      <c r="F432" t="inlineStr">
        <is>
          <t>VÄRMLANDS LÄN</t>
        </is>
      </c>
      <c r="G432" t="inlineStr">
        <is>
          <t>KRISTINEHAMN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21602-2025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45783</v>
      </c>
      <c r="E433" s="1" t="n">
        <v>46261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59190-2024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46261</v>
      </c>
      <c r="F434" t="inlineStr">
        <is>
          <t>VÄRMLANDS LÄN</t>
        </is>
      </c>
      <c r="G434" t="inlineStr">
        <is>
          <t>KRISTINEHAMN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45792</v>
      </c>
      <c r="E435" s="1" t="n">
        <v>46261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23501-2025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45792</v>
      </c>
      <c r="E436" s="1" t="n">
        <v>46261</v>
      </c>
      <c r="F436" t="inlineStr">
        <is>
          <t>VÄRMLANDS LÄN</t>
        </is>
      </c>
      <c r="G436" t="inlineStr">
        <is>
          <t>KRISTINEHAMN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45792</v>
      </c>
      <c r="E437" s="1" t="n">
        <v>46261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Sveaskog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44805</v>
      </c>
      <c r="E438" s="1" t="n">
        <v>46261</v>
      </c>
      <c r="F438" t="inlineStr">
        <is>
          <t>VÄRMLANDS LÄN</t>
        </is>
      </c>
      <c r="G438" t="inlineStr">
        <is>
          <t>KRISTINEHAMN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1219-2020</t>
        </is>
      </c>
      <c r="B439" t="inlineStr">
        <is>
          <t>samrådsanmälan</t>
        </is>
      </c>
      <c r="C439" t="n">
        <v/>
      </c>
      <c r="D439" s="1" t="n">
        <v>43980</v>
      </c>
      <c r="E439" s="1" t="n">
        <v>46261</v>
      </c>
      <c r="F439" t="inlineStr">
        <is>
          <t>VÄRMLANDS LÄN</t>
        </is>
      </c>
      <c r="G439" t="inlineStr">
        <is>
          <t>KRISTINEHAMN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1815-2022</t>
        </is>
      </c>
      <c r="B440" t="inlineStr">
        <is>
          <t>samrådsanmälan</t>
        </is>
      </c>
      <c r="C440" t="inlineStr">
        <is>
          <t>Åtgärd i nyckelbiotop</t>
        </is>
      </c>
      <c r="D440" s="1" t="n">
        <v>44657</v>
      </c>
      <c r="E440" s="1" t="n">
        <v>46261</v>
      </c>
      <c r="F440" t="inlineStr">
        <is>
          <t>VÄRMLANDS LÄN</t>
        </is>
      </c>
      <c r="G440" t="inlineStr">
        <is>
          <t>KRISTINEHAMN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46261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46261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4147-2023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46261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4149-2023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46261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46261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46261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46261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46261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46261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1903-2024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46261</v>
      </c>
      <c r="F450" t="inlineStr">
        <is>
          <t>VÄRMLANDS LÄN</t>
        </is>
      </c>
      <c r="G450" t="inlineStr">
        <is>
          <t>KRISTINEHAMN</t>
        </is>
      </c>
      <c r="I450" t="n">
        <v>104.3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717-2023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44985</v>
      </c>
      <c r="E451" s="1" t="n">
        <v>46261</v>
      </c>
      <c r="F451" t="inlineStr">
        <is>
          <t>VÄRMLANDS LÄN</t>
        </is>
      </c>
      <c r="G451" t="inlineStr">
        <is>
          <t>KRISTINEHAMN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1412-2024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45414</v>
      </c>
      <c r="E452" s="1" t="n">
        <v>46261</v>
      </c>
      <c r="F452" t="inlineStr">
        <is>
          <t>VÄRMLANDS LÄN</t>
        </is>
      </c>
      <c r="G452" t="inlineStr">
        <is>
          <t>KRISTINEHAMN</t>
        </is>
      </c>
      <c r="I452" t="n">
        <v>42.9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1900-2024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45442</v>
      </c>
      <c r="E453" s="1" t="n">
        <v>46261</v>
      </c>
      <c r="F453" t="inlineStr">
        <is>
          <t>VÄRMLANDS LÄN</t>
        </is>
      </c>
      <c r="G453" t="inlineStr">
        <is>
          <t>KRISTINEHAMN</t>
        </is>
      </c>
      <c r="I453" t="n">
        <v>63.5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3374-2024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45533</v>
      </c>
      <c r="E454" s="1" t="n">
        <v>46261</v>
      </c>
      <c r="F454" t="inlineStr">
        <is>
          <t>VÄRMLANDS LÄN</t>
        </is>
      </c>
      <c r="G454" t="inlineStr">
        <is>
          <t>KRISTINEHAMN</t>
        </is>
      </c>
      <c r="I454" t="n">
        <v>18.3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2464-2023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45118</v>
      </c>
      <c r="E455" s="1" t="n">
        <v>46261</v>
      </c>
      <c r="F455" t="inlineStr">
        <is>
          <t>VÄRMLANDS LÄN</t>
        </is>
      </c>
      <c r="G455" t="inlineStr">
        <is>
          <t>KRISTINEHAMN</t>
        </is>
      </c>
      <c r="I455" t="n">
        <v>42.3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4146-2023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46261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Bergvik skog väst AB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3007-2024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45512</v>
      </c>
      <c r="E457" s="1" t="n">
        <v>46261</v>
      </c>
      <c r="F457" t="inlineStr">
        <is>
          <t>VÄRMLANDS LÄN</t>
        </is>
      </c>
      <c r="G457" t="inlineStr">
        <is>
          <t>KRISTINEHAMN</t>
        </is>
      </c>
      <c r="I457" t="n">
        <v>56.9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1418-2025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45783</v>
      </c>
      <c r="E458" s="1" t="n">
        <v>46261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Sveaskog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1546-2025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45792</v>
      </c>
      <c r="E459" s="1" t="n">
        <v>46261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1698-2025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45805</v>
      </c>
      <c r="E460" s="1" t="n">
        <v>46261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121-2026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46040</v>
      </c>
      <c r="E461" s="1" t="n">
        <v>46261</v>
      </c>
      <c r="F461" t="inlineStr">
        <is>
          <t>VÄRMLANDS LÄN</t>
        </is>
      </c>
      <c r="G461" t="inlineStr">
        <is>
          <t>KRISTINEHAMN</t>
        </is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46106</v>
      </c>
      <c r="E462" s="1" t="n">
        <v>46261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99-2026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46036</v>
      </c>
      <c r="E463" s="1" t="n">
        <v>46261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Naturvårdsverket</t>
        </is>
      </c>
      <c r="I463" t="n">
        <v>80.8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2026-08-27T01:52:35Z</dcterms:created>
  <dcterms:modified xmlns:dcterms="http://purl.org/dc/terms/" xmlns:xsi="http://www.w3.org/2001/XMLSchema-instance" xsi:type="dcterms:W3CDTF">2026-08-27T01:52:35Z</dcterms:modified>
</cp:coreProperties>
</file>