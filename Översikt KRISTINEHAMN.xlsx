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46322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46322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46322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46322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46322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46322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46322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46322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46322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46322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46322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46322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46322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46322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46322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46322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13025-2023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45002</v>
      </c>
      <c r="E18" s="1" t="n">
        <v>46322</v>
      </c>
      <c r="F18" t="inlineStr">
        <is>
          <t>VÄRMLANDS LÄN</t>
        </is>
      </c>
      <c r="G18" t="inlineStr">
        <is>
          <t>KRISTINEHAMN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Kamjordstjärna</t>
        </is>
      </c>
      <c r="W18">
        <f>HYPERLINK("https://klasma.github.io/Logging_1781/artfynd/A 13025-2023 artfynd.xlsx", "A 13025-2023")</f>
        <v/>
      </c>
      <c r="X18">
        <f>HYPERLINK("https://klasma.github.io/Logging_1781/kartor/A 13025-2023 karta.png", "A 13025-2023")</f>
        <v/>
      </c>
      <c r="Y18">
        <f>HYPERLINK("https://klasma.github.io/Logging_1781/kartor_geotiff/A 13025-2023 georefererad karta.tif", "A 13025-2023")</f>
        <v/>
      </c>
      <c r="AA18">
        <f>HYPERLINK("https://klasma.github.io/Logging_1781/klagomål/A 13025-2023 FSC-klagomål.docx", "A 13025-2023")</f>
        <v/>
      </c>
      <c r="AB18">
        <f>HYPERLINK("https://klasma.github.io/Logging_1781/klagomålsmail/A 13025-2023 FSC-klagomål mail.docx", "A 13025-2023")</f>
        <v/>
      </c>
      <c r="AC18">
        <f>HYPERLINK("https://klasma.github.io/Logging_1781/tillsyn/A 13025-2023 tillsynsbegäran.docx", "A 13025-2023")</f>
        <v/>
      </c>
      <c r="AD18">
        <f>HYPERLINK("https://klasma.github.io/Logging_1781/tillsynsmail/A 13025-2023 tillsynsbegäran mail.docx", "A 13025-2023")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46322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46322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53607-2025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45960</v>
      </c>
      <c r="E21" s="1" t="n">
        <v>46322</v>
      </c>
      <c r="F21" t="inlineStr">
        <is>
          <t>VÄRMLANDS LÄN</t>
        </is>
      </c>
      <c r="G21" t="inlineStr">
        <is>
          <t>KRISTINEHAMN</t>
        </is>
      </c>
      <c r="H21" t="inlineStr">
        <is>
          <t>Naturvårdsverket</t>
        </is>
      </c>
      <c r="I21" t="n">
        <v>4.6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 sköldmossa</t>
        </is>
      </c>
      <c r="W21">
        <f>HYPERLINK("https://klasma.github.io/Logging_1781/artfynd/A 53607-2025 artfynd.xlsx", "A 53607-2025")</f>
        <v/>
      </c>
      <c r="X21">
        <f>HYPERLINK("https://klasma.github.io/Logging_1781/kartor/A 53607-2025 karta.png", "A 53607-2025")</f>
        <v/>
      </c>
      <c r="Y21">
        <f>HYPERLINK("https://klasma.github.io/Logging_1781/kartor_geotiff/A 53607-2025 georefererad karta.tif", "A 53607-2025")</f>
        <v/>
      </c>
      <c r="AA21">
        <f>HYPERLINK("https://klasma.github.io/Logging_1781/klagomål/A 53607-2025 FSC-klagomål.docx", "A 53607-2025")</f>
        <v/>
      </c>
      <c r="AB21">
        <f>HYPERLINK("https://klasma.github.io/Logging_1781/klagomålsmail/A 53607-2025 FSC-klagomål mail.docx", "A 53607-2025")</f>
        <v/>
      </c>
      <c r="AC21">
        <f>HYPERLINK("https://klasma.github.io/Logging_1781/tillsyn/A 53607-2025 tillsynsbegäran.docx", "A 53607-2025")</f>
        <v/>
      </c>
      <c r="AD21">
        <f>HYPERLINK("https://klasma.github.io/Logging_1781/tillsynsmail/A 53607-2025 tillsynsbegäran mail.docx", "A 53607-2025")</f>
        <v/>
      </c>
    </row>
    <row r="22" ht="15" customHeight="1">
      <c r="A22" t="inlineStr">
        <is>
          <t>A 53630-2025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46322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53630-2025 artfynd.xlsx", "A 53630-2025")</f>
        <v/>
      </c>
      <c r="X22">
        <f>HYPERLINK("https://klasma.github.io/Logging_1781/kartor/A 53630-2025 karta.png", "A 53630-2025")</f>
        <v/>
      </c>
      <c r="Y22">
        <f>HYPERLINK("https://klasma.github.io/Logging_1781/kartor_geotiff/A 53630-2025 georefererad karta.tif", "A 53630-2025")</f>
        <v/>
      </c>
      <c r="AA22">
        <f>HYPERLINK("https://klasma.github.io/Logging_1781/klagomål/A 53630-2025 FSC-klagomål.docx", "A 53630-2025")</f>
        <v/>
      </c>
      <c r="AB22">
        <f>HYPERLINK("https://klasma.github.io/Logging_1781/klagomålsmail/A 53630-2025 FSC-klagomål mail.docx", "A 53630-2025")</f>
        <v/>
      </c>
      <c r="AC22">
        <f>HYPERLINK("https://klasma.github.io/Logging_1781/tillsyn/A 53630-2025 tillsynsbegäran.docx", "A 53630-2025")</f>
        <v/>
      </c>
      <c r="AD22">
        <f>HYPERLINK("https://klasma.github.io/Logging_1781/tillsynsmail/A 53630-2025 tillsynsbegäran mail.docx", "A 53630-2025")</f>
        <v/>
      </c>
    </row>
    <row r="23" ht="15" customHeight="1">
      <c r="A23" t="inlineStr">
        <is>
          <t>A 58021-2025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46322</v>
      </c>
      <c r="F23" t="inlineStr">
        <is>
          <t>VÄRMLANDS LÄN</t>
        </is>
      </c>
      <c r="G23" t="inlineStr">
        <is>
          <t>KRISTINEHAMN</t>
        </is>
      </c>
      <c r="I23" t="n">
        <v>4.2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Slåttergubbe</t>
        </is>
      </c>
      <c r="W23">
        <f>HYPERLINK("https://klasma.github.io/Logging_1781/artfynd/A 58021-2025 artfynd.xlsx", "A 58021-2025")</f>
        <v/>
      </c>
      <c r="X23">
        <f>HYPERLINK("https://klasma.github.io/Logging_1781/kartor/A 58021-2025 karta.png", "A 58021-2025")</f>
        <v/>
      </c>
      <c r="Y23">
        <f>HYPERLINK("https://klasma.github.io/Logging_1781/kartor_geotiff/A 58021-2025 georefererad karta.tif", "A 58021-2025")</f>
        <v/>
      </c>
      <c r="AA23">
        <f>HYPERLINK("https://klasma.github.io/Logging_1781/klagomål/A 58021-2025 FSC-klagomål.docx", "A 58021-2025")</f>
        <v/>
      </c>
      <c r="AB23">
        <f>HYPERLINK("https://klasma.github.io/Logging_1781/klagomålsmail/A 58021-2025 FSC-klagomål mail.docx", "A 58021-2025")</f>
        <v/>
      </c>
      <c r="AC23">
        <f>HYPERLINK("https://klasma.github.io/Logging_1781/tillsyn/A 58021-2025 tillsynsbegäran.docx", "A 58021-2025")</f>
        <v/>
      </c>
      <c r="AD23">
        <f>HYPERLINK("https://klasma.github.io/Logging_1781/tillsynsmail/A 58021-2025 tillsynsbegäran mail.docx", "A 58021-2025")</f>
        <v/>
      </c>
    </row>
    <row r="24" ht="15" customHeight="1">
      <c r="A24" t="inlineStr">
        <is>
          <t>A 3302-2022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44584</v>
      </c>
      <c r="E24" s="1" t="n">
        <v>46322</v>
      </c>
      <c r="F24" t="inlineStr">
        <is>
          <t>VÄRMLANDS LÄN</t>
        </is>
      </c>
      <c r="G24" t="inlineStr">
        <is>
          <t>KRISTINEHAMN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3302-2022 artfynd.xlsx", "A 3302-2022")</f>
        <v/>
      </c>
      <c r="X24">
        <f>HYPERLINK("https://klasma.github.io/Logging_1781/kartor/A 3302-2022 karta.png", "A 3302-2022")</f>
        <v/>
      </c>
      <c r="Y24">
        <f>HYPERLINK("https://klasma.github.io/Logging_1781/kartor_geotiff/A 3302-2022 georefererad karta.tif", "A 3302-2022")</f>
        <v/>
      </c>
      <c r="AA24">
        <f>HYPERLINK("https://klasma.github.io/Logging_1781/klagomål/A 3302-2022 FSC-klagomål.docx", "A 3302-2022")</f>
        <v/>
      </c>
      <c r="AB24">
        <f>HYPERLINK("https://klasma.github.io/Logging_1781/klagomålsmail/A 3302-2022 FSC-klagomål mail.docx", "A 3302-2022")</f>
        <v/>
      </c>
      <c r="AC24">
        <f>HYPERLINK("https://klasma.github.io/Logging_1781/tillsyn/A 3302-2022 tillsynsbegäran.docx", "A 3302-2022")</f>
        <v/>
      </c>
      <c r="AD24">
        <f>HYPERLINK("https://klasma.github.io/Logging_1781/tillsynsmail/A 3302-2022 tillsynsbegäran mail.docx", "A 3302-2022")</f>
        <v/>
      </c>
    </row>
    <row r="25" ht="15" customHeight="1">
      <c r="A25" t="inlineStr">
        <is>
          <t>A 2406-2025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45674</v>
      </c>
      <c r="E25" s="1" t="n">
        <v>46322</v>
      </c>
      <c r="F25" t="inlineStr">
        <is>
          <t>VÄRMLANDS LÄN</t>
        </is>
      </c>
      <c r="G25" t="inlineStr">
        <is>
          <t>KRISTINEHAMN</t>
        </is>
      </c>
      <c r="I25" t="n">
        <v>9.699999999999999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HYPERLINK("https://klasma.github.io/Logging_1781/artfynd/A 2406-2025 artfynd.xlsx", "A 2406-2025")</f>
        <v/>
      </c>
      <c r="X25">
        <f>HYPERLINK("https://klasma.github.io/Logging_1781/kartor/A 2406-2025 karta.png", "A 2406-2025")</f>
        <v/>
      </c>
      <c r="Y25">
        <f>HYPERLINK("https://klasma.github.io/Logging_1781/kartor_geotiff/A 2406-2025 georefererad karta.tif", "A 2406-2025")</f>
        <v/>
      </c>
      <c r="AA25">
        <f>HYPERLINK("https://klasma.github.io/Logging_1781/klagomål/A 2406-2025 FSC-klagomål.docx", "A 2406-2025")</f>
        <v/>
      </c>
      <c r="AB25">
        <f>HYPERLINK("https://klasma.github.io/Logging_1781/klagomålsmail/A 2406-2025 FSC-klagomål mail.docx", "A 2406-2025")</f>
        <v/>
      </c>
      <c r="AC25">
        <f>HYPERLINK("https://klasma.github.io/Logging_1781/tillsyn/A 2406-2025 tillsynsbegäran.docx", "A 2406-2025")</f>
        <v/>
      </c>
      <c r="AD25">
        <f>HYPERLINK("https://klasma.github.io/Logging_1781/tillsynsmail/A 2406-2025 tillsynsbegäran mail.docx", "A 2406-2025")</f>
        <v/>
      </c>
    </row>
    <row r="26" ht="15" customHeight="1">
      <c r="A26" t="inlineStr">
        <is>
          <t>A 25888-2025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45804</v>
      </c>
      <c r="E26" s="1" t="n">
        <v>46322</v>
      </c>
      <c r="F26" t="inlineStr">
        <is>
          <t>VÄRMLANDS LÄN</t>
        </is>
      </c>
      <c r="G26" t="inlineStr">
        <is>
          <t>KRISTINEHAMN</t>
        </is>
      </c>
      <c r="I26" t="n">
        <v>5.9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Trana</t>
        </is>
      </c>
      <c r="W26">
        <f>HYPERLINK("https://klasma.github.io/Logging_1781/artfynd/A 25888-2025 artfynd.xlsx", "A 25888-2025")</f>
        <v/>
      </c>
      <c r="X26">
        <f>HYPERLINK("https://klasma.github.io/Logging_1781/kartor/A 25888-2025 karta.png", "A 25888-2025")</f>
        <v/>
      </c>
      <c r="Y26">
        <f>HYPERLINK("https://klasma.github.io/Logging_1781/kartor_geotiff/A 25888-2025 georefererad karta.tif", "A 25888-2025")</f>
        <v/>
      </c>
      <c r="AA26">
        <f>HYPERLINK("https://klasma.github.io/Logging_1781/klagomål/A 25888-2025 FSC-klagomål.docx", "A 25888-2025")</f>
        <v/>
      </c>
      <c r="AB26">
        <f>HYPERLINK("https://klasma.github.io/Logging_1781/klagomålsmail/A 25888-2025 FSC-klagomål mail.docx", "A 25888-2025")</f>
        <v/>
      </c>
      <c r="AC26">
        <f>HYPERLINK("https://klasma.github.io/Logging_1781/tillsyn/A 25888-2025 tillsynsbegäran.docx", "A 25888-2025")</f>
        <v/>
      </c>
      <c r="AD26">
        <f>HYPERLINK("https://klasma.github.io/Logging_1781/tillsynsmail/A 25888-2025 tillsynsbegäran mail.docx", "A 25888-2025")</f>
        <v/>
      </c>
      <c r="AE26">
        <f>HYPERLINK("https://klasma.github.io/Logging_1781/fåglar/A 25888-2025 prioriterade fågelarter.docx", "A 25888-2025")</f>
        <v/>
      </c>
    </row>
    <row r="27" ht="15" customHeight="1">
      <c r="A27" t="inlineStr">
        <is>
          <t>A 61238-2025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46000</v>
      </c>
      <c r="E27" s="1" t="n">
        <v>46322</v>
      </c>
      <c r="F27" t="inlineStr">
        <is>
          <t>VÄRMLANDS LÄN</t>
        </is>
      </c>
      <c r="G27" t="inlineStr">
        <is>
          <t>KRISTINEHAMN</t>
        </is>
      </c>
      <c r="I27" t="n">
        <v>5.8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HYPERLINK("https://klasma.github.io/Logging_1781/artfynd/A 61238-2025 artfynd.xlsx", "A 61238-2025")</f>
        <v/>
      </c>
      <c r="X27">
        <f>HYPERLINK("https://klasma.github.io/Logging_1781/kartor/A 61238-2025 karta.png", "A 61238-2025")</f>
        <v/>
      </c>
      <c r="Y27">
        <f>HYPERLINK("https://klasma.github.io/Logging_1781/kartor_geotiff/A 61238-2025 georefererad karta.tif", "A 61238-2025")</f>
        <v/>
      </c>
      <c r="AA27">
        <f>HYPERLINK("https://klasma.github.io/Logging_1781/klagomål/A 61238-2025 FSC-klagomål.docx", "A 61238-2025")</f>
        <v/>
      </c>
      <c r="AB27">
        <f>HYPERLINK("https://klasma.github.io/Logging_1781/klagomålsmail/A 61238-2025 FSC-klagomål mail.docx", "A 61238-2025")</f>
        <v/>
      </c>
      <c r="AC27">
        <f>HYPERLINK("https://klasma.github.io/Logging_1781/tillsyn/A 61238-2025 tillsynsbegäran.docx", "A 61238-2025")</f>
        <v/>
      </c>
      <c r="AD27">
        <f>HYPERLINK("https://klasma.github.io/Logging_1781/tillsynsmail/A 61238-2025 tillsynsbegäran mail.docx", "A 61238-2025")</f>
        <v/>
      </c>
      <c r="AE27">
        <f>HYPERLINK("https://klasma.github.io/Logging_1781/fåglar/A 61238-2025 prioriterade fågelarter.docx", "A 61238-2025")</f>
        <v/>
      </c>
    </row>
    <row r="28" ht="15" customHeight="1">
      <c r="A28" t="inlineStr">
        <is>
          <t>A 28394-2025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45819</v>
      </c>
      <c r="E28" s="1" t="n">
        <v>46322</v>
      </c>
      <c r="F28" t="inlineStr">
        <is>
          <t>VÄRMLANDS LÄN</t>
        </is>
      </c>
      <c r="G28" t="inlineStr">
        <is>
          <t>KRISTINEHAMN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vårtrattskivling</t>
        </is>
      </c>
      <c r="W28">
        <f>HYPERLINK("https://klasma.github.io/Logging_1781/artfynd/A 28394-2025 artfynd.xlsx", "A 28394-2025")</f>
        <v/>
      </c>
      <c r="X28">
        <f>HYPERLINK("https://klasma.github.io/Logging_1781/kartor/A 28394-2025 karta.png", "A 28394-2025")</f>
        <v/>
      </c>
      <c r="Y28">
        <f>HYPERLINK("https://klasma.github.io/Logging_1781/kartor_geotiff/A 28394-2025 georefererad karta.tif", "A 28394-2025")</f>
        <v/>
      </c>
      <c r="AA28">
        <f>HYPERLINK("https://klasma.github.io/Logging_1781/klagomål/A 28394-2025 FSC-klagomål.docx", "A 28394-2025")</f>
        <v/>
      </c>
      <c r="AB28">
        <f>HYPERLINK("https://klasma.github.io/Logging_1781/klagomålsmail/A 28394-2025 FSC-klagomål mail.docx", "A 28394-2025")</f>
        <v/>
      </c>
      <c r="AC28">
        <f>HYPERLINK("https://klasma.github.io/Logging_1781/tillsyn/A 28394-2025 tillsynsbegäran.docx", "A 28394-2025")</f>
        <v/>
      </c>
      <c r="AD28">
        <f>HYPERLINK("https://klasma.github.io/Logging_1781/tillsynsmail/A 28394-2025 tillsynsbegäran mail.docx", "A 28394-2025")</f>
        <v/>
      </c>
    </row>
    <row r="29" ht="15" customHeight="1">
      <c r="A29" t="inlineStr">
        <is>
          <t>A 8714-2024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46322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Bombmurkla</t>
        </is>
      </c>
      <c r="W29">
        <f>HYPERLINK("https://klasma.github.io/Logging_1781/artfynd/A 8714-2024 artfynd.xlsx", "A 8714-2024")</f>
        <v/>
      </c>
      <c r="X29">
        <f>HYPERLINK("https://klasma.github.io/Logging_1781/kartor/A 8714-2024 karta.png", "A 8714-2024")</f>
        <v/>
      </c>
      <c r="Y29">
        <f>HYPERLINK("https://klasma.github.io/Logging_1781/kartor_geotiff/A 8714-2024 georefererad karta.tif", "A 8714-2024")</f>
        <v/>
      </c>
      <c r="AA29">
        <f>HYPERLINK("https://klasma.github.io/Logging_1781/klagomål/A 8714-2024 FSC-klagomål.docx", "A 8714-2024")</f>
        <v/>
      </c>
      <c r="AB29">
        <f>HYPERLINK("https://klasma.github.io/Logging_1781/klagomålsmail/A 8714-2024 FSC-klagomål mail.docx", "A 8714-2024")</f>
        <v/>
      </c>
      <c r="AC29">
        <f>HYPERLINK("https://klasma.github.io/Logging_1781/tillsyn/A 8714-2024 tillsynsbegäran.docx", "A 8714-2024")</f>
        <v/>
      </c>
      <c r="AD29">
        <f>HYPERLINK("https://klasma.github.io/Logging_1781/tillsynsmail/A 8714-2024 tillsynsbegäran mail.docx", "A 8714-2024")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46322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54771-2022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46322</v>
      </c>
      <c r="F31" t="inlineStr">
        <is>
          <t>VÄRMLANDS LÄN</t>
        </is>
      </c>
      <c r="G31" t="inlineStr">
        <is>
          <t>KRISTINEHAMN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HYPERLINK("https://klasma.github.io/Logging_1781/artfynd/A 54771-2022 artfynd.xlsx", "A 54771-2022")</f>
        <v/>
      </c>
      <c r="X31">
        <f>HYPERLINK("https://klasma.github.io/Logging_1781/kartor/A 54771-2022 karta.png", "A 54771-2022")</f>
        <v/>
      </c>
      <c r="Y31">
        <f>HYPERLINK("https://klasma.github.io/Logging_1781/kartor_geotiff/A 54771-2022 georefererad karta.tif", "A 54771-2022")</f>
        <v/>
      </c>
      <c r="AA31">
        <f>HYPERLINK("https://klasma.github.io/Logging_1781/klagomål/A 54771-2022 FSC-klagomål.docx", "A 54771-2022")</f>
        <v/>
      </c>
      <c r="AB31">
        <f>HYPERLINK("https://klasma.github.io/Logging_1781/klagomålsmail/A 54771-2022 FSC-klagomål mail.docx", "A 54771-2022")</f>
        <v/>
      </c>
      <c r="AC31">
        <f>HYPERLINK("https://klasma.github.io/Logging_1781/tillsyn/A 54771-2022 tillsynsbegäran.docx", "A 54771-2022")</f>
        <v/>
      </c>
      <c r="AD31">
        <f>HYPERLINK("https://klasma.github.io/Logging_1781/tillsynsmail/A 54771-2022 tillsynsbegäran mail.docx", "A 54771-2022")</f>
        <v/>
      </c>
      <c r="AE31">
        <f>HYPERLINK("https://klasma.github.io/Logging_1781/fåglar/A 54771-2022 prioriterade fågelarter.docx", "A 54771-2022")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46322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46322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12593-2024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45380</v>
      </c>
      <c r="E34" s="1" t="n">
        <v>46322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Bombmurkla</t>
        </is>
      </c>
      <c r="W34">
        <f>HYPERLINK("https://klasma.github.io/Logging_1781/artfynd/A 12593-2024 artfynd.xlsx", "A 12593-2024")</f>
        <v/>
      </c>
      <c r="X34">
        <f>HYPERLINK("https://klasma.github.io/Logging_1781/kartor/A 12593-2024 karta.png", "A 12593-2024")</f>
        <v/>
      </c>
      <c r="Y34">
        <f>HYPERLINK("https://klasma.github.io/Logging_1781/kartor_geotiff/A 12593-2024 georefererad karta.tif", "A 12593-2024")</f>
        <v/>
      </c>
      <c r="AA34">
        <f>HYPERLINK("https://klasma.github.io/Logging_1781/klagomål/A 12593-2024 FSC-klagomål.docx", "A 12593-2024")</f>
        <v/>
      </c>
      <c r="AB34">
        <f>HYPERLINK("https://klasma.github.io/Logging_1781/klagomålsmail/A 12593-2024 FSC-klagomål mail.docx", "A 12593-2024")</f>
        <v/>
      </c>
      <c r="AC34">
        <f>HYPERLINK("https://klasma.github.io/Logging_1781/tillsyn/A 12593-2024 tillsynsbegäran.docx", "A 12593-2024")</f>
        <v/>
      </c>
      <c r="AD34">
        <f>HYPERLINK("https://klasma.github.io/Logging_1781/tillsynsmail/A 12593-2024 tillsynsbegäran mail.docx", "A 12593-2024")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46322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46322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45122-2022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44843</v>
      </c>
      <c r="E37" s="1" t="n">
        <v>46322</v>
      </c>
      <c r="F37" t="inlineStr">
        <is>
          <t>VÄRMLANDS LÄN</t>
        </is>
      </c>
      <c r="G37" t="inlineStr">
        <is>
          <t>KRISTINEHAMN</t>
        </is>
      </c>
      <c r="I37" t="n">
        <v>3.3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Dvärglin</t>
        </is>
      </c>
      <c r="W37">
        <f>HYPERLINK("https://klasma.github.io/Logging_1781/artfynd/A 45122-2022 artfynd.xlsx", "A 45122-2022")</f>
        <v/>
      </c>
      <c r="X37">
        <f>HYPERLINK("https://klasma.github.io/Logging_1781/kartor/A 45122-2022 karta.png", "A 45122-2022")</f>
        <v/>
      </c>
      <c r="Y37">
        <f>HYPERLINK("https://klasma.github.io/Logging_1781/kartor_geotiff/A 45122-2022 georefererad karta.tif", "A 45122-2022")</f>
        <v/>
      </c>
      <c r="AA37">
        <f>HYPERLINK("https://klasma.github.io/Logging_1781/klagomål/A 45122-2022 FSC-klagomål.docx", "A 45122-2022")</f>
        <v/>
      </c>
      <c r="AB37">
        <f>HYPERLINK("https://klasma.github.io/Logging_1781/klagomålsmail/A 45122-2022 FSC-klagomål mail.docx", "A 45122-2022")</f>
        <v/>
      </c>
      <c r="AC37">
        <f>HYPERLINK("https://klasma.github.io/Logging_1781/tillsyn/A 45122-2022 tillsynsbegäran.docx", "A 45122-2022")</f>
        <v/>
      </c>
      <c r="AD37">
        <f>HYPERLINK("https://klasma.github.io/Logging_1781/tillsynsmail/A 45122-2022 tillsynsbegäran mail.docx", "A 45122-2022")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46322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46322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46322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46322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46322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46322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46322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46322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46322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46322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46322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46322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46322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46322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46322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46322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46322</v>
      </c>
      <c r="F54" t="inlineStr">
        <is>
          <t>VÄRMLANDS LÄN</t>
        </is>
      </c>
      <c r="G54" t="inlineStr">
        <is>
          <t>KRISTINEHAMN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46322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44769</v>
      </c>
      <c r="E56" s="1" t="n">
        <v>46322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46322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46322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46322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46322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46322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46322</v>
      </c>
      <c r="F62" t="inlineStr">
        <is>
          <t>VÄRMLANDS LÄN</t>
        </is>
      </c>
      <c r="G62" t="inlineStr">
        <is>
          <t>KRISTINEHAMN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46322</v>
      </c>
      <c r="F63" t="inlineStr">
        <is>
          <t>VÄRMLANDS LÄN</t>
        </is>
      </c>
      <c r="G63" t="inlineStr">
        <is>
          <t>KRISTINEHAMN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46322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46322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46322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46322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46322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46322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46322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46322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46322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46322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46322</v>
      </c>
      <c r="F74" t="inlineStr">
        <is>
          <t>VÄRMLANDS LÄN</t>
        </is>
      </c>
      <c r="G74" t="inlineStr">
        <is>
          <t>KRISTINEHAMN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46322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44591</v>
      </c>
      <c r="E76" s="1" t="n">
        <v>46322</v>
      </c>
      <c r="F76" t="inlineStr">
        <is>
          <t>VÄRMLANDS LÄN</t>
        </is>
      </c>
      <c r="G76" t="inlineStr">
        <is>
          <t>KRISTINEHAMN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46322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46322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46322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46322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44584</v>
      </c>
      <c r="E81" s="1" t="n">
        <v>46322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46322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46322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46322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45631</v>
      </c>
      <c r="E85" s="1" t="n">
        <v>46322</v>
      </c>
      <c r="F85" t="inlineStr">
        <is>
          <t>VÄRMLANDS LÄN</t>
        </is>
      </c>
      <c r="G85" t="inlineStr">
        <is>
          <t>KRISTINEHAMN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45644</v>
      </c>
      <c r="E86" s="1" t="n">
        <v>46322</v>
      </c>
      <c r="F86" t="inlineStr">
        <is>
          <t>VÄRMLANDS LÄN</t>
        </is>
      </c>
      <c r="G86" t="inlineStr">
        <is>
          <t>KRISTINEHAMN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46322</v>
      </c>
      <c r="F87" t="inlineStr">
        <is>
          <t>VÄRMLANDS LÄN</t>
        </is>
      </c>
      <c r="G87" t="inlineStr">
        <is>
          <t>KRISTINEHAMN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46322</v>
      </c>
      <c r="F88" t="inlineStr">
        <is>
          <t>VÄRMLANDS LÄN</t>
        </is>
      </c>
      <c r="G88" t="inlineStr">
        <is>
          <t>KRISTINEHAMN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46322</v>
      </c>
      <c r="F89" t="inlineStr">
        <is>
          <t>VÄRMLANDS LÄN</t>
        </is>
      </c>
      <c r="G89" t="inlineStr">
        <is>
          <t>KRISTINEHAMN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46322</v>
      </c>
      <c r="F90" t="inlineStr">
        <is>
          <t>VÄRMLANDS LÄN</t>
        </is>
      </c>
      <c r="G90" t="inlineStr">
        <is>
          <t>KRISTINEHAMN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46322</v>
      </c>
      <c r="F91" t="inlineStr">
        <is>
          <t>VÄRMLANDS LÄN</t>
        </is>
      </c>
      <c r="G91" t="inlineStr">
        <is>
          <t>KRISTINEHAMN</t>
        </is>
      </c>
      <c r="I91" t="n">
        <v>14.9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45081</v>
      </c>
      <c r="E92" s="1" t="n">
        <v>46322</v>
      </c>
      <c r="F92" t="inlineStr">
        <is>
          <t>VÄRMLANDS LÄN</t>
        </is>
      </c>
      <c r="G92" t="inlineStr">
        <is>
          <t>KRISTINEHAMN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61034-2021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44497</v>
      </c>
      <c r="E93" s="1" t="n">
        <v>46322</v>
      </c>
      <c r="F93" t="inlineStr">
        <is>
          <t>VÄRMLANDS LÄN</t>
        </is>
      </c>
      <c r="G93" t="inlineStr">
        <is>
          <t>KRISTINEHAMN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45685</v>
      </c>
      <c r="E94" s="1" t="n">
        <v>46322</v>
      </c>
      <c r="F94" t="inlineStr">
        <is>
          <t>VÄRMLANDS LÄN</t>
        </is>
      </c>
      <c r="G94" t="inlineStr">
        <is>
          <t>KRISTINEHAMN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34891-2023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46322</v>
      </c>
      <c r="F95" t="inlineStr">
        <is>
          <t>VÄRMLANDS LÄN</t>
        </is>
      </c>
      <c r="G95" t="inlineStr">
        <is>
          <t>KRISTINEHAMN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46322</v>
      </c>
      <c r="F96" t="inlineStr">
        <is>
          <t>VÄRMLANDS LÄN</t>
        </is>
      </c>
      <c r="G96" t="inlineStr">
        <is>
          <t>KRISTINEHAMN</t>
        </is>
      </c>
      <c r="H96" t="inlineStr">
        <is>
          <t>Sveaskog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45705</v>
      </c>
      <c r="E97" s="1" t="n">
        <v>46322</v>
      </c>
      <c r="F97" t="inlineStr">
        <is>
          <t>VÄRMLANDS LÄN</t>
        </is>
      </c>
      <c r="G97" t="inlineStr">
        <is>
          <t>KRISTINEHAMN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46322</v>
      </c>
      <c r="F98" t="inlineStr">
        <is>
          <t>VÄRMLANDS LÄN</t>
        </is>
      </c>
      <c r="G98" t="inlineStr">
        <is>
          <t>KRISTINEHAMN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68505-2021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44525</v>
      </c>
      <c r="E99" s="1" t="n">
        <v>46322</v>
      </c>
      <c r="F99" t="inlineStr">
        <is>
          <t>VÄRMLANDS LÄN</t>
        </is>
      </c>
      <c r="G99" t="inlineStr">
        <is>
          <t>KRISTINEHAMN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46322</v>
      </c>
      <c r="F100" t="inlineStr">
        <is>
          <t>VÄRMLANDS LÄN</t>
        </is>
      </c>
      <c r="G100" t="inlineStr">
        <is>
          <t>KRISTINEHAMN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70126-2021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44533</v>
      </c>
      <c r="E101" s="1" t="n">
        <v>46322</v>
      </c>
      <c r="F101" t="inlineStr">
        <is>
          <t>VÄRMLANDS LÄN</t>
        </is>
      </c>
      <c r="G101" t="inlineStr">
        <is>
          <t>KRISTINEHAMN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45095</v>
      </c>
      <c r="E102" s="1" t="n">
        <v>46322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46322</v>
      </c>
      <c r="F103" t="inlineStr">
        <is>
          <t>VÄRMLANDS LÄN</t>
        </is>
      </c>
      <c r="G103" t="inlineStr">
        <is>
          <t>KRISTINEHAMN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46322</v>
      </c>
      <c r="F104" t="inlineStr">
        <is>
          <t>VÄRMLANDS LÄN</t>
        </is>
      </c>
      <c r="G104" t="inlineStr">
        <is>
          <t>KRISTINEHAMN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46322</v>
      </c>
      <c r="F105" t="inlineStr">
        <is>
          <t>VÄRMLANDS LÄN</t>
        </is>
      </c>
      <c r="G105" t="inlineStr">
        <is>
          <t>KRISTINEHAMN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44847</v>
      </c>
      <c r="E106" s="1" t="n">
        <v>46322</v>
      </c>
      <c r="F106" t="inlineStr">
        <is>
          <t>VÄRMLANDS LÄN</t>
        </is>
      </c>
      <c r="G106" t="inlineStr">
        <is>
          <t>KRISTINEHAMN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46322</v>
      </c>
      <c r="F107" t="inlineStr">
        <is>
          <t>VÄRMLANDS LÄN</t>
        </is>
      </c>
      <c r="G107" t="inlineStr">
        <is>
          <t>KRISTINEHAMN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45081</v>
      </c>
      <c r="E108" s="1" t="n">
        <v>46322</v>
      </c>
      <c r="F108" t="inlineStr">
        <is>
          <t>VÄRMLANDS LÄN</t>
        </is>
      </c>
      <c r="G108" t="inlineStr">
        <is>
          <t>KRISTINEHAMN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45734</v>
      </c>
      <c r="E109" s="1" t="n">
        <v>46322</v>
      </c>
      <c r="F109" t="inlineStr">
        <is>
          <t>VÄRMLANDS LÄN</t>
        </is>
      </c>
      <c r="G109" t="inlineStr">
        <is>
          <t>KRISTINEHAMN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46322</v>
      </c>
      <c r="F110" t="inlineStr">
        <is>
          <t>VÄRMLANDS LÄN</t>
        </is>
      </c>
      <c r="G110" t="inlineStr">
        <is>
          <t>KRISTINEHAMN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46322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44894</v>
      </c>
      <c r="E112" s="1" t="n">
        <v>46322</v>
      </c>
      <c r="F112" t="inlineStr">
        <is>
          <t>VÄRMLANDS LÄN</t>
        </is>
      </c>
      <c r="G112" t="inlineStr">
        <is>
          <t>KRISTINEHAMN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45238</v>
      </c>
      <c r="E113" s="1" t="n">
        <v>46322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Kommuner</t>
        </is>
      </c>
      <c r="I113" t="n">
        <v>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46322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Naturvårdsverket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44994</v>
      </c>
      <c r="E115" s="1" t="n">
        <v>46322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46322</v>
      </c>
      <c r="F116" t="inlineStr">
        <is>
          <t>VÄRMLANDS LÄN</t>
        </is>
      </c>
      <c r="G116" t="inlineStr">
        <is>
          <t>KRISTINEHAMN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45933</v>
      </c>
      <c r="E117" s="1" t="n">
        <v>46322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46322</v>
      </c>
      <c r="F118" t="inlineStr">
        <is>
          <t>VÄRMLANDS LÄN</t>
        </is>
      </c>
      <c r="G118" t="inlineStr">
        <is>
          <t>KRISTINEHAMN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45456</v>
      </c>
      <c r="E119" s="1" t="n">
        <v>46322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46322</v>
      </c>
      <c r="F120" t="inlineStr">
        <is>
          <t>VÄRMLANDS LÄN</t>
        </is>
      </c>
      <c r="G120" t="inlineStr">
        <is>
          <t>KRISTINEHAMN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46322</v>
      </c>
      <c r="F121" t="inlineStr">
        <is>
          <t>VÄRMLANDS LÄN</t>
        </is>
      </c>
      <c r="G121" t="inlineStr">
        <is>
          <t>KRISTINEHAMN</t>
        </is>
      </c>
      <c r="I121" t="n">
        <v>10.4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46322</v>
      </c>
      <c r="F122" t="inlineStr">
        <is>
          <t>VÄRMLANDS LÄN</t>
        </is>
      </c>
      <c r="G122" t="inlineStr">
        <is>
          <t>KRISTINEHAMN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46322</v>
      </c>
      <c r="F123" t="inlineStr">
        <is>
          <t>VÄRMLANDS LÄN</t>
        </is>
      </c>
      <c r="G123" t="inlineStr">
        <is>
          <t>KRISTINEHAMN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45344</v>
      </c>
      <c r="E124" s="1" t="n">
        <v>46322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46190</v>
      </c>
      <c r="E125" s="1" t="n">
        <v>46322</v>
      </c>
      <c r="F125" t="inlineStr">
        <is>
          <t>VÄRMLANDS LÄN</t>
        </is>
      </c>
      <c r="G125" t="inlineStr">
        <is>
          <t>KRISTINEHAMN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45944</v>
      </c>
      <c r="E126" s="1" t="n">
        <v>46322</v>
      </c>
      <c r="F126" t="inlineStr">
        <is>
          <t>VÄRMLANDS LÄN</t>
        </is>
      </c>
      <c r="G126" t="inlineStr">
        <is>
          <t>KRISTINEHAMN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46322</v>
      </c>
      <c r="F127" t="inlineStr">
        <is>
          <t>VÄRMLANDS LÄN</t>
        </is>
      </c>
      <c r="G127" t="inlineStr">
        <is>
          <t>KRISTINEHAMN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46322</v>
      </c>
      <c r="F128" t="inlineStr">
        <is>
          <t>VÄRMLANDS LÄN</t>
        </is>
      </c>
      <c r="G128" t="inlineStr">
        <is>
          <t>KRISTINEHAMN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46322</v>
      </c>
      <c r="F129" t="inlineStr">
        <is>
          <t>VÄRMLANDS LÄN</t>
        </is>
      </c>
      <c r="G129" t="inlineStr">
        <is>
          <t>KRISTINEHAMN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46190</v>
      </c>
      <c r="E130" s="1" t="n">
        <v>46322</v>
      </c>
      <c r="F130" t="inlineStr">
        <is>
          <t>VÄRMLANDS LÄN</t>
        </is>
      </c>
      <c r="G130" t="inlineStr">
        <is>
          <t>KRISTINEHAMN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44959</v>
      </c>
      <c r="E131" s="1" t="n">
        <v>46322</v>
      </c>
      <c r="F131" t="inlineStr">
        <is>
          <t>VÄRMLANDS LÄN</t>
        </is>
      </c>
      <c r="G131" t="inlineStr">
        <is>
          <t>KRISTINEHAMN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45118</v>
      </c>
      <c r="E132" s="1" t="n">
        <v>46322</v>
      </c>
      <c r="F132" t="inlineStr">
        <is>
          <t>VÄRMLANDS LÄN</t>
        </is>
      </c>
      <c r="G132" t="inlineStr">
        <is>
          <t>KRISTINEHAMN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46322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37742-2023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46322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44888</v>
      </c>
      <c r="E135" s="1" t="n">
        <v>46322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46322</v>
      </c>
      <c r="F136" t="inlineStr">
        <is>
          <t>VÄRMLANDS LÄN</t>
        </is>
      </c>
      <c r="G136" t="inlineStr">
        <is>
          <t>KRISTINEHAMN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45379</v>
      </c>
      <c r="E137" s="1" t="n">
        <v>46322</v>
      </c>
      <c r="F137" t="inlineStr">
        <is>
          <t>VÄRMLANDS LÄN</t>
        </is>
      </c>
      <c r="G137" t="inlineStr">
        <is>
          <t>KRISTINEHAMN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46322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Bergvik skog väst AB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28834-2024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45478</v>
      </c>
      <c r="E139" s="1" t="n">
        <v>46322</v>
      </c>
      <c r="F139" t="inlineStr">
        <is>
          <t>VÄRMLANDS LÄN</t>
        </is>
      </c>
      <c r="G139" t="inlineStr">
        <is>
          <t>KRISTINEHAMN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46322</v>
      </c>
      <c r="F140" t="inlineStr">
        <is>
          <t>VÄRMLANDS LÄN</t>
        </is>
      </c>
      <c r="G140" t="inlineStr">
        <is>
          <t>KRISTINEHAMN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45447</v>
      </c>
      <c r="E141" s="1" t="n">
        <v>46322</v>
      </c>
      <c r="F141" t="inlineStr">
        <is>
          <t>VÄRMLANDS LÄN</t>
        </is>
      </c>
      <c r="G141" t="inlineStr">
        <is>
          <t>KRISTINEHAMN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44770</v>
      </c>
      <c r="E142" s="1" t="n">
        <v>46322</v>
      </c>
      <c r="F142" t="inlineStr">
        <is>
          <t>VÄRMLANDS LÄN</t>
        </is>
      </c>
      <c r="G142" t="inlineStr">
        <is>
          <t>KRISTINEHAMN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45701</v>
      </c>
      <c r="E143" s="1" t="n">
        <v>46322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Naturvårdsverket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46322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45662</v>
      </c>
      <c r="E145" s="1" t="n">
        <v>46322</v>
      </c>
      <c r="F145" t="inlineStr">
        <is>
          <t>VÄRMLANDS LÄN</t>
        </is>
      </c>
      <c r="G145" t="inlineStr">
        <is>
          <t>KRISTINEHAMN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45959</v>
      </c>
      <c r="E146" s="1" t="n">
        <v>46322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46322</v>
      </c>
      <c r="F147" t="inlineStr">
        <is>
          <t>VÄRMLANDS LÄN</t>
        </is>
      </c>
      <c r="G147" t="inlineStr">
        <is>
          <t>KRISTINEHAMN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46322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45961</v>
      </c>
      <c r="E149" s="1" t="n">
        <v>46322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Naturvårdsverket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21602-2025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45783</v>
      </c>
      <c r="E150" s="1" t="n">
        <v>46322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46322</v>
      </c>
      <c r="F151" t="inlineStr">
        <is>
          <t>VÄRMLANDS LÄN</t>
        </is>
      </c>
      <c r="G151" t="inlineStr">
        <is>
          <t>KRISTINEHAMN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44588</v>
      </c>
      <c r="E152" s="1" t="n">
        <v>46322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45701</v>
      </c>
      <c r="E153" s="1" t="n">
        <v>46322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Naturvårdsverket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56315-2025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45974</v>
      </c>
      <c r="E154" s="1" t="n">
        <v>46322</v>
      </c>
      <c r="F154" t="inlineStr">
        <is>
          <t>VÄRMLANDS LÄN</t>
        </is>
      </c>
      <c r="G154" t="inlineStr">
        <is>
          <t>KRISTINEHAMN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44805</v>
      </c>
      <c r="E155" s="1" t="n">
        <v>46322</v>
      </c>
      <c r="F155" t="inlineStr">
        <is>
          <t>VÄRMLANDS LÄN</t>
        </is>
      </c>
      <c r="G155" t="inlineStr">
        <is>
          <t>KRISTINEHAMN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45044</v>
      </c>
      <c r="E156" s="1" t="n">
        <v>46322</v>
      </c>
      <c r="F156" t="inlineStr">
        <is>
          <t>VÄRMLANDS LÄN</t>
        </is>
      </c>
      <c r="G156" t="inlineStr">
        <is>
          <t>KRISTINEHAMN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46322</v>
      </c>
      <c r="F157" t="inlineStr">
        <is>
          <t>VÄRMLANDS LÄN</t>
        </is>
      </c>
      <c r="G157" t="inlineStr">
        <is>
          <t>KRISTINEHAMN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46322</v>
      </c>
      <c r="F158" t="inlineStr">
        <is>
          <t>VÄRMLANDS LÄN</t>
        </is>
      </c>
      <c r="G158" t="inlineStr">
        <is>
          <t>KRISTINEHAMN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46322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46322</v>
      </c>
      <c r="F160" t="inlineStr">
        <is>
          <t>VÄRMLANDS LÄN</t>
        </is>
      </c>
      <c r="G160" t="inlineStr">
        <is>
          <t>KRISTINEHAMN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23510-2025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45792</v>
      </c>
      <c r="E161" s="1" t="n">
        <v>46322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46322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46322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45792</v>
      </c>
      <c r="E164" s="1" t="n">
        <v>46322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46322</v>
      </c>
      <c r="F165" t="inlineStr">
        <is>
          <t>VÄRMLANDS LÄN</t>
        </is>
      </c>
      <c r="G165" t="inlineStr">
        <is>
          <t>KRISTINEHAMN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45686</v>
      </c>
      <c r="E166" s="1" t="n">
        <v>46322</v>
      </c>
      <c r="F166" t="inlineStr">
        <is>
          <t>VÄRMLANDS LÄN</t>
        </is>
      </c>
      <c r="G166" t="inlineStr">
        <is>
          <t>KRISTINEHAMN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46322</v>
      </c>
      <c r="F167" t="inlineStr">
        <is>
          <t>VÄRMLANDS LÄN</t>
        </is>
      </c>
      <c r="G167" t="inlineStr">
        <is>
          <t>KRISTINEHAMN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45407</v>
      </c>
      <c r="E168" s="1" t="n">
        <v>46322</v>
      </c>
      <c r="F168" t="inlineStr">
        <is>
          <t>VÄRMLANDS LÄN</t>
        </is>
      </c>
      <c r="G168" t="inlineStr">
        <is>
          <t>KRISTINEHAMN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45282</v>
      </c>
      <c r="E169" s="1" t="n">
        <v>46322</v>
      </c>
      <c r="F169" t="inlineStr">
        <is>
          <t>VÄRMLANDS LÄN</t>
        </is>
      </c>
      <c r="G169" t="inlineStr">
        <is>
          <t>KRISTINEHAMN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44741</v>
      </c>
      <c r="E170" s="1" t="n">
        <v>46322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46322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45575</v>
      </c>
      <c r="E172" s="1" t="n">
        <v>46322</v>
      </c>
      <c r="F172" t="inlineStr">
        <is>
          <t>VÄRMLANDS LÄN</t>
        </is>
      </c>
      <c r="G172" t="inlineStr">
        <is>
          <t>KRISTINEHAMN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45995</v>
      </c>
      <c r="E173" s="1" t="n">
        <v>46322</v>
      </c>
      <c r="F173" t="inlineStr">
        <is>
          <t>VÄRMLANDS LÄN</t>
        </is>
      </c>
      <c r="G173" t="inlineStr">
        <is>
          <t>KRISTINEHAMN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46322</v>
      </c>
      <c r="F174" t="inlineStr">
        <is>
          <t>VÄRMLANDS LÄN</t>
        </is>
      </c>
      <c r="G174" t="inlineStr">
        <is>
          <t>KRISTINEHAMN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46322</v>
      </c>
      <c r="F175" t="inlineStr">
        <is>
          <t>VÄRMLANDS LÄN</t>
        </is>
      </c>
      <c r="G175" t="inlineStr">
        <is>
          <t>KRISTINEHAMN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45798</v>
      </c>
      <c r="E176" s="1" t="n">
        <v>46322</v>
      </c>
      <c r="F176" t="inlineStr">
        <is>
          <t>VÄRMLANDS LÄN</t>
        </is>
      </c>
      <c r="G176" t="inlineStr">
        <is>
          <t>KRISTINEHAMN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60381-2025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45995</v>
      </c>
      <c r="E177" s="1" t="n">
        <v>46322</v>
      </c>
      <c r="F177" t="inlineStr">
        <is>
          <t>VÄRMLANDS LÄN</t>
        </is>
      </c>
      <c r="G177" t="inlineStr">
        <is>
          <t>KRISTINEHAMN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46322</v>
      </c>
      <c r="F178" t="inlineStr">
        <is>
          <t>VÄRMLANDS LÄN</t>
        </is>
      </c>
      <c r="G178" t="inlineStr">
        <is>
          <t>KRISTINEHAMN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46322</v>
      </c>
      <c r="F179" t="inlineStr">
        <is>
          <t>VÄRMLANDS LÄN</t>
        </is>
      </c>
      <c r="G179" t="inlineStr">
        <is>
          <t>KRISTINEHAMN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46322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Naturvårdsverket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45802</v>
      </c>
      <c r="E181" s="1" t="n">
        <v>46322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Naturvårdsverket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46322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46322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Bergvik skog väst AB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46322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46322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46322</v>
      </c>
      <c r="F186" t="inlineStr">
        <is>
          <t>VÄRMLANDS LÄN</t>
        </is>
      </c>
      <c r="G186" t="inlineStr">
        <is>
          <t>KRISTINEHAMN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46322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46001</v>
      </c>
      <c r="E188" s="1" t="n">
        <v>46322</v>
      </c>
      <c r="F188" t="inlineStr">
        <is>
          <t>VÄRMLANDS LÄN</t>
        </is>
      </c>
      <c r="G188" t="inlineStr">
        <is>
          <t>KRISTINEHAMN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44742</v>
      </c>
      <c r="E189" s="1" t="n">
        <v>46322</v>
      </c>
      <c r="F189" t="inlineStr">
        <is>
          <t>VÄRMLANDS LÄN</t>
        </is>
      </c>
      <c r="G189" t="inlineStr">
        <is>
          <t>KRISTINEHAMN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46322</v>
      </c>
      <c r="F190" t="inlineStr">
        <is>
          <t>VÄRMLANDS LÄN</t>
        </is>
      </c>
      <c r="G190" t="inlineStr">
        <is>
          <t>KRISTINEHAMN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45810</v>
      </c>
      <c r="E191" s="1" t="n">
        <v>46322</v>
      </c>
      <c r="F191" t="inlineStr">
        <is>
          <t>VÄRMLANDS LÄN</t>
        </is>
      </c>
      <c r="G191" t="inlineStr">
        <is>
          <t>KRISTINEHAMN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46322</v>
      </c>
      <c r="F192" t="inlineStr">
        <is>
          <t>VÄRMLANDS LÄN</t>
        </is>
      </c>
      <c r="G192" t="inlineStr">
        <is>
          <t>KRISTINEHAMN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46322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Bergvik skog väst AB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45370</v>
      </c>
      <c r="E194" s="1" t="n">
        <v>46322</v>
      </c>
      <c r="F194" t="inlineStr">
        <is>
          <t>VÄRMLANDS LÄN</t>
        </is>
      </c>
      <c r="G194" t="inlineStr">
        <is>
          <t>KRISTINEHAMN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26871-2025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45810</v>
      </c>
      <c r="E195" s="1" t="n">
        <v>46322</v>
      </c>
      <c r="F195" t="inlineStr">
        <is>
          <t>VÄRMLANDS LÄN</t>
        </is>
      </c>
      <c r="G195" t="inlineStr">
        <is>
          <t>KRISTINEHAMN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46003</v>
      </c>
      <c r="E196" s="1" t="n">
        <v>46322</v>
      </c>
      <c r="F196" t="inlineStr">
        <is>
          <t>VÄRMLANDS LÄN</t>
        </is>
      </c>
      <c r="G196" t="inlineStr">
        <is>
          <t>KRISTINEHAMN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46322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46322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Sveaskog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46322</v>
      </c>
      <c r="F199" t="inlineStr">
        <is>
          <t>VÄRMLANDS LÄN</t>
        </is>
      </c>
      <c r="G199" t="inlineStr">
        <is>
          <t>KRISTINEHAMN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46322</v>
      </c>
      <c r="F200" t="inlineStr">
        <is>
          <t>VÄRMLANDS LÄN</t>
        </is>
      </c>
      <c r="G200" t="inlineStr">
        <is>
          <t>KRISTINEHAMN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62349-2025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46322</v>
      </c>
      <c r="F201" t="inlineStr">
        <is>
          <t>VÄRMLANDS LÄN</t>
        </is>
      </c>
      <c r="G201" t="inlineStr">
        <is>
          <t>KRISTINEHAMN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46322</v>
      </c>
      <c r="F202" t="inlineStr">
        <is>
          <t>VÄRMLANDS LÄN</t>
        </is>
      </c>
      <c r="G202" t="inlineStr">
        <is>
          <t>KRISTINEHAMN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45820</v>
      </c>
      <c r="E203" s="1" t="n">
        <v>46322</v>
      </c>
      <c r="F203" t="inlineStr">
        <is>
          <t>VÄRMLANDS LÄN</t>
        </is>
      </c>
      <c r="G203" t="inlineStr">
        <is>
          <t>KRISTINEHAMN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63018-2025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46322</v>
      </c>
      <c r="F204" t="inlineStr">
        <is>
          <t>VÄRMLANDS LÄN</t>
        </is>
      </c>
      <c r="G204" t="inlineStr">
        <is>
          <t>KRISTINEHAMN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45364</v>
      </c>
      <c r="E205" s="1" t="n">
        <v>46322</v>
      </c>
      <c r="F205" t="inlineStr">
        <is>
          <t>VÄRMLANDS LÄN</t>
        </is>
      </c>
      <c r="G205" t="inlineStr">
        <is>
          <t>KRISTINEHAMN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46322</v>
      </c>
      <c r="F206" t="inlineStr">
        <is>
          <t>VÄRMLANDS LÄN</t>
        </is>
      </c>
      <c r="G206" t="inlineStr">
        <is>
          <t>KRISTINEHAMN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46322</v>
      </c>
      <c r="F207" t="inlineStr">
        <is>
          <t>VÄRMLANDS LÄN</t>
        </is>
      </c>
      <c r="G207" t="inlineStr">
        <is>
          <t>KRISTINEHAMN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46322</v>
      </c>
      <c r="F208" t="inlineStr">
        <is>
          <t>VÄRMLANDS LÄN</t>
        </is>
      </c>
      <c r="G208" t="inlineStr">
        <is>
          <t>KRISTINEHAMN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46322</v>
      </c>
      <c r="F209" t="inlineStr">
        <is>
          <t>VÄRMLANDS LÄN</t>
        </is>
      </c>
      <c r="G209" t="inlineStr">
        <is>
          <t>KRISTINEHAMN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46322</v>
      </c>
      <c r="F210" t="inlineStr">
        <is>
          <t>VÄRMLANDS LÄN</t>
        </is>
      </c>
      <c r="G210" t="inlineStr">
        <is>
          <t>KRISTINEHAMN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46322</v>
      </c>
      <c r="F211" t="inlineStr">
        <is>
          <t>VÄRMLANDS LÄN</t>
        </is>
      </c>
      <c r="G211" t="inlineStr">
        <is>
          <t>KRISTINEHAMN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46322</v>
      </c>
      <c r="F212" t="inlineStr">
        <is>
          <t>VÄRMLANDS LÄN</t>
        </is>
      </c>
      <c r="G212" t="inlineStr">
        <is>
          <t>KRISTINEHAMN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45678</v>
      </c>
      <c r="E213" s="1" t="n">
        <v>46322</v>
      </c>
      <c r="F213" t="inlineStr">
        <is>
          <t>VÄRMLANDS LÄN</t>
        </is>
      </c>
      <c r="G213" t="inlineStr">
        <is>
          <t>KRISTINEHAMN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46322</v>
      </c>
      <c r="F214" t="inlineStr">
        <is>
          <t>VÄRMLANDS LÄN</t>
        </is>
      </c>
      <c r="G214" t="inlineStr">
        <is>
          <t>KRISTINEHAMN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46322</v>
      </c>
      <c r="F215" t="inlineStr">
        <is>
          <t>VÄRMLANDS LÄN</t>
        </is>
      </c>
      <c r="G215" t="inlineStr">
        <is>
          <t>KRISTINEHAMN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46322</v>
      </c>
      <c r="F216" t="inlineStr">
        <is>
          <t>VÄRMLANDS LÄN</t>
        </is>
      </c>
      <c r="G216" t="inlineStr">
        <is>
          <t>KRISTINEHAMN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46322</v>
      </c>
      <c r="F217" t="inlineStr">
        <is>
          <t>VÄRMLANDS LÄN</t>
        </is>
      </c>
      <c r="G217" t="inlineStr">
        <is>
          <t>KRISTINEHAMN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46322</v>
      </c>
      <c r="F218" t="inlineStr">
        <is>
          <t>VÄRMLANDS LÄN</t>
        </is>
      </c>
      <c r="G218" t="inlineStr">
        <is>
          <t>KRISTINEHAMN</t>
        </is>
      </c>
      <c r="I218" t="n">
        <v>20.1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45664</v>
      </c>
      <c r="E219" s="1" t="n">
        <v>46322</v>
      </c>
      <c r="F219" t="inlineStr">
        <is>
          <t>VÄRMLANDS LÄN</t>
        </is>
      </c>
      <c r="G219" t="inlineStr">
        <is>
          <t>KRISTINEHAMN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45456</v>
      </c>
      <c r="E220" s="1" t="n">
        <v>46322</v>
      </c>
      <c r="F220" t="inlineStr">
        <is>
          <t>VÄRMLANDS LÄN</t>
        </is>
      </c>
      <c r="G220" t="inlineStr">
        <is>
          <t>KRISTINEHAMN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45666</v>
      </c>
      <c r="E221" s="1" t="n">
        <v>46322</v>
      </c>
      <c r="F221" t="inlineStr">
        <is>
          <t>VÄRMLANDS LÄN</t>
        </is>
      </c>
      <c r="G221" t="inlineStr">
        <is>
          <t>KRISTINEHAMN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39778-2023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46322</v>
      </c>
      <c r="F222" t="inlineStr">
        <is>
          <t>VÄRMLANDS LÄN</t>
        </is>
      </c>
      <c r="G222" t="inlineStr">
        <is>
          <t>KRISTINEHAMN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46322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46322</v>
      </c>
      <c r="F224" t="inlineStr">
        <is>
          <t>VÄRMLANDS LÄN</t>
        </is>
      </c>
      <c r="G224" t="inlineStr">
        <is>
          <t>KRISTINEHAMN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46322</v>
      </c>
      <c r="F225" t="inlineStr">
        <is>
          <t>VÄRMLANDS LÄN</t>
        </is>
      </c>
      <c r="G225" t="inlineStr">
        <is>
          <t>KRISTINEHAMN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46322</v>
      </c>
      <c r="F226" t="inlineStr">
        <is>
          <t>VÄRMLANDS LÄN</t>
        </is>
      </c>
      <c r="G226" t="inlineStr">
        <is>
          <t>KRISTINEHAMN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46322</v>
      </c>
      <c r="F227" t="inlineStr">
        <is>
          <t>VÄRMLANDS LÄN</t>
        </is>
      </c>
      <c r="G227" t="inlineStr">
        <is>
          <t>KRISTINEHAMN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45191</v>
      </c>
      <c r="E228" s="1" t="n">
        <v>46322</v>
      </c>
      <c r="F228" t="inlineStr">
        <is>
          <t>VÄRMLANDS LÄN</t>
        </is>
      </c>
      <c r="G228" t="inlineStr">
        <is>
          <t>KRISTINEHAMN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26042-2022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44734</v>
      </c>
      <c r="E229" s="1" t="n">
        <v>46322</v>
      </c>
      <c r="F229" t="inlineStr">
        <is>
          <t>VÄRMLANDS LÄN</t>
        </is>
      </c>
      <c r="G229" t="inlineStr">
        <is>
          <t>KRISTINEHAMN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46322</v>
      </c>
      <c r="F230" t="inlineStr">
        <is>
          <t>VÄRMLANDS LÄN</t>
        </is>
      </c>
      <c r="G230" t="inlineStr">
        <is>
          <t>KRISTINEHAMN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46322</v>
      </c>
      <c r="F231" t="inlineStr">
        <is>
          <t>VÄRMLANDS LÄN</t>
        </is>
      </c>
      <c r="G231" t="inlineStr">
        <is>
          <t>KRISTINEHAMN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45313</v>
      </c>
      <c r="E232" s="1" t="n">
        <v>46322</v>
      </c>
      <c r="F232" t="inlineStr">
        <is>
          <t>VÄRMLANDS LÄN</t>
        </is>
      </c>
      <c r="G232" t="inlineStr">
        <is>
          <t>KRISTINEHAMN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45647</v>
      </c>
      <c r="E233" s="1" t="n">
        <v>46322</v>
      </c>
      <c r="F233" t="inlineStr">
        <is>
          <t>VÄRMLANDS LÄN</t>
        </is>
      </c>
      <c r="G233" t="inlineStr">
        <is>
          <t>KRISTINEHAMN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46322</v>
      </c>
      <c r="F234" t="inlineStr">
        <is>
          <t>VÄRMLANDS LÄN</t>
        </is>
      </c>
      <c r="G234" t="inlineStr">
        <is>
          <t>KRISTINEHAMN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46322</v>
      </c>
      <c r="F235" t="inlineStr">
        <is>
          <t>VÄRMLANDS LÄN</t>
        </is>
      </c>
      <c r="G235" t="inlineStr">
        <is>
          <t>KRISTINEHAMN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46322</v>
      </c>
      <c r="F236" t="inlineStr">
        <is>
          <t>VÄRMLANDS LÄN</t>
        </is>
      </c>
      <c r="G236" t="inlineStr">
        <is>
          <t>KRISTINEHAMN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45202</v>
      </c>
      <c r="E237" s="1" t="n">
        <v>46322</v>
      </c>
      <c r="F237" t="inlineStr">
        <is>
          <t>VÄRMLANDS LÄN</t>
        </is>
      </c>
      <c r="G237" t="inlineStr">
        <is>
          <t>KRISTINEHAMN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46322</v>
      </c>
      <c r="F238" t="inlineStr">
        <is>
          <t>VÄRMLANDS LÄN</t>
        </is>
      </c>
      <c r="G238" t="inlineStr">
        <is>
          <t>KRISTINEHAMN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46322</v>
      </c>
      <c r="F239" t="inlineStr">
        <is>
          <t>VÄRMLANDS LÄN</t>
        </is>
      </c>
      <c r="G239" t="inlineStr">
        <is>
          <t>KRISTINEHAMN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44965</v>
      </c>
      <c r="E240" s="1" t="n">
        <v>46322</v>
      </c>
      <c r="F240" t="inlineStr">
        <is>
          <t>VÄRMLANDS LÄN</t>
        </is>
      </c>
      <c r="G240" t="inlineStr">
        <is>
          <t>KRISTINEHAMN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46322</v>
      </c>
      <c r="F241" t="inlineStr">
        <is>
          <t>VÄRMLANDS LÄN</t>
        </is>
      </c>
      <c r="G241" t="inlineStr">
        <is>
          <t>KRISTINEHAMN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46049</v>
      </c>
      <c r="E242" s="1" t="n">
        <v>46322</v>
      </c>
      <c r="F242" t="inlineStr">
        <is>
          <t>VÄRMLANDS LÄN</t>
        </is>
      </c>
      <c r="G242" t="inlineStr">
        <is>
          <t>KRISTINEHAMN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13459-2024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45387</v>
      </c>
      <c r="E243" s="1" t="n">
        <v>46322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Naturvårdsverket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46322</v>
      </c>
      <c r="F244" t="inlineStr">
        <is>
          <t>VÄRMLANDS LÄN</t>
        </is>
      </c>
      <c r="G244" t="inlineStr">
        <is>
          <t>KRISTINEHAMN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46322</v>
      </c>
      <c r="F245" t="inlineStr">
        <is>
          <t>VÄRMLANDS LÄN</t>
        </is>
      </c>
      <c r="G245" t="inlineStr">
        <is>
          <t>KRISTINEHAMN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6259-2026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46051</v>
      </c>
      <c r="E246" s="1" t="n">
        <v>46322</v>
      </c>
      <c r="F246" t="inlineStr">
        <is>
          <t>VÄRMLANDS LÄN</t>
        </is>
      </c>
      <c r="G246" t="inlineStr">
        <is>
          <t>KRISTINEHAMN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45876</v>
      </c>
      <c r="E247" s="1" t="n">
        <v>46322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45876</v>
      </c>
      <c r="E248" s="1" t="n">
        <v>46322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45252</v>
      </c>
      <c r="E249" s="1" t="n">
        <v>46322</v>
      </c>
      <c r="F249" t="inlineStr">
        <is>
          <t>VÄRMLANDS LÄN</t>
        </is>
      </c>
      <c r="G249" t="inlineStr">
        <is>
          <t>KRISTINEHAMN</t>
        </is>
      </c>
      <c r="I249" t="n">
        <v>19.4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45208</v>
      </c>
      <c r="E250" s="1" t="n">
        <v>46322</v>
      </c>
      <c r="F250" t="inlineStr">
        <is>
          <t>VÄRMLANDS LÄN</t>
        </is>
      </c>
      <c r="G250" t="inlineStr">
        <is>
          <t>KRISTINEHAMN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44656</v>
      </c>
      <c r="E251" s="1" t="n">
        <v>46322</v>
      </c>
      <c r="F251" t="inlineStr">
        <is>
          <t>VÄRMLANDS LÄN</t>
        </is>
      </c>
      <c r="G251" t="inlineStr">
        <is>
          <t>KRISTINEHAMN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45203</v>
      </c>
      <c r="E252" s="1" t="n">
        <v>46322</v>
      </c>
      <c r="F252" t="inlineStr">
        <is>
          <t>VÄRMLANDS LÄN</t>
        </is>
      </c>
      <c r="G252" t="inlineStr">
        <is>
          <t>KRISTINEHAMN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46322</v>
      </c>
      <c r="F253" t="inlineStr">
        <is>
          <t>VÄRMLANDS LÄN</t>
        </is>
      </c>
      <c r="G253" t="inlineStr">
        <is>
          <t>KRISTINEHAMN</t>
        </is>
      </c>
      <c r="I253" t="n">
        <v>15.9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46322</v>
      </c>
      <c r="F254" t="inlineStr">
        <is>
          <t>VÄRMLANDS LÄN</t>
        </is>
      </c>
      <c r="G254" t="inlineStr">
        <is>
          <t>KRISTINEHAMN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45681</v>
      </c>
      <c r="E255" s="1" t="n">
        <v>46322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Kommuner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45366</v>
      </c>
      <c r="E256" s="1" t="n">
        <v>46322</v>
      </c>
      <c r="F256" t="inlineStr">
        <is>
          <t>VÄRMLANDS LÄN</t>
        </is>
      </c>
      <c r="G256" t="inlineStr">
        <is>
          <t>KRISTINEHAMN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44648</v>
      </c>
      <c r="E257" s="1" t="n">
        <v>46322</v>
      </c>
      <c r="F257" t="inlineStr">
        <is>
          <t>VÄRMLANDS LÄN</t>
        </is>
      </c>
      <c r="G257" t="inlineStr">
        <is>
          <t>KRISTINEHAMN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45681</v>
      </c>
      <c r="E258" s="1" t="n">
        <v>46322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46322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Naturvårdsverket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45379</v>
      </c>
      <c r="E260" s="1" t="n">
        <v>46322</v>
      </c>
      <c r="F260" t="inlineStr">
        <is>
          <t>VÄRMLANDS LÄN</t>
        </is>
      </c>
      <c r="G260" t="inlineStr">
        <is>
          <t>KRISTINEHAMN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46322</v>
      </c>
      <c r="F261" t="inlineStr">
        <is>
          <t>VÄRMLANDS LÄN</t>
        </is>
      </c>
      <c r="G261" t="inlineStr">
        <is>
          <t>KRISTINEHAMN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46083</v>
      </c>
      <c r="E262" s="1" t="n">
        <v>46322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45361</v>
      </c>
      <c r="E263" s="1" t="n">
        <v>46322</v>
      </c>
      <c r="F263" t="inlineStr">
        <is>
          <t>VÄRMLANDS LÄN</t>
        </is>
      </c>
      <c r="G263" t="inlineStr">
        <is>
          <t>KRISTINEHAMN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46230</v>
      </c>
      <c r="E264" s="1" t="n">
        <v>46322</v>
      </c>
      <c r="F264" t="inlineStr">
        <is>
          <t>VÄRMLANDS LÄN</t>
        </is>
      </c>
      <c r="G264" t="inlineStr">
        <is>
          <t>KRISTINEHAMN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46322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46322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46322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46322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46322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Sveaskog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46322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Sveaskog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46281</v>
      </c>
      <c r="E271" s="1" t="n">
        <v>46322</v>
      </c>
      <c r="F271" t="inlineStr">
        <is>
          <t>VÄRMLANDS LÄN</t>
        </is>
      </c>
      <c r="G271" t="inlineStr">
        <is>
          <t>KRISTINEHAMN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46322</v>
      </c>
      <c r="F272" t="inlineStr">
        <is>
          <t>VÄRMLANDS LÄN</t>
        </is>
      </c>
      <c r="G272" t="inlineStr">
        <is>
          <t>KRISTINEHAMN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46322</v>
      </c>
      <c r="F273" t="inlineStr">
        <is>
          <t>VÄRMLANDS LÄN</t>
        </is>
      </c>
      <c r="G273" t="inlineStr">
        <is>
          <t>KRISTINEHAMN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45679</v>
      </c>
      <c r="E274" s="1" t="n">
        <v>46322</v>
      </c>
      <c r="F274" t="inlineStr">
        <is>
          <t>VÄRMLANDS LÄN</t>
        </is>
      </c>
      <c r="G274" t="inlineStr">
        <is>
          <t>KRISTINEHAMN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45450</v>
      </c>
      <c r="E275" s="1" t="n">
        <v>46322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Kommuner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68526-2021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44526</v>
      </c>
      <c r="E276" s="1" t="n">
        <v>46322</v>
      </c>
      <c r="F276" t="inlineStr">
        <is>
          <t>VÄRMLANDS LÄN</t>
        </is>
      </c>
      <c r="G276" t="inlineStr">
        <is>
          <t>KRISTINEHAMN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68530-2021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44526</v>
      </c>
      <c r="E277" s="1" t="n">
        <v>46322</v>
      </c>
      <c r="F277" t="inlineStr">
        <is>
          <t>VÄRMLANDS LÄN</t>
        </is>
      </c>
      <c r="G277" t="inlineStr">
        <is>
          <t>KRISTINEHAMN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14757-2026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46322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46322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44712</v>
      </c>
      <c r="E280" s="1" t="n">
        <v>46322</v>
      </c>
      <c r="F280" t="inlineStr">
        <is>
          <t>VÄRMLANDS LÄN</t>
        </is>
      </c>
      <c r="G280" t="inlineStr">
        <is>
          <t>KRISTINEHAMN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45639</v>
      </c>
      <c r="E281" s="1" t="n">
        <v>46322</v>
      </c>
      <c r="F281" t="inlineStr">
        <is>
          <t>VÄRMLANDS LÄN</t>
        </is>
      </c>
      <c r="G281" t="inlineStr">
        <is>
          <t>KRISTINEHAMN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45068</v>
      </c>
      <c r="E282" s="1" t="n">
        <v>46322</v>
      </c>
      <c r="F282" t="inlineStr">
        <is>
          <t>VÄRMLANDS LÄN</t>
        </is>
      </c>
      <c r="G282" t="inlineStr">
        <is>
          <t>KRISTINEHAMN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45631</v>
      </c>
      <c r="E283" s="1" t="n">
        <v>46322</v>
      </c>
      <c r="F283" t="inlineStr">
        <is>
          <t>VÄRMLANDS LÄN</t>
        </is>
      </c>
      <c r="G283" t="inlineStr">
        <is>
          <t>KRISTINEHAMN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15646-2026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46106</v>
      </c>
      <c r="E284" s="1" t="n">
        <v>46322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46281</v>
      </c>
      <c r="E285" s="1" t="n">
        <v>46322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29526-2022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44753</v>
      </c>
      <c r="E286" s="1" t="n">
        <v>46322</v>
      </c>
      <c r="F286" t="inlineStr">
        <is>
          <t>VÄRMLANDS LÄN</t>
        </is>
      </c>
      <c r="G286" t="inlineStr">
        <is>
          <t>KRISTINEHAMN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45477</v>
      </c>
      <c r="E287" s="1" t="n">
        <v>46322</v>
      </c>
      <c r="F287" t="inlineStr">
        <is>
          <t>VÄRMLANDS LÄN</t>
        </is>
      </c>
      <c r="G287" t="inlineStr">
        <is>
          <t>KRISTINEHAMN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46322</v>
      </c>
      <c r="F288" t="inlineStr">
        <is>
          <t>VÄRMLANDS LÄN</t>
        </is>
      </c>
      <c r="G288" t="inlineStr">
        <is>
          <t>KRISTINEHAMN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44923</v>
      </c>
      <c r="E289" s="1" t="n">
        <v>46322</v>
      </c>
      <c r="F289" t="inlineStr">
        <is>
          <t>VÄRMLANDS LÄN</t>
        </is>
      </c>
      <c r="G289" t="inlineStr">
        <is>
          <t>KRISTINEHAMN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46322</v>
      </c>
      <c r="F290" t="inlineStr">
        <is>
          <t>VÄRMLANDS LÄN</t>
        </is>
      </c>
      <c r="G290" t="inlineStr">
        <is>
          <t>KRISTINEHAMN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45268</v>
      </c>
      <c r="E291" s="1" t="n">
        <v>46322</v>
      </c>
      <c r="F291" t="inlineStr">
        <is>
          <t>VÄRMLANDS LÄN</t>
        </is>
      </c>
      <c r="G291" t="inlineStr">
        <is>
          <t>KRISTINEHAMN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46322</v>
      </c>
      <c r="F292" t="inlineStr">
        <is>
          <t>VÄRMLANDS LÄN</t>
        </is>
      </c>
      <c r="G292" t="inlineStr">
        <is>
          <t>KRISTINEHAMN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46282</v>
      </c>
      <c r="E293" s="1" t="n">
        <v>46322</v>
      </c>
      <c r="F293" t="inlineStr">
        <is>
          <t>VÄRMLANDS LÄN</t>
        </is>
      </c>
      <c r="G293" t="inlineStr">
        <is>
          <t>KRISTINEHAMN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32821-2023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45112</v>
      </c>
      <c r="E294" s="1" t="n">
        <v>46322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46129</v>
      </c>
      <c r="E295" s="1" t="n">
        <v>46322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45625</v>
      </c>
      <c r="E296" s="1" t="n">
        <v>46322</v>
      </c>
      <c r="F296" t="inlineStr">
        <is>
          <t>VÄRMLANDS LÄN</t>
        </is>
      </c>
      <c r="G296" t="inlineStr">
        <is>
          <t>KRISTINEHAMN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39781-2023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45167</v>
      </c>
      <c r="E297" s="1" t="n">
        <v>46322</v>
      </c>
      <c r="F297" t="inlineStr">
        <is>
          <t>VÄRMLANDS LÄN</t>
        </is>
      </c>
      <c r="G297" t="inlineStr">
        <is>
          <t>KRISTINEHAMN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32821-2023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45112</v>
      </c>
      <c r="E298" s="1" t="n">
        <v>46322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Kommuner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46282</v>
      </c>
      <c r="E299" s="1" t="n">
        <v>46322</v>
      </c>
      <c r="F299" t="inlineStr">
        <is>
          <t>VÄRMLANDS LÄN</t>
        </is>
      </c>
      <c r="G299" t="inlineStr">
        <is>
          <t>KRISTINEHAMN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46282</v>
      </c>
      <c r="E300" s="1" t="n">
        <v>46322</v>
      </c>
      <c r="F300" t="inlineStr">
        <is>
          <t>VÄRMLANDS LÄN</t>
        </is>
      </c>
      <c r="G300" t="inlineStr">
        <is>
          <t>KRISTINEHAMN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19226-2026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46322</v>
      </c>
      <c r="F301" t="inlineStr">
        <is>
          <t>VÄRMLANDS LÄN</t>
        </is>
      </c>
      <c r="G301" t="inlineStr">
        <is>
          <t>KRISTINEHAMN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45804</v>
      </c>
      <c r="E302" s="1" t="n">
        <v>46322</v>
      </c>
      <c r="F302" t="inlineStr">
        <is>
          <t>VÄRMLANDS LÄN</t>
        </is>
      </c>
      <c r="G302" t="inlineStr">
        <is>
          <t>KRISTINEHAMN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46322</v>
      </c>
      <c r="F303" t="inlineStr">
        <is>
          <t>VÄRMLANDS LÄN</t>
        </is>
      </c>
      <c r="G303" t="inlineStr">
        <is>
          <t>KRISTINEHAMN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20102-2026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46322</v>
      </c>
      <c r="F304" t="inlineStr">
        <is>
          <t>VÄRMLANDS LÄN</t>
        </is>
      </c>
      <c r="G304" t="inlineStr">
        <is>
          <t>KRISTINEHAMN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46322</v>
      </c>
      <c r="F305" t="inlineStr">
        <is>
          <t>VÄRMLANDS LÄN</t>
        </is>
      </c>
      <c r="G305" t="inlineStr">
        <is>
          <t>KRISTINEHAMN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27077-2025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46322</v>
      </c>
      <c r="F306" t="inlineStr">
        <is>
          <t>VÄRMLANDS LÄN</t>
        </is>
      </c>
      <c r="G306" t="inlineStr">
        <is>
          <t>KRISTINEHAMN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46322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Naturvårdsverket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45666</v>
      </c>
      <c r="E308" s="1" t="n">
        <v>46322</v>
      </c>
      <c r="F308" t="inlineStr">
        <is>
          <t>VÄRMLANDS LÄN</t>
        </is>
      </c>
      <c r="G308" t="inlineStr">
        <is>
          <t>KRISTINEHAMN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38840-2026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46286</v>
      </c>
      <c r="E309" s="1" t="n">
        <v>46322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46322</v>
      </c>
      <c r="F310" t="inlineStr">
        <is>
          <t>VÄRMLANDS LÄN</t>
        </is>
      </c>
      <c r="G310" t="inlineStr">
        <is>
          <t>KRISTINEHAMN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46322</v>
      </c>
      <c r="F311" t="inlineStr">
        <is>
          <t>VÄRMLANDS LÄN</t>
        </is>
      </c>
      <c r="G311" t="inlineStr">
        <is>
          <t>KRISTINEHAMN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62777-2023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45268</v>
      </c>
      <c r="E312" s="1" t="n">
        <v>46322</v>
      </c>
      <c r="F312" t="inlineStr">
        <is>
          <t>VÄRMLANDS LÄN</t>
        </is>
      </c>
      <c r="G312" t="inlineStr">
        <is>
          <t>KRISTINEHAMN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46322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45461</v>
      </c>
      <c r="E314" s="1" t="n">
        <v>46322</v>
      </c>
      <c r="F314" t="inlineStr">
        <is>
          <t>VÄRMLANDS LÄN</t>
        </is>
      </c>
      <c r="G314" t="inlineStr">
        <is>
          <t>KRISTINEHAMN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45313</v>
      </c>
      <c r="E315" s="1" t="n">
        <v>46322</v>
      </c>
      <c r="F315" t="inlineStr">
        <is>
          <t>VÄRMLANDS LÄN</t>
        </is>
      </c>
      <c r="G315" t="inlineStr">
        <is>
          <t>KRISTINEHAMN</t>
        </is>
      </c>
      <c r="I315" t="n">
        <v>11.2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44595</v>
      </c>
      <c r="E316" s="1" t="n">
        <v>46322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Kommuner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44595</v>
      </c>
      <c r="E317" s="1" t="n">
        <v>46322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Kommuner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45302</v>
      </c>
      <c r="E318" s="1" t="n">
        <v>46322</v>
      </c>
      <c r="F318" t="inlineStr">
        <is>
          <t>VÄRMLANDS LÄN</t>
        </is>
      </c>
      <c r="G318" t="inlineStr">
        <is>
          <t>KRISTINEHAMN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46322</v>
      </c>
      <c r="F319" t="inlineStr">
        <is>
          <t>VÄRMLANDS LÄN</t>
        </is>
      </c>
      <c r="G319" t="inlineStr">
        <is>
          <t>KRISTINEHAMN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47915-2022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44855</v>
      </c>
      <c r="E320" s="1" t="n">
        <v>46322</v>
      </c>
      <c r="F320" t="inlineStr">
        <is>
          <t>VÄRMLANDS LÄN</t>
        </is>
      </c>
      <c r="G320" t="inlineStr">
        <is>
          <t>KRISTINEHAMN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20168-2026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46322</v>
      </c>
      <c r="F321" t="inlineStr">
        <is>
          <t>VÄRMLANDS LÄN</t>
        </is>
      </c>
      <c r="G321" t="inlineStr">
        <is>
          <t>KRISTINEHAMN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45636</v>
      </c>
      <c r="E322" s="1" t="n">
        <v>46322</v>
      </c>
      <c r="F322" t="inlineStr">
        <is>
          <t>VÄRMLANDS LÄN</t>
        </is>
      </c>
      <c r="G322" t="inlineStr">
        <is>
          <t>KRISTINEHAMN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46322</v>
      </c>
      <c r="F323" t="inlineStr">
        <is>
          <t>VÄRMLANDS LÄN</t>
        </is>
      </c>
      <c r="G323" t="inlineStr">
        <is>
          <t>KRISTINEHAMN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45478</v>
      </c>
      <c r="E324" s="1" t="n">
        <v>46322</v>
      </c>
      <c r="F324" t="inlineStr">
        <is>
          <t>VÄRMLANDS LÄN</t>
        </is>
      </c>
      <c r="G324" t="inlineStr">
        <is>
          <t>KRISTINEHAMN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45478</v>
      </c>
      <c r="E325" s="1" t="n">
        <v>46322</v>
      </c>
      <c r="F325" t="inlineStr">
        <is>
          <t>VÄRMLANDS LÄN</t>
        </is>
      </c>
      <c r="G325" t="inlineStr">
        <is>
          <t>KRISTINEHAMN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46322</v>
      </c>
      <c r="F326" t="inlineStr">
        <is>
          <t>VÄRMLANDS LÄN</t>
        </is>
      </c>
      <c r="G326" t="inlineStr">
        <is>
          <t>KRISTINEHAMN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46140</v>
      </c>
      <c r="E327" s="1" t="n">
        <v>46322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Bergvik skog väst AB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46322</v>
      </c>
      <c r="F328" t="inlineStr">
        <is>
          <t>VÄRMLANDS LÄN</t>
        </is>
      </c>
      <c r="G328" t="inlineStr">
        <is>
          <t>KRISTINEHAMN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46322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Naturvårdsverket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46322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Naturvårdsverket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28152-2022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44746</v>
      </c>
      <c r="E331" s="1" t="n">
        <v>46322</v>
      </c>
      <c r="F331" t="inlineStr">
        <is>
          <t>VÄRMLANDS LÄN</t>
        </is>
      </c>
      <c r="G331" t="inlineStr">
        <is>
          <t>KRISTINEHAMN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45600</v>
      </c>
      <c r="E332" s="1" t="n">
        <v>46322</v>
      </c>
      <c r="F332" t="inlineStr">
        <is>
          <t>VÄRMLANDS LÄN</t>
        </is>
      </c>
      <c r="G332" t="inlineStr">
        <is>
          <t>KRISTINEHAMN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46322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Naturvårdsverket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45127</v>
      </c>
      <c r="E334" s="1" t="n">
        <v>46322</v>
      </c>
      <c r="F334" t="inlineStr">
        <is>
          <t>VÄRMLANDS LÄN</t>
        </is>
      </c>
      <c r="G334" t="inlineStr">
        <is>
          <t>KRISTINEHAMN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46322</v>
      </c>
      <c r="F335" t="inlineStr">
        <is>
          <t>VÄRMLANDS LÄN</t>
        </is>
      </c>
      <c r="G335" t="inlineStr">
        <is>
          <t>KRISTINEHAMN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44941</v>
      </c>
      <c r="E336" s="1" t="n">
        <v>46322</v>
      </c>
      <c r="F336" t="inlineStr">
        <is>
          <t>VÄRMLANDS LÄN</t>
        </is>
      </c>
      <c r="G336" t="inlineStr">
        <is>
          <t>KRISTINEHAMN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46322</v>
      </c>
      <c r="F337" t="inlineStr">
        <is>
          <t>VÄRMLANDS LÄN</t>
        </is>
      </c>
      <c r="G337" t="inlineStr">
        <is>
          <t>KRISTINEHAMN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45121</v>
      </c>
      <c r="E338" s="1" t="n">
        <v>46322</v>
      </c>
      <c r="F338" t="inlineStr">
        <is>
          <t>VÄRMLANDS LÄN</t>
        </is>
      </c>
      <c r="G338" t="inlineStr">
        <is>
          <t>KRISTINEHAMN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45198</v>
      </c>
      <c r="E339" s="1" t="n">
        <v>46322</v>
      </c>
      <c r="F339" t="inlineStr">
        <is>
          <t>VÄRMLANDS LÄN</t>
        </is>
      </c>
      <c r="G339" t="inlineStr">
        <is>
          <t>KRISTINEHAMN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45625</v>
      </c>
      <c r="E340" s="1" t="n">
        <v>46322</v>
      </c>
      <c r="F340" t="inlineStr">
        <is>
          <t>VÄRMLANDS LÄN</t>
        </is>
      </c>
      <c r="G340" t="inlineStr">
        <is>
          <t>KRISTINEHAMN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23246-2024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45450</v>
      </c>
      <c r="E341" s="1" t="n">
        <v>46322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45593</v>
      </c>
      <c r="E342" s="1" t="n">
        <v>46322</v>
      </c>
      <c r="F342" t="inlineStr">
        <is>
          <t>VÄRMLANDS LÄN</t>
        </is>
      </c>
      <c r="G342" t="inlineStr">
        <is>
          <t>KRISTINEHAMN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22060-2026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46149</v>
      </c>
      <c r="E343" s="1" t="n">
        <v>46322</v>
      </c>
      <c r="F343" t="inlineStr">
        <is>
          <t>VÄRMLANDS LÄN</t>
        </is>
      </c>
      <c r="G343" t="inlineStr">
        <is>
          <t>KRISTINEHAMN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40141-2026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46293</v>
      </c>
      <c r="E344" s="1" t="n">
        <v>46322</v>
      </c>
      <c r="F344" t="inlineStr">
        <is>
          <t>VÄRMLANDS LÄN</t>
        </is>
      </c>
      <c r="G344" t="inlineStr">
        <is>
          <t>KRISTINEHAMN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46150</v>
      </c>
      <c r="E345" s="1" t="n">
        <v>46322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21842-2026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46150</v>
      </c>
      <c r="E346" s="1" t="n">
        <v>46322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46154</v>
      </c>
      <c r="E347" s="1" t="n">
        <v>46322</v>
      </c>
      <c r="F347" t="inlineStr">
        <is>
          <t>VÄRMLANDS LÄN</t>
        </is>
      </c>
      <c r="G347" t="inlineStr">
        <is>
          <t>KRISTINEHAMN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45341</v>
      </c>
      <c r="E348" s="1" t="n">
        <v>46322</v>
      </c>
      <c r="F348" t="inlineStr">
        <is>
          <t>VÄRMLANDS LÄN</t>
        </is>
      </c>
      <c r="G348" t="inlineStr">
        <is>
          <t>KRISTINEHAMN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45569</v>
      </c>
      <c r="E349" s="1" t="n">
        <v>46322</v>
      </c>
      <c r="F349" t="inlineStr">
        <is>
          <t>VÄRMLANDS LÄN</t>
        </is>
      </c>
      <c r="G349" t="inlineStr">
        <is>
          <t>KRISTINEHAMN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46322</v>
      </c>
      <c r="F350" t="inlineStr">
        <is>
          <t>VÄRMLANDS LÄN</t>
        </is>
      </c>
      <c r="G350" t="inlineStr">
        <is>
          <t>KRISTINEHAMN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45749</v>
      </c>
      <c r="E351" s="1" t="n">
        <v>46322</v>
      </c>
      <c r="F351" t="inlineStr">
        <is>
          <t>VÄRMLANDS LÄN</t>
        </is>
      </c>
      <c r="G351" t="inlineStr">
        <is>
          <t>KRISTINEHAMN</t>
        </is>
      </c>
      <c r="I351" t="n">
        <v>7.6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46322</v>
      </c>
      <c r="F352" t="inlineStr">
        <is>
          <t>VÄRMLANDS LÄN</t>
        </is>
      </c>
      <c r="G352" t="inlineStr">
        <is>
          <t>KRISTINEHAMN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45110</v>
      </c>
      <c r="E353" s="1" t="n">
        <v>46322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42408-2022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44831</v>
      </c>
      <c r="E354" s="1" t="n">
        <v>46322</v>
      </c>
      <c r="F354" t="inlineStr">
        <is>
          <t>VÄRMLANDS LÄN</t>
        </is>
      </c>
      <c r="G354" t="inlineStr">
        <is>
          <t>KRISTINEHAMN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24710-2024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45460</v>
      </c>
      <c r="E355" s="1" t="n">
        <v>46322</v>
      </c>
      <c r="F355" t="inlineStr">
        <is>
          <t>VÄRMLANDS LÄN</t>
        </is>
      </c>
      <c r="G355" t="inlineStr">
        <is>
          <t>KRISTINEHAMN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46322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45401</v>
      </c>
      <c r="E357" s="1" t="n">
        <v>46322</v>
      </c>
      <c r="F357" t="inlineStr">
        <is>
          <t>VÄRMLANDS LÄN</t>
        </is>
      </c>
      <c r="G357" t="inlineStr">
        <is>
          <t>KRISTINEHAMN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61942-2022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46322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Kommuner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41857-2023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45176</v>
      </c>
      <c r="E359" s="1" t="n">
        <v>46322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Naturvårdsverket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46322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45243</v>
      </c>
      <c r="E361" s="1" t="n">
        <v>46322</v>
      </c>
      <c r="F361" t="inlineStr">
        <is>
          <t>VÄRMLANDS LÄN</t>
        </is>
      </c>
      <c r="G361" t="inlineStr">
        <is>
          <t>KRISTINEHAMN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46322</v>
      </c>
      <c r="F362" t="inlineStr">
        <is>
          <t>VÄRMLANDS LÄN</t>
        </is>
      </c>
      <c r="G362" t="inlineStr">
        <is>
          <t>KRISTINEHAMN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46322</v>
      </c>
      <c r="F363" t="inlineStr">
        <is>
          <t>VÄRMLANDS LÄN</t>
        </is>
      </c>
      <c r="G363" t="inlineStr">
        <is>
          <t>KRISTINEHAMN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46322</v>
      </c>
      <c r="F364" t="inlineStr">
        <is>
          <t>VÄRMLANDS LÄN</t>
        </is>
      </c>
      <c r="G364" t="inlineStr">
        <is>
          <t>KRISTINEHAMN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45302</v>
      </c>
      <c r="E365" s="1" t="n">
        <v>46322</v>
      </c>
      <c r="F365" t="inlineStr">
        <is>
          <t>VÄRMLANDS LÄN</t>
        </is>
      </c>
      <c r="G365" t="inlineStr">
        <is>
          <t>KRISTINEHAMN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23704-2022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44722</v>
      </c>
      <c r="E366" s="1" t="n">
        <v>46322</v>
      </c>
      <c r="F366" t="inlineStr">
        <is>
          <t>VÄRMLANDS LÄN</t>
        </is>
      </c>
      <c r="G366" t="inlineStr">
        <is>
          <t>KRISTINEHAMN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23706-2022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44722</v>
      </c>
      <c r="E367" s="1" t="n">
        <v>46322</v>
      </c>
      <c r="F367" t="inlineStr">
        <is>
          <t>VÄRMLANDS LÄN</t>
        </is>
      </c>
      <c r="G367" t="inlineStr">
        <is>
          <t>KRISTINEHAMN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45002</v>
      </c>
      <c r="E368" s="1" t="n">
        <v>46322</v>
      </c>
      <c r="F368" t="inlineStr">
        <is>
          <t>VÄRMLANDS LÄN</t>
        </is>
      </c>
      <c r="G368" t="inlineStr">
        <is>
          <t>KRISTINEHAMN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46287</v>
      </c>
      <c r="E369" s="1" t="n">
        <v>46322</v>
      </c>
      <c r="F369" t="inlineStr">
        <is>
          <t>VÄRMLANDS LÄN</t>
        </is>
      </c>
      <c r="G369" t="inlineStr">
        <is>
          <t>KRISTINEHAMN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17110-2022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44677</v>
      </c>
      <c r="E370" s="1" t="n">
        <v>46322</v>
      </c>
      <c r="F370" t="inlineStr">
        <is>
          <t>VÄRMLANDS LÄN</t>
        </is>
      </c>
      <c r="G370" t="inlineStr">
        <is>
          <t>KRISTINEHAMN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47398-2023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46322</v>
      </c>
      <c r="F371" t="inlineStr">
        <is>
          <t>VÄRMLANDS LÄN</t>
        </is>
      </c>
      <c r="G371" t="inlineStr">
        <is>
          <t>KRISTINEHAMN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24570-2026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46170</v>
      </c>
      <c r="E372" s="1" t="n">
        <v>46322</v>
      </c>
      <c r="F372" t="inlineStr">
        <is>
          <t>VÄRMLANDS LÄN</t>
        </is>
      </c>
      <c r="G372" t="inlineStr">
        <is>
          <t>KRISTINEHAMN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46322</v>
      </c>
      <c r="F373" t="inlineStr">
        <is>
          <t>VÄRMLANDS LÄN</t>
        </is>
      </c>
      <c r="G373" t="inlineStr">
        <is>
          <t>KRISTINEHAMN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46322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45302</v>
      </c>
      <c r="E375" s="1" t="n">
        <v>46322</v>
      </c>
      <c r="F375" t="inlineStr">
        <is>
          <t>VÄRMLANDS LÄN</t>
        </is>
      </c>
      <c r="G375" t="inlineStr">
        <is>
          <t>KRISTINEHAMN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25258-2026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46175</v>
      </c>
      <c r="E376" s="1" t="n">
        <v>46322</v>
      </c>
      <c r="F376" t="inlineStr">
        <is>
          <t>VÄRMLANDS LÄN</t>
        </is>
      </c>
      <c r="G376" t="inlineStr">
        <is>
          <t>KRISTINEHAMN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46213</v>
      </c>
      <c r="E377" s="1" t="n">
        <v>46322</v>
      </c>
      <c r="F377" t="inlineStr">
        <is>
          <t>VÄRMLANDS LÄN</t>
        </is>
      </c>
      <c r="G377" t="inlineStr">
        <is>
          <t>KRISTINEHAMN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45393</v>
      </c>
      <c r="E378" s="1" t="n">
        <v>46322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46322</v>
      </c>
      <c r="F379" t="inlineStr">
        <is>
          <t>VÄRMLANDS LÄN</t>
        </is>
      </c>
      <c r="G379" t="inlineStr">
        <is>
          <t>KRISTINEHAMN</t>
        </is>
      </c>
      <c r="I379" t="n">
        <v>8.199999999999999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45058</v>
      </c>
      <c r="E380" s="1" t="n">
        <v>46322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Kommuner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21688-2024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45442</v>
      </c>
      <c r="E381" s="1" t="n">
        <v>46322</v>
      </c>
      <c r="F381" t="inlineStr">
        <is>
          <t>VÄRMLANDS LÄN</t>
        </is>
      </c>
      <c r="G381" t="inlineStr">
        <is>
          <t>KRISTINEHAMN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45226</v>
      </c>
      <c r="E382" s="1" t="n">
        <v>46322</v>
      </c>
      <c r="F382" t="inlineStr">
        <is>
          <t>VÄRMLANDS LÄN</t>
        </is>
      </c>
      <c r="G382" t="inlineStr">
        <is>
          <t>KRISTINEHAMN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45226</v>
      </c>
      <c r="E383" s="1" t="n">
        <v>46322</v>
      </c>
      <c r="F383" t="inlineStr">
        <is>
          <t>VÄRMLANDS LÄN</t>
        </is>
      </c>
      <c r="G383" t="inlineStr">
        <is>
          <t>KRISTINEHAMN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2522-2026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46037</v>
      </c>
      <c r="E384" s="1" t="n">
        <v>46322</v>
      </c>
      <c r="F384" t="inlineStr">
        <is>
          <t>VÄRMLANDS LÄN</t>
        </is>
      </c>
      <c r="G384" t="inlineStr">
        <is>
          <t>KRISTINEHAMN</t>
        </is>
      </c>
      <c r="I384" t="n">
        <v>11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45260</v>
      </c>
      <c r="E385" s="1" t="n">
        <v>46322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3316-2025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45679</v>
      </c>
      <c r="E386" s="1" t="n">
        <v>46322</v>
      </c>
      <c r="F386" t="inlineStr">
        <is>
          <t>VÄRMLANDS LÄN</t>
        </is>
      </c>
      <c r="G386" t="inlineStr">
        <is>
          <t>KRISTINEHAMN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12416-2024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45379</v>
      </c>
      <c r="E387" s="1" t="n">
        <v>46322</v>
      </c>
      <c r="F387" t="inlineStr">
        <is>
          <t>VÄRMLANDS LÄN</t>
        </is>
      </c>
      <c r="G387" t="inlineStr">
        <is>
          <t>KRISTINEHAMN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12423-2024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45379</v>
      </c>
      <c r="E388" s="1" t="n">
        <v>46322</v>
      </c>
      <c r="F388" t="inlineStr">
        <is>
          <t>VÄRMLANDS LÄN</t>
        </is>
      </c>
      <c r="G388" t="inlineStr">
        <is>
          <t>KRISTINEHAMN</t>
        </is>
      </c>
      <c r="I388" t="n">
        <v>12.6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46302</v>
      </c>
      <c r="E389" s="1" t="n">
        <v>46322</v>
      </c>
      <c r="F389" t="inlineStr">
        <is>
          <t>VÄRMLANDS LÄN</t>
        </is>
      </c>
      <c r="G389" t="inlineStr">
        <is>
          <t>KRISTINEHAMN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54690-2022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44883</v>
      </c>
      <c r="E390" s="1" t="n">
        <v>46322</v>
      </c>
      <c r="F390" t="inlineStr">
        <is>
          <t>VÄRMLANDS LÄN</t>
        </is>
      </c>
      <c r="G390" t="inlineStr">
        <is>
          <t>KRISTINEHAMN</t>
        </is>
      </c>
      <c r="I390" t="n">
        <v>11.1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45188</v>
      </c>
      <c r="E391" s="1" t="n">
        <v>46322</v>
      </c>
      <c r="F391" t="inlineStr">
        <is>
          <t>VÄRMLANDS LÄN</t>
        </is>
      </c>
      <c r="G391" t="inlineStr">
        <is>
          <t>KRISTINEHAMN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22896-2023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45072</v>
      </c>
      <c r="E392" s="1" t="n">
        <v>46322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10032-2023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44985</v>
      </c>
      <c r="E393" s="1" t="n">
        <v>46322</v>
      </c>
      <c r="F393" t="inlineStr">
        <is>
          <t>VÄRMLANDS LÄN</t>
        </is>
      </c>
      <c r="G393" t="inlineStr">
        <is>
          <t>KRISTINEHAMN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46322</v>
      </c>
      <c r="F394" t="inlineStr">
        <is>
          <t>VÄRMLANDS LÄN</t>
        </is>
      </c>
      <c r="G394" t="inlineStr">
        <is>
          <t>KRISTINEHAMN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47091-2022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44851</v>
      </c>
      <c r="E395" s="1" t="n">
        <v>46322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Kommuner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45181</v>
      </c>
      <c r="E396" s="1" t="n">
        <v>46322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46322</v>
      </c>
      <c r="F397" t="inlineStr">
        <is>
          <t>VÄRMLANDS LÄN</t>
        </is>
      </c>
      <c r="G397" t="inlineStr">
        <is>
          <t>KRISTINEHAMN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12319-2022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44637</v>
      </c>
      <c r="E398" s="1" t="n">
        <v>46322</v>
      </c>
      <c r="F398" t="inlineStr">
        <is>
          <t>VÄRMLANDS LÄN</t>
        </is>
      </c>
      <c r="G398" t="inlineStr">
        <is>
          <t>KRISTINEHAMN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45513</v>
      </c>
      <c r="E399" s="1" t="n">
        <v>46322</v>
      </c>
      <c r="F399" t="inlineStr">
        <is>
          <t>VÄRMLANDS LÄN</t>
        </is>
      </c>
      <c r="G399" t="inlineStr">
        <is>
          <t>KRISTINEHAMN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34893-2023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45141</v>
      </c>
      <c r="E400" s="1" t="n">
        <v>46322</v>
      </c>
      <c r="F400" t="inlineStr">
        <is>
          <t>VÄRMLANDS LÄN</t>
        </is>
      </c>
      <c r="G400" t="inlineStr">
        <is>
          <t>KRISTINEHAMN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45386</v>
      </c>
      <c r="E401" s="1" t="n">
        <v>46322</v>
      </c>
      <c r="F401" t="inlineStr">
        <is>
          <t>VÄRMLANDS LÄN</t>
        </is>
      </c>
      <c r="G401" t="inlineStr">
        <is>
          <t>KRISTINEHAMN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28759-2022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44749</v>
      </c>
      <c r="E402" s="1" t="n">
        <v>46322</v>
      </c>
      <c r="F402" t="inlineStr">
        <is>
          <t>VÄRMLANDS LÄN</t>
        </is>
      </c>
      <c r="G402" t="inlineStr">
        <is>
          <t>KRISTINEHAMN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46322</v>
      </c>
      <c r="F403" t="inlineStr">
        <is>
          <t>VÄRMLANDS LÄN</t>
        </is>
      </c>
      <c r="G403" t="inlineStr">
        <is>
          <t>KRISTINEHAMN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45202</v>
      </c>
      <c r="E404" s="1" t="n">
        <v>46322</v>
      </c>
      <c r="F404" t="inlineStr">
        <is>
          <t>VÄRMLANDS LÄN</t>
        </is>
      </c>
      <c r="G404" t="inlineStr">
        <is>
          <t>KRISTINEHAMN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10501-2023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44987</v>
      </c>
      <c r="E405" s="1" t="n">
        <v>46322</v>
      </c>
      <c r="F405" t="inlineStr">
        <is>
          <t>VÄRMLANDS LÄN</t>
        </is>
      </c>
      <c r="G405" t="inlineStr">
        <is>
          <t>KRISTINEHAMN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62453-2022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44924</v>
      </c>
      <c r="E406" s="1" t="n">
        <v>46322</v>
      </c>
      <c r="F406" t="inlineStr">
        <is>
          <t>VÄRMLANDS LÄN</t>
        </is>
      </c>
      <c r="G406" t="inlineStr">
        <is>
          <t>KRISTINEHAMN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48405-2023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45201</v>
      </c>
      <c r="E407" s="1" t="n">
        <v>46322</v>
      </c>
      <c r="F407" t="inlineStr">
        <is>
          <t>VÄRMLANDS LÄN</t>
        </is>
      </c>
      <c r="G407" t="inlineStr">
        <is>
          <t>KRISTINEHAMN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45098</v>
      </c>
      <c r="E408" s="1" t="n">
        <v>46322</v>
      </c>
      <c r="F408" t="inlineStr">
        <is>
          <t>VÄRMLANDS LÄN</t>
        </is>
      </c>
      <c r="G408" t="inlineStr">
        <is>
          <t>KRISTINEHAMN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45377</v>
      </c>
      <c r="E409" s="1" t="n">
        <v>46322</v>
      </c>
      <c r="F409" t="inlineStr">
        <is>
          <t>VÄRMLANDS LÄN</t>
        </is>
      </c>
      <c r="G409" t="inlineStr">
        <is>
          <t>KRISTINEHAMN</t>
        </is>
      </c>
      <c r="I409" t="n">
        <v>13.2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29017-2023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46322</v>
      </c>
      <c r="F410" t="inlineStr">
        <is>
          <t>VÄRMLANDS LÄN</t>
        </is>
      </c>
      <c r="G410" t="inlineStr">
        <is>
          <t>KRISTINEHAMN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45366</v>
      </c>
      <c r="E411" s="1" t="n">
        <v>46322</v>
      </c>
      <c r="F411" t="inlineStr">
        <is>
          <t>VÄRMLANDS LÄN</t>
        </is>
      </c>
      <c r="G411" t="inlineStr">
        <is>
          <t>KRISTINEHAMN</t>
        </is>
      </c>
      <c r="I411" t="n">
        <v>19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45267</v>
      </c>
      <c r="E412" s="1" t="n">
        <v>46322</v>
      </c>
      <c r="F412" t="inlineStr">
        <is>
          <t>VÄRMLANDS LÄN</t>
        </is>
      </c>
      <c r="G412" t="inlineStr">
        <is>
          <t>KRISTINEHAMN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45266</v>
      </c>
      <c r="E413" s="1" t="n">
        <v>46322</v>
      </c>
      <c r="F413" t="inlineStr">
        <is>
          <t>VÄRMLANDS LÄN</t>
        </is>
      </c>
      <c r="G413" t="inlineStr">
        <is>
          <t>KRISTINEHAMN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62032-2024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45656</v>
      </c>
      <c r="E414" s="1" t="n">
        <v>46322</v>
      </c>
      <c r="F414" t="inlineStr">
        <is>
          <t>VÄRMLANDS LÄN</t>
        </is>
      </c>
      <c r="G414" t="inlineStr">
        <is>
          <t>KRISTINEHAMN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45323</v>
      </c>
      <c r="E415" s="1" t="n">
        <v>46322</v>
      </c>
      <c r="F415" t="inlineStr">
        <is>
          <t>VÄRMLANDS LÄN</t>
        </is>
      </c>
      <c r="G415" t="inlineStr">
        <is>
          <t>KRISTINEHAMN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44651</v>
      </c>
      <c r="E416" s="1" t="n">
        <v>46322</v>
      </c>
      <c r="F416" t="inlineStr">
        <is>
          <t>VÄRMLANDS LÄN</t>
        </is>
      </c>
      <c r="G416" t="inlineStr">
        <is>
          <t>KRISTINEHAMN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45379</v>
      </c>
      <c r="E417" s="1" t="n">
        <v>46322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46274</v>
      </c>
      <c r="E418" s="1" t="n">
        <v>46322</v>
      </c>
      <c r="F418" t="inlineStr">
        <is>
          <t>VÄRMLANDS LÄN</t>
        </is>
      </c>
      <c r="G418" t="inlineStr">
        <is>
          <t>KRISTINEHAMN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46274</v>
      </c>
      <c r="E419" s="1" t="n">
        <v>46322</v>
      </c>
      <c r="F419" t="inlineStr">
        <is>
          <t>VÄRMLANDS LÄN</t>
        </is>
      </c>
      <c r="G419" t="inlineStr">
        <is>
          <t>KRISTINEHAMN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20570-2026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46322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46322</v>
      </c>
      <c r="F421" t="inlineStr">
        <is>
          <t>VÄRMLANDS LÄN</t>
        </is>
      </c>
      <c r="G421" t="inlineStr">
        <is>
          <t>KRISTINEHAMN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44313-2026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46320</v>
      </c>
      <c r="E422" s="1" t="n">
        <v>46322</v>
      </c>
      <c r="F422" t="inlineStr">
        <is>
          <t>VÄRMLANDS LÄN</t>
        </is>
      </c>
      <c r="G422" t="inlineStr">
        <is>
          <t>KRISTINEHAMN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1219-2020</t>
        </is>
      </c>
      <c r="B423" t="inlineStr">
        <is>
          <t>samrådsanmälan</t>
        </is>
      </c>
      <c r="C423" t="n">
        <v/>
      </c>
      <c r="D423" s="1" t="n">
        <v>43980</v>
      </c>
      <c r="E423" s="1" t="n">
        <v>46322</v>
      </c>
      <c r="F423" t="inlineStr">
        <is>
          <t>VÄRMLANDS LÄN</t>
        </is>
      </c>
      <c r="G423" t="inlineStr">
        <is>
          <t>KRISTINEHAMN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4147-2023</t>
        </is>
      </c>
      <c r="B424" t="inlineStr">
        <is>
          <t>samrådsanmälan</t>
        </is>
      </c>
      <c r="C424" t="inlineStr">
        <is>
          <t>Skogsgödsling</t>
        </is>
      </c>
      <c r="D424" s="1" t="n">
        <v>45247</v>
      </c>
      <c r="E424" s="1" t="n">
        <v>46322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Naturvårdsverket</t>
        </is>
      </c>
      <c r="I424" t="n">
        <v>13.5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4149-2023</t>
        </is>
      </c>
      <c r="B425" t="inlineStr">
        <is>
          <t>samrådsanmälan</t>
        </is>
      </c>
      <c r="C425" t="inlineStr">
        <is>
          <t>Skogsgödsling</t>
        </is>
      </c>
      <c r="D425" s="1" t="n">
        <v>45247</v>
      </c>
      <c r="E425" s="1" t="n">
        <v>46322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Naturvårdsverket</t>
        </is>
      </c>
      <c r="I425" t="n">
        <v>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1815-2022</t>
        </is>
      </c>
      <c r="B426" t="inlineStr">
        <is>
          <t>samrådsanmälan</t>
        </is>
      </c>
      <c r="C426" t="inlineStr">
        <is>
          <t>Åtgärd i nyckelbiotop</t>
        </is>
      </c>
      <c r="D426" s="1" t="n">
        <v>44657</v>
      </c>
      <c r="E426" s="1" t="n">
        <v>46322</v>
      </c>
      <c r="F426" t="inlineStr">
        <is>
          <t>VÄRMLANDS LÄN</t>
        </is>
      </c>
      <c r="G426" t="inlineStr">
        <is>
          <t>KRISTINEHAMN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2254-2023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45103</v>
      </c>
      <c r="E427" s="1" t="n">
        <v>46322</v>
      </c>
      <c r="F427" t="inlineStr">
        <is>
          <t>VÄRMLANDS LÄN</t>
        </is>
      </c>
      <c r="G427" t="inlineStr">
        <is>
          <t>KRISTINEHAMN</t>
        </is>
      </c>
      <c r="I427" t="n">
        <v>51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2879-2022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44711</v>
      </c>
      <c r="E428" s="1" t="n">
        <v>46322</v>
      </c>
      <c r="F428" t="inlineStr">
        <is>
          <t>VÄRMLANDS LÄN</t>
        </is>
      </c>
      <c r="G428" t="inlineStr">
        <is>
          <t>KRISTINEHAMN</t>
        </is>
      </c>
      <c r="I428" t="n">
        <v>25.9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1899-2024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45442</v>
      </c>
      <c r="E429" s="1" t="n">
        <v>46322</v>
      </c>
      <c r="F429" t="inlineStr">
        <is>
          <t>VÄRMLANDS LÄN</t>
        </is>
      </c>
      <c r="G429" t="inlineStr">
        <is>
          <t>KRISTINEHAMN</t>
        </is>
      </c>
      <c r="I429" t="n">
        <v>21.4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2301-2024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45463</v>
      </c>
      <c r="E430" s="1" t="n">
        <v>46322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Bergvik skog väst AB</t>
        </is>
      </c>
      <c r="I430" t="n">
        <v>28.1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2553-2024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45475</v>
      </c>
      <c r="E431" s="1" t="n">
        <v>46322</v>
      </c>
      <c r="F431" t="inlineStr">
        <is>
          <t>VÄRMLANDS LÄN</t>
        </is>
      </c>
      <c r="G431" t="inlineStr">
        <is>
          <t>KRISTINEHAMN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3378-2024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45533</v>
      </c>
      <c r="E432" s="1" t="n">
        <v>46322</v>
      </c>
      <c r="F432" t="inlineStr">
        <is>
          <t>VÄRMLANDS LÄN</t>
        </is>
      </c>
      <c r="G432" t="inlineStr">
        <is>
          <t>KRISTINEHAMN</t>
        </is>
      </c>
      <c r="I432" t="n">
        <v>53.7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2393-2022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44690</v>
      </c>
      <c r="E433" s="1" t="n">
        <v>46322</v>
      </c>
      <c r="F433" t="inlineStr">
        <is>
          <t>VÄRMLANDS LÄN</t>
        </is>
      </c>
      <c r="G433" t="inlineStr">
        <is>
          <t>KRISTINEHAMN</t>
        </is>
      </c>
      <c r="I433" t="n">
        <v>51.7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46322</v>
      </c>
      <c r="F434" t="inlineStr">
        <is>
          <t>VÄRMLANDS LÄN</t>
        </is>
      </c>
      <c r="G434" t="inlineStr">
        <is>
          <t>KRISTINEHAMN</t>
        </is>
      </c>
      <c r="I434" t="n">
        <v>104.3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717-2023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44985</v>
      </c>
      <c r="E435" s="1" t="n">
        <v>46322</v>
      </c>
      <c r="F435" t="inlineStr">
        <is>
          <t>VÄRMLANDS LÄN</t>
        </is>
      </c>
      <c r="G435" t="inlineStr">
        <is>
          <t>KRISTINEHAMN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1412-2024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45414</v>
      </c>
      <c r="E436" s="1" t="n">
        <v>46322</v>
      </c>
      <c r="F436" t="inlineStr">
        <is>
          <t>VÄRMLANDS LÄN</t>
        </is>
      </c>
      <c r="G436" t="inlineStr">
        <is>
          <t>KRISTINEHAMN</t>
        </is>
      </c>
      <c r="I436" t="n">
        <v>42.9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1900-2024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46322</v>
      </c>
      <c r="F437" t="inlineStr">
        <is>
          <t>VÄRMLANDS LÄN</t>
        </is>
      </c>
      <c r="G437" t="inlineStr">
        <is>
          <t>KRISTINEHAMN</t>
        </is>
      </c>
      <c r="I437" t="n">
        <v>63.5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46322</v>
      </c>
      <c r="F438" t="inlineStr">
        <is>
          <t>VÄRMLANDS LÄN</t>
        </is>
      </c>
      <c r="G438" t="inlineStr">
        <is>
          <t>KRISTINEHAMN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2464-2023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45118</v>
      </c>
      <c r="E439" s="1" t="n">
        <v>46322</v>
      </c>
      <c r="F439" t="inlineStr">
        <is>
          <t>VÄRMLANDS LÄN</t>
        </is>
      </c>
      <c r="G439" t="inlineStr">
        <is>
          <t>KRISTINEHAMN</t>
        </is>
      </c>
      <c r="I439" t="n">
        <v>42.3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4146-2023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46322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3007-2024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45512</v>
      </c>
      <c r="E441" s="1" t="n">
        <v>46322</v>
      </c>
      <c r="F441" t="inlineStr">
        <is>
          <t>VÄRMLANDS LÄN</t>
        </is>
      </c>
      <c r="G441" t="inlineStr">
        <is>
          <t>KRISTINEHAMN</t>
        </is>
      </c>
      <c r="I441" t="n">
        <v>56.9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1418-2025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45783</v>
      </c>
      <c r="E442" s="1" t="n">
        <v>46322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1546-2025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45792</v>
      </c>
      <c r="E443" s="1" t="n">
        <v>46322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1698-2025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45805</v>
      </c>
      <c r="E444" s="1" t="n">
        <v>46322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121-2026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46040</v>
      </c>
      <c r="E445" s="1" t="n">
        <v>46322</v>
      </c>
      <c r="F445" t="inlineStr">
        <is>
          <t>VÄRMLANDS LÄN</t>
        </is>
      </c>
      <c r="G445" t="inlineStr">
        <is>
          <t>KRISTINEHAMN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865-2026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46106</v>
      </c>
      <c r="E446" s="1" t="n">
        <v>46322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99-2026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46036</v>
      </c>
      <c r="E447" s="1" t="n">
        <v>46322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80.8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2026-10-27T03:08:04Z</dcterms:created>
  <dcterms:modified xmlns:dcterms="http://purl.org/dc/terms/" xmlns:xsi="http://www.w3.org/2001/XMLSchema-instance" xsi:type="dcterms:W3CDTF">2026-10-27T03:08:05Z</dcterms:modified>
</cp:coreProperties>
</file>