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46242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46242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46242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46242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46242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46242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46242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46242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46242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46242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46242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46242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46242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46242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46242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46242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46242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46242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46242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46242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25888-2025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46242</v>
      </c>
      <c r="F22" t="inlineStr">
        <is>
          <t>VÄRMLANDS LÄN</t>
        </is>
      </c>
      <c r="G22" t="inlineStr">
        <is>
          <t>KRISTINEHAMN</t>
        </is>
      </c>
      <c r="I22" t="n">
        <v>5.9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HYPERLINK("https://klasma.github.io/Logging_1781/artfynd/A 25888-2025 artfynd.xlsx", "A 25888-2025")</f>
        <v/>
      </c>
      <c r="X22">
        <f>HYPERLINK("https://klasma.github.io/Logging_1781/kartor/A 25888-2025 karta.png", "A 25888-2025")</f>
        <v/>
      </c>
      <c r="Y22">
        <f>HYPERLINK("https://klasma.github.io/Logging_1781/kartor_geotiff/A 25888-2025 georefererad karta.tif", "A 25888-2025")</f>
        <v/>
      </c>
      <c r="AA22">
        <f>HYPERLINK("https://klasma.github.io/Logging_1781/klagomål/A 25888-2025 FSC-klagomål.docx", "A 25888-2025")</f>
        <v/>
      </c>
      <c r="AB22">
        <f>HYPERLINK("https://klasma.github.io/Logging_1781/klagomålsmail/A 25888-2025 FSC-klagomål mail.docx", "A 25888-2025")</f>
        <v/>
      </c>
      <c r="AC22">
        <f>HYPERLINK("https://klasma.github.io/Logging_1781/tillsyn/A 25888-2025 tillsynsbegäran.docx", "A 25888-2025")</f>
        <v/>
      </c>
      <c r="AD22">
        <f>HYPERLINK("https://klasma.github.io/Logging_1781/tillsynsmail/A 25888-2025 tillsynsbegäran mail.docx", "A 25888-2025")</f>
        <v/>
      </c>
      <c r="AE22">
        <f>HYPERLINK("https://klasma.github.io/Logging_1781/fåglar/A 25888-2025 prioriterade fågelarter.docx", "A 25888-2025")</f>
        <v/>
      </c>
    </row>
    <row r="23" ht="15" customHeight="1">
      <c r="A23" t="inlineStr">
        <is>
          <t>A 60714-2025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45996</v>
      </c>
      <c r="E23" s="1" t="n">
        <v>46242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Björksplintborre</t>
        </is>
      </c>
      <c r="W23">
        <f>HYPERLINK("https://klasma.github.io/Logging_1781/artfynd/A 60714-2025 artfynd.xlsx", "A 60714-2025")</f>
        <v/>
      </c>
      <c r="X23">
        <f>HYPERLINK("https://klasma.github.io/Logging_1781/kartor/A 60714-2025 karta.png", "A 60714-2025")</f>
        <v/>
      </c>
      <c r="Y23">
        <f>HYPERLINK("https://klasma.github.io/Logging_1781/kartor_geotiff/A 60714-2025 georefererad karta.tif", "A 60714-2025")</f>
        <v/>
      </c>
      <c r="AA23">
        <f>HYPERLINK("https://klasma.github.io/Logging_1781/klagomål/A 60714-2025 FSC-klagomål.docx", "A 60714-2025")</f>
        <v/>
      </c>
      <c r="AB23">
        <f>HYPERLINK("https://klasma.github.io/Logging_1781/klagomålsmail/A 60714-2025 FSC-klagomål mail.docx", "A 60714-2025")</f>
        <v/>
      </c>
      <c r="AC23">
        <f>HYPERLINK("https://klasma.github.io/Logging_1781/tillsyn/A 60714-2025 tillsynsbegäran.docx", "A 60714-2025")</f>
        <v/>
      </c>
      <c r="AD23">
        <f>HYPERLINK("https://klasma.github.io/Logging_1781/tillsynsmail/A 60714-2025 tillsynsbegäran mail.docx", "A 60714-2025")</f>
        <v/>
      </c>
    </row>
    <row r="24" ht="15" customHeight="1">
      <c r="A24" t="inlineStr">
        <is>
          <t>A 28394-2025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46242</v>
      </c>
      <c r="F24" t="inlineStr">
        <is>
          <t>VÄRMLANDS LÄN</t>
        </is>
      </c>
      <c r="G24" t="inlineStr">
        <is>
          <t>KRISTINEHAMN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vårtrattskivling</t>
        </is>
      </c>
      <c r="W24">
        <f>HYPERLINK("https://klasma.github.io/Logging_1781/artfynd/A 28394-2025 artfynd.xlsx", "A 28394-2025")</f>
        <v/>
      </c>
      <c r="X24">
        <f>HYPERLINK("https://klasma.github.io/Logging_1781/kartor/A 28394-2025 karta.png", "A 28394-2025")</f>
        <v/>
      </c>
      <c r="Y24">
        <f>HYPERLINK("https://klasma.github.io/Logging_1781/kartor_geotiff/A 28394-2025 georefererad karta.tif", "A 28394-2025")</f>
        <v/>
      </c>
      <c r="AA24">
        <f>HYPERLINK("https://klasma.github.io/Logging_1781/klagomål/A 28394-2025 FSC-klagomål.docx", "A 28394-2025")</f>
        <v/>
      </c>
      <c r="AB24">
        <f>HYPERLINK("https://klasma.github.io/Logging_1781/klagomålsmail/A 28394-2025 FSC-klagomål mail.docx", "A 28394-2025")</f>
        <v/>
      </c>
      <c r="AC24">
        <f>HYPERLINK("https://klasma.github.io/Logging_1781/tillsyn/A 28394-2025 tillsynsbegäran.docx", "A 28394-2025")</f>
        <v/>
      </c>
      <c r="AD24">
        <f>HYPERLINK("https://klasma.github.io/Logging_1781/tillsynsmail/A 28394-2025 tillsynsbegäran mail.docx", "A 28394-2025")</f>
        <v/>
      </c>
    </row>
    <row r="25" ht="15" customHeight="1">
      <c r="A25" t="inlineStr">
        <is>
          <t>A 8714-2024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45356</v>
      </c>
      <c r="E25" s="1" t="n">
        <v>46242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8714-2024 artfynd.xlsx", "A 8714-2024")</f>
        <v/>
      </c>
      <c r="X25">
        <f>HYPERLINK("https://klasma.github.io/Logging_1781/kartor/A 8714-2024 karta.png", "A 8714-2024")</f>
        <v/>
      </c>
      <c r="Y25">
        <f>HYPERLINK("https://klasma.github.io/Logging_1781/kartor_geotiff/A 8714-2024 georefererad karta.tif", "A 8714-2024")</f>
        <v/>
      </c>
      <c r="AA25">
        <f>HYPERLINK("https://klasma.github.io/Logging_1781/klagomål/A 8714-2024 FSC-klagomål.docx", "A 8714-2024")</f>
        <v/>
      </c>
      <c r="AB25">
        <f>HYPERLINK("https://klasma.github.io/Logging_1781/klagomålsmail/A 8714-2024 FSC-klagomål mail.docx", "A 8714-2024")</f>
        <v/>
      </c>
      <c r="AC25">
        <f>HYPERLINK("https://klasma.github.io/Logging_1781/tillsyn/A 8714-2024 tillsynsbegäran.docx", "A 8714-2024")</f>
        <v/>
      </c>
      <c r="AD25">
        <f>HYPERLINK("https://klasma.github.io/Logging_1781/tillsynsmail/A 8714-2024 tillsynsbegäran mail.docx", "A 8714-2024")</f>
        <v/>
      </c>
    </row>
    <row r="26" ht="15" customHeight="1">
      <c r="A26" t="inlineStr">
        <is>
          <t>A 14760-2026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46242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14760-2026 artfynd.xlsx", "A 14760-2026")</f>
        <v/>
      </c>
      <c r="X26">
        <f>HYPERLINK("https://klasma.github.io/Logging_1781/kartor/A 14760-2026 karta.png", "A 14760-2026")</f>
        <v/>
      </c>
      <c r="Y26">
        <f>HYPERLINK("https://klasma.github.io/Logging_1781/kartor_geotiff/A 14760-2026 georefererad karta.tif", "A 14760-2026")</f>
        <v/>
      </c>
      <c r="AA26">
        <f>HYPERLINK("https://klasma.github.io/Logging_1781/klagomål/A 14760-2026 FSC-klagomål.docx", "A 14760-2026")</f>
        <v/>
      </c>
      <c r="AB26">
        <f>HYPERLINK("https://klasma.github.io/Logging_1781/klagomålsmail/A 14760-2026 FSC-klagomål mail.docx", "A 14760-2026")</f>
        <v/>
      </c>
      <c r="AC26">
        <f>HYPERLINK("https://klasma.github.io/Logging_1781/tillsyn/A 14760-2026 tillsynsbegäran.docx", "A 14760-2026")</f>
        <v/>
      </c>
      <c r="AD26">
        <f>HYPERLINK("https://klasma.github.io/Logging_1781/tillsynsmail/A 14760-2026 tillsynsbegäran mail.docx", "A 14760-2026")</f>
        <v/>
      </c>
    </row>
    <row r="27" ht="15" customHeight="1">
      <c r="A27" t="inlineStr">
        <is>
          <t>A 14762-2026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46101</v>
      </c>
      <c r="E27" s="1" t="n">
        <v>46242</v>
      </c>
      <c r="F27" t="inlineStr">
        <is>
          <t>VÄRMLANDS LÄN</t>
        </is>
      </c>
      <c r="G27" t="inlineStr">
        <is>
          <t>KRISTINEHAMN</t>
        </is>
      </c>
      <c r="H27" t="inlineStr">
        <is>
          <t>Sveaskog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Fläcknycklar</t>
        </is>
      </c>
      <c r="W27">
        <f>HYPERLINK("https://klasma.github.io/Logging_1781/artfynd/A 14762-2026 artfynd.xlsx", "A 14762-2026")</f>
        <v/>
      </c>
      <c r="X27">
        <f>HYPERLINK("https://klasma.github.io/Logging_1781/kartor/A 14762-2026 karta.png", "A 14762-2026")</f>
        <v/>
      </c>
      <c r="Y27">
        <f>HYPERLINK("https://klasma.github.io/Logging_1781/kartor_geotiff/A 14762-2026 georefererad karta.tif", "A 14762-2026")</f>
        <v/>
      </c>
      <c r="AA27">
        <f>HYPERLINK("https://klasma.github.io/Logging_1781/klagomål/A 14762-2026 FSC-klagomål.docx", "A 14762-2026")</f>
        <v/>
      </c>
      <c r="AB27">
        <f>HYPERLINK("https://klasma.github.io/Logging_1781/klagomålsmail/A 14762-2026 FSC-klagomål mail.docx", "A 14762-2026")</f>
        <v/>
      </c>
      <c r="AC27">
        <f>HYPERLINK("https://klasma.github.io/Logging_1781/tillsyn/A 14762-2026 tillsynsbegäran.docx", "A 14762-2026")</f>
        <v/>
      </c>
      <c r="AD27">
        <f>HYPERLINK("https://klasma.github.io/Logging_1781/tillsynsmail/A 14762-2026 tillsynsbegäran mail.docx", "A 14762-2026")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46242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46242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54771-2022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46242</v>
      </c>
      <c r="F30" t="inlineStr">
        <is>
          <t>VÄRMLANDS LÄN</t>
        </is>
      </c>
      <c r="G30" t="inlineStr">
        <is>
          <t>KRISTINEHAMN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HYPERLINK("https://klasma.github.io/Logging_1781/artfynd/A 54771-2022 artfynd.xlsx", "A 54771-2022")</f>
        <v/>
      </c>
      <c r="X30">
        <f>HYPERLINK("https://klasma.github.io/Logging_1781/kartor/A 54771-2022 karta.png", "A 54771-2022")</f>
        <v/>
      </c>
      <c r="Y30">
        <f>HYPERLINK("https://klasma.github.io/Logging_1781/kartor_geotiff/A 54771-2022 georefererad karta.tif", "A 54771-2022")</f>
        <v/>
      </c>
      <c r="AA30">
        <f>HYPERLINK("https://klasma.github.io/Logging_1781/klagomål/A 54771-2022 FSC-klagomål.docx", "A 54771-2022")</f>
        <v/>
      </c>
      <c r="AB30">
        <f>HYPERLINK("https://klasma.github.io/Logging_1781/klagomålsmail/A 54771-2022 FSC-klagomål mail.docx", "A 54771-2022")</f>
        <v/>
      </c>
      <c r="AC30">
        <f>HYPERLINK("https://klasma.github.io/Logging_1781/tillsyn/A 54771-2022 tillsynsbegäran.docx", "A 54771-2022")</f>
        <v/>
      </c>
      <c r="AD30">
        <f>HYPERLINK("https://klasma.github.io/Logging_1781/tillsynsmail/A 54771-2022 tillsynsbegäran mail.docx", "A 54771-2022")</f>
        <v/>
      </c>
      <c r="AE30">
        <f>HYPERLINK("https://klasma.github.io/Logging_1781/fåglar/A 54771-2022 prioriterade fågelarter.docx", "A 54771-2022")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46242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46242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46242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46242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46242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46242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46242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46242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46242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46242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46242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46242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46242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46242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46242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46242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46242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40243-2021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46242</v>
      </c>
      <c r="F48" t="inlineStr">
        <is>
          <t>VÄRMLANDS LÄN</t>
        </is>
      </c>
      <c r="G48" t="inlineStr">
        <is>
          <t>KRISTINEHAMN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46242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46242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46242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46242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46242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46242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46242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46242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46242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46242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46242</v>
      </c>
      <c r="F60" t="inlineStr">
        <is>
          <t>VÄRMLANDS LÄN</t>
        </is>
      </c>
      <c r="G60" t="inlineStr">
        <is>
          <t>KRISTINEHAMN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46242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46242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47952-2021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46242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46242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46242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46242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46242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46242</v>
      </c>
      <c r="F68" t="inlineStr">
        <is>
          <t>VÄRMLANDS LÄN</t>
        </is>
      </c>
      <c r="G68" t="inlineStr">
        <is>
          <t>KRISTINEHAMN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46242</v>
      </c>
      <c r="F69" t="inlineStr">
        <is>
          <t>VÄRMLANDS LÄN</t>
        </is>
      </c>
      <c r="G69" t="inlineStr">
        <is>
          <t>KRISTINEHAMN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46242</v>
      </c>
      <c r="F70" t="inlineStr">
        <is>
          <t>VÄRMLANDS LÄN</t>
        </is>
      </c>
      <c r="G70" t="inlineStr">
        <is>
          <t>KRISTINEHAMN</t>
        </is>
      </c>
      <c r="I70" t="n">
        <v>13.9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46242</v>
      </c>
      <c r="F71" t="inlineStr">
        <is>
          <t>VÄRMLANDS LÄN</t>
        </is>
      </c>
      <c r="G71" t="inlineStr">
        <is>
          <t>KRISTINEHAMN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44657</v>
      </c>
      <c r="E72" s="1" t="n">
        <v>46242</v>
      </c>
      <c r="F72" t="inlineStr">
        <is>
          <t>VÄRMLANDS LÄN</t>
        </is>
      </c>
      <c r="G72" t="inlineStr">
        <is>
          <t>KRISTINEHAMN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46242</v>
      </c>
      <c r="F73" t="inlineStr">
        <is>
          <t>VÄRMLANDS LÄN</t>
        </is>
      </c>
      <c r="G73" t="inlineStr">
        <is>
          <t>KRISTINEHAMN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46242</v>
      </c>
      <c r="F74" t="inlineStr">
        <is>
          <t>VÄRMLANDS LÄN</t>
        </is>
      </c>
      <c r="G74" t="inlineStr">
        <is>
          <t>KRISTINEHAMN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44662</v>
      </c>
      <c r="E75" s="1" t="n">
        <v>46242</v>
      </c>
      <c r="F75" t="inlineStr">
        <is>
          <t>VÄRMLANDS LÄN</t>
        </is>
      </c>
      <c r="G75" t="inlineStr">
        <is>
          <t>KRISTINEHAMN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27394-2022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46242</v>
      </c>
      <c r="F76" t="inlineStr">
        <is>
          <t>VÄRMLANDS LÄN</t>
        </is>
      </c>
      <c r="G76" t="inlineStr">
        <is>
          <t>KRISTINEHAMN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46242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46242</v>
      </c>
      <c r="F78" t="inlineStr">
        <is>
          <t>VÄRMLANDS LÄN</t>
        </is>
      </c>
      <c r="G78" t="inlineStr">
        <is>
          <t>KRISTINEHAMN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46242</v>
      </c>
      <c r="F79" t="inlineStr">
        <is>
          <t>VÄRMLANDS LÄN</t>
        </is>
      </c>
      <c r="G79" t="inlineStr">
        <is>
          <t>KRISTINEHAMN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46242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46242</v>
      </c>
      <c r="F81" t="inlineStr">
        <is>
          <t>VÄRMLANDS LÄN</t>
        </is>
      </c>
      <c r="G81" t="inlineStr">
        <is>
          <t>KRISTINEHAMN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46242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46242</v>
      </c>
      <c r="F83" t="inlineStr">
        <is>
          <t>VÄRMLANDS LÄN</t>
        </is>
      </c>
      <c r="G83" t="inlineStr">
        <is>
          <t>KRISTINEHAMN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44591</v>
      </c>
      <c r="E84" s="1" t="n">
        <v>46242</v>
      </c>
      <c r="F84" t="inlineStr">
        <is>
          <t>VÄRMLANDS LÄN</t>
        </is>
      </c>
      <c r="G84" t="inlineStr">
        <is>
          <t>KRISTINEHAMN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46242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46242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46242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46242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44584</v>
      </c>
      <c r="E89" s="1" t="n">
        <v>46242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46242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44707</v>
      </c>
      <c r="E91" s="1" t="n">
        <v>46242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46242</v>
      </c>
      <c r="F92" t="inlineStr">
        <is>
          <t>VÄRMLANDS LÄN</t>
        </is>
      </c>
      <c r="G92" t="inlineStr">
        <is>
          <t>KRISTINEHAMN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46242</v>
      </c>
      <c r="F93" t="inlineStr">
        <is>
          <t>VÄRMLANDS LÄN</t>
        </is>
      </c>
      <c r="G93" t="inlineStr">
        <is>
          <t>KRISTINEHAMN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45631</v>
      </c>
      <c r="E94" s="1" t="n">
        <v>46242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46242</v>
      </c>
      <c r="F95" t="inlineStr">
        <is>
          <t>VÄRMLANDS LÄN</t>
        </is>
      </c>
      <c r="G95" t="inlineStr">
        <is>
          <t>KRISTINEHAMN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21702-2024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46242</v>
      </c>
      <c r="F96" t="inlineStr">
        <is>
          <t>VÄRMLANDS LÄN</t>
        </is>
      </c>
      <c r="G96" t="inlineStr">
        <is>
          <t>KRISTINEHAMN</t>
        </is>
      </c>
      <c r="I96" t="n">
        <v>14.9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46242</v>
      </c>
      <c r="F97" t="inlineStr">
        <is>
          <t>VÄRMLANDS LÄN</t>
        </is>
      </c>
      <c r="G97" t="inlineStr">
        <is>
          <t>KRISTINEHAMN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68505-2021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46242</v>
      </c>
      <c r="F98" t="inlineStr">
        <is>
          <t>VÄRMLANDS LÄN</t>
        </is>
      </c>
      <c r="G98" t="inlineStr">
        <is>
          <t>KRISTINEHAMN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46242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25454-2023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45081</v>
      </c>
      <c r="E100" s="1" t="n">
        <v>46242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46242</v>
      </c>
      <c r="F101" t="inlineStr">
        <is>
          <t>VÄRMLANDS LÄN</t>
        </is>
      </c>
      <c r="G101" t="inlineStr">
        <is>
          <t>KRISTINEHAMN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48416-2021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46242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45095</v>
      </c>
      <c r="E103" s="1" t="n">
        <v>46242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46242</v>
      </c>
      <c r="F104" t="inlineStr">
        <is>
          <t>VÄRMLANDS LÄN</t>
        </is>
      </c>
      <c r="G104" t="inlineStr">
        <is>
          <t>KRISTINEHAMN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46242</v>
      </c>
      <c r="F105" t="inlineStr">
        <is>
          <t>VÄRMLANDS LÄN</t>
        </is>
      </c>
      <c r="G105" t="inlineStr">
        <is>
          <t>KRISTINEHAMN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46242</v>
      </c>
      <c r="F106" t="inlineStr">
        <is>
          <t>VÄRMLANDS LÄN</t>
        </is>
      </c>
      <c r="G106" t="inlineStr">
        <is>
          <t>KRISTINEHAMN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46242</v>
      </c>
      <c r="F107" t="inlineStr">
        <is>
          <t>VÄRMLANDS LÄN</t>
        </is>
      </c>
      <c r="G107" t="inlineStr">
        <is>
          <t>KRISTINEHAMN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46242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Kommuner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46242</v>
      </c>
      <c r="F109" t="inlineStr">
        <is>
          <t>VÄRMLANDS LÄN</t>
        </is>
      </c>
      <c r="G109" t="inlineStr">
        <is>
          <t>KRISTINEHAMN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46242</v>
      </c>
      <c r="F110" t="inlineStr">
        <is>
          <t>VÄRMLANDS LÄN</t>
        </is>
      </c>
      <c r="G110" t="inlineStr">
        <is>
          <t>KRISTINEHAMN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46242</v>
      </c>
      <c r="F111" t="inlineStr">
        <is>
          <t>VÄRMLANDS LÄN</t>
        </is>
      </c>
      <c r="G111" t="inlineStr">
        <is>
          <t>KRISTINEHAMN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46242</v>
      </c>
      <c r="F112" t="inlineStr">
        <is>
          <t>VÄRMLANDS LÄN</t>
        </is>
      </c>
      <c r="G112" t="inlineStr">
        <is>
          <t>KRISTINEHAMN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46242</v>
      </c>
      <c r="F113" t="inlineStr">
        <is>
          <t>VÄRMLANDS LÄN</t>
        </is>
      </c>
      <c r="G113" t="inlineStr">
        <is>
          <t>KRISTINEHAMN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46242</v>
      </c>
      <c r="F114" t="inlineStr">
        <is>
          <t>VÄRMLANDS LÄN</t>
        </is>
      </c>
      <c r="G114" t="inlineStr">
        <is>
          <t>KRISTINEHAMN</t>
        </is>
      </c>
      <c r="I114" t="n">
        <v>10.4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46242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46242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46242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46242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46242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46242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46242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Naturvårdsverket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46242</v>
      </c>
      <c r="F122" t="inlineStr">
        <is>
          <t>VÄRMLANDS LÄN</t>
        </is>
      </c>
      <c r="G122" t="inlineStr">
        <is>
          <t>KRISTINEHAMN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45044</v>
      </c>
      <c r="E123" s="1" t="n">
        <v>46242</v>
      </c>
      <c r="F123" t="inlineStr">
        <is>
          <t>VÄRMLANDS LÄN</t>
        </is>
      </c>
      <c r="G123" t="inlineStr">
        <is>
          <t>KRISTINEHAMN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46242</v>
      </c>
      <c r="F124" t="inlineStr">
        <is>
          <t>VÄRMLANDS LÄN</t>
        </is>
      </c>
      <c r="G124" t="inlineStr">
        <is>
          <t>KRISTINEHAMN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46242</v>
      </c>
      <c r="F125" t="inlineStr">
        <is>
          <t>VÄRMLANDS LÄN</t>
        </is>
      </c>
      <c r="G125" t="inlineStr">
        <is>
          <t>KRISTINEHAMN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46242</v>
      </c>
      <c r="F126" t="inlineStr">
        <is>
          <t>VÄRMLANDS LÄN</t>
        </is>
      </c>
      <c r="G126" t="inlineStr">
        <is>
          <t>KRISTINEHAMN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46242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46242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45802</v>
      </c>
      <c r="E129" s="1" t="n">
        <v>46242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Naturvårdsverket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46242</v>
      </c>
      <c r="F130" t="inlineStr">
        <is>
          <t>VÄRMLANDS LÄN</t>
        </is>
      </c>
      <c r="G130" t="inlineStr">
        <is>
          <t>KRISTINEHAMN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46242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46242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46242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44497</v>
      </c>
      <c r="E134" s="1" t="n">
        <v>46242</v>
      </c>
      <c r="F134" t="inlineStr">
        <is>
          <t>VÄRMLANDS LÄN</t>
        </is>
      </c>
      <c r="G134" t="inlineStr">
        <is>
          <t>KRISTINEHAMN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46242</v>
      </c>
      <c r="F135" t="inlineStr">
        <is>
          <t>VÄRMLANDS LÄN</t>
        </is>
      </c>
      <c r="G135" t="inlineStr">
        <is>
          <t>KRISTINEHAMN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46242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46242</v>
      </c>
      <c r="F137" t="inlineStr">
        <is>
          <t>VÄRMLANDS LÄN</t>
        </is>
      </c>
      <c r="G137" t="inlineStr">
        <is>
          <t>KRISTINEHAMN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46242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46242</v>
      </c>
      <c r="F139" t="inlineStr">
        <is>
          <t>VÄRMLANDS LÄN</t>
        </is>
      </c>
      <c r="G139" t="inlineStr">
        <is>
          <t>KRISTINEHAMN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46242</v>
      </c>
      <c r="F140" t="inlineStr">
        <is>
          <t>VÄRMLANDS LÄN</t>
        </is>
      </c>
      <c r="G140" t="inlineStr">
        <is>
          <t>KRISTINEHAMN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46242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46242</v>
      </c>
      <c r="F142" t="inlineStr">
        <is>
          <t>VÄRMLANDS LÄN</t>
        </is>
      </c>
      <c r="G142" t="inlineStr">
        <is>
          <t>KRISTINEHAMN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46242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46242</v>
      </c>
      <c r="F144" t="inlineStr">
        <is>
          <t>VÄRMLANDS LÄN</t>
        </is>
      </c>
      <c r="G144" t="inlineStr">
        <is>
          <t>KRISTINEHAMN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46242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46242</v>
      </c>
      <c r="F146" t="inlineStr">
        <is>
          <t>VÄRMLANDS LÄN</t>
        </is>
      </c>
      <c r="G146" t="inlineStr">
        <is>
          <t>KRISTINEHAMN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46242</v>
      </c>
      <c r="F147" t="inlineStr">
        <is>
          <t>VÄRMLANDS LÄN</t>
        </is>
      </c>
      <c r="G147" t="inlineStr">
        <is>
          <t>KRISTINEHAMN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46242</v>
      </c>
      <c r="F148" t="inlineStr">
        <is>
          <t>VÄRMLANDS LÄN</t>
        </is>
      </c>
      <c r="G148" t="inlineStr">
        <is>
          <t>KRISTINEHAMN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46242</v>
      </c>
      <c r="F149" t="inlineStr">
        <is>
          <t>VÄRMLANDS LÄN</t>
        </is>
      </c>
      <c r="G149" t="inlineStr">
        <is>
          <t>KRISTINEHAMN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44742</v>
      </c>
      <c r="E150" s="1" t="n">
        <v>46242</v>
      </c>
      <c r="F150" t="inlineStr">
        <is>
          <t>VÄRMLANDS LÄN</t>
        </is>
      </c>
      <c r="G150" t="inlineStr">
        <is>
          <t>KRISTINEHAMN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46242</v>
      </c>
      <c r="F151" t="inlineStr">
        <is>
          <t>VÄRMLANDS LÄN</t>
        </is>
      </c>
      <c r="G151" t="inlineStr">
        <is>
          <t>KRISTINEHAMN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46242</v>
      </c>
      <c r="F152" t="inlineStr">
        <is>
          <t>VÄRMLANDS LÄN</t>
        </is>
      </c>
      <c r="G152" t="inlineStr">
        <is>
          <t>KRISTINEHAMN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46242</v>
      </c>
      <c r="F153" t="inlineStr">
        <is>
          <t>VÄRMLANDS LÄN</t>
        </is>
      </c>
      <c r="G153" t="inlineStr">
        <is>
          <t>KRISTINEHAMN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45370</v>
      </c>
      <c r="E154" s="1" t="n">
        <v>46242</v>
      </c>
      <c r="F154" t="inlineStr">
        <is>
          <t>VÄRMLANDS LÄN</t>
        </is>
      </c>
      <c r="G154" t="inlineStr">
        <is>
          <t>KRISTINEHAMN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6259-2026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46051</v>
      </c>
      <c r="E155" s="1" t="n">
        <v>46242</v>
      </c>
      <c r="F155" t="inlineStr">
        <is>
          <t>VÄRMLANDS LÄN</t>
        </is>
      </c>
      <c r="G155" t="inlineStr">
        <is>
          <t>KRISTINEHAMN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46242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45000</v>
      </c>
      <c r="E157" s="1" t="n">
        <v>46242</v>
      </c>
      <c r="F157" t="inlineStr">
        <is>
          <t>VÄRMLANDS LÄN</t>
        </is>
      </c>
      <c r="G157" t="inlineStr">
        <is>
          <t>KRISTINEHAMN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46242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46242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46242</v>
      </c>
      <c r="F160" t="inlineStr">
        <is>
          <t>VÄRMLANDS LÄN</t>
        </is>
      </c>
      <c r="G160" t="inlineStr">
        <is>
          <t>KRISTINEHAMN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46242</v>
      </c>
      <c r="F161" t="inlineStr">
        <is>
          <t>VÄRMLANDS LÄN</t>
        </is>
      </c>
      <c r="G161" t="inlineStr">
        <is>
          <t>KRISTINEHAMN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46242</v>
      </c>
      <c r="F162" t="inlineStr">
        <is>
          <t>VÄRMLANDS LÄN</t>
        </is>
      </c>
      <c r="G162" t="inlineStr">
        <is>
          <t>KRISTINEHAMN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46242</v>
      </c>
      <c r="F163" t="inlineStr">
        <is>
          <t>VÄRMLANDS LÄN</t>
        </is>
      </c>
      <c r="G163" t="inlineStr">
        <is>
          <t>KRISTINEHAMN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46242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46242</v>
      </c>
      <c r="F165" t="inlineStr">
        <is>
          <t>VÄRMLANDS LÄN</t>
        </is>
      </c>
      <c r="G165" t="inlineStr">
        <is>
          <t>KRISTINEHAMN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46242</v>
      </c>
      <c r="F166" t="inlineStr">
        <is>
          <t>VÄRMLANDS LÄN</t>
        </is>
      </c>
      <c r="G166" t="inlineStr">
        <is>
          <t>KRISTINEHAMN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46242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45379</v>
      </c>
      <c r="E168" s="1" t="n">
        <v>46242</v>
      </c>
      <c r="F168" t="inlineStr">
        <is>
          <t>VÄRMLANDS LÄN</t>
        </is>
      </c>
      <c r="G168" t="inlineStr">
        <is>
          <t>KRISTINEHAMN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46242</v>
      </c>
      <c r="F169" t="inlineStr">
        <is>
          <t>VÄRMLANDS LÄN</t>
        </is>
      </c>
      <c r="G169" t="inlineStr">
        <is>
          <t>KRISTINEHAMN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46242</v>
      </c>
      <c r="F170" t="inlineStr">
        <is>
          <t>VÄRMLANDS LÄN</t>
        </is>
      </c>
      <c r="G170" t="inlineStr">
        <is>
          <t>KRISTINEHAMN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46242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46242</v>
      </c>
      <c r="F172" t="inlineStr">
        <is>
          <t>VÄRMLANDS LÄN</t>
        </is>
      </c>
      <c r="G172" t="inlineStr">
        <is>
          <t>KRISTINEHAMN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46242</v>
      </c>
      <c r="F173" t="inlineStr">
        <is>
          <t>VÄRMLANDS LÄN</t>
        </is>
      </c>
      <c r="G173" t="inlineStr">
        <is>
          <t>KRISTINEHAMN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45191</v>
      </c>
      <c r="E174" s="1" t="n">
        <v>46242</v>
      </c>
      <c r="F174" t="inlineStr">
        <is>
          <t>VÄRMLANDS LÄN</t>
        </is>
      </c>
      <c r="G174" t="inlineStr">
        <is>
          <t>KRISTINEHAMN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28731-2025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46242</v>
      </c>
      <c r="F175" t="inlineStr">
        <is>
          <t>VÄRMLANDS LÄN</t>
        </is>
      </c>
      <c r="G175" t="inlineStr">
        <is>
          <t>KRISTINEHAMN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46083</v>
      </c>
      <c r="E176" s="1" t="n">
        <v>46242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Bergvik skog väst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46242</v>
      </c>
      <c r="F177" t="inlineStr">
        <is>
          <t>VÄRMLANDS LÄN</t>
        </is>
      </c>
      <c r="G177" t="inlineStr">
        <is>
          <t>KRISTINEHAMN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45313</v>
      </c>
      <c r="E178" s="1" t="n">
        <v>46242</v>
      </c>
      <c r="F178" t="inlineStr">
        <is>
          <t>VÄRMLANDS LÄN</t>
        </is>
      </c>
      <c r="G178" t="inlineStr">
        <is>
          <t>KRISTINEHAMN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45933</v>
      </c>
      <c r="E179" s="1" t="n">
        <v>46242</v>
      </c>
      <c r="F179" t="inlineStr">
        <is>
          <t>VÄRMLANDS LÄN</t>
        </is>
      </c>
      <c r="G179" t="inlineStr">
        <is>
          <t>KRISTINEHAMN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45647</v>
      </c>
      <c r="E180" s="1" t="n">
        <v>46242</v>
      </c>
      <c r="F180" t="inlineStr">
        <is>
          <t>VÄRMLANDS LÄN</t>
        </is>
      </c>
      <c r="G180" t="inlineStr">
        <is>
          <t>KRISTINEHAMN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46242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46242</v>
      </c>
      <c r="F182" t="inlineStr">
        <is>
          <t>VÄRMLANDS LÄN</t>
        </is>
      </c>
      <c r="G182" t="inlineStr">
        <is>
          <t>KRISTINEHAMN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46242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46242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46242</v>
      </c>
      <c r="F185" t="inlineStr">
        <is>
          <t>VÄRMLANDS LÄN</t>
        </is>
      </c>
      <c r="G185" t="inlineStr">
        <is>
          <t>KRISTINEHAMN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46242</v>
      </c>
      <c r="F186" t="inlineStr">
        <is>
          <t>VÄRMLANDS LÄN</t>
        </is>
      </c>
      <c r="G186" t="inlineStr">
        <is>
          <t>KRISTINEHAMN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46242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46242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46242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46242</v>
      </c>
      <c r="F190" t="inlineStr">
        <is>
          <t>VÄRMLANDS LÄN</t>
        </is>
      </c>
      <c r="G190" t="inlineStr">
        <is>
          <t>KRISTINEHAMN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46242</v>
      </c>
      <c r="F191" t="inlineStr">
        <is>
          <t>VÄRMLANDS LÄN</t>
        </is>
      </c>
      <c r="G191" t="inlineStr">
        <is>
          <t>KRISTINEHAMN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46242</v>
      </c>
      <c r="F192" t="inlineStr">
        <is>
          <t>VÄRMLANDS LÄN</t>
        </is>
      </c>
      <c r="G192" t="inlineStr">
        <is>
          <t>KRISTINEHAMN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46242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45364</v>
      </c>
      <c r="E194" s="1" t="n">
        <v>46242</v>
      </c>
      <c r="F194" t="inlineStr">
        <is>
          <t>VÄRMLANDS LÄN</t>
        </is>
      </c>
      <c r="G194" t="inlineStr">
        <is>
          <t>KRISTINEHAMN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46242</v>
      </c>
      <c r="F195" t="inlineStr">
        <is>
          <t>VÄRMLANDS LÄN</t>
        </is>
      </c>
      <c r="G195" t="inlineStr">
        <is>
          <t>KRISTINEHAMN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45364</v>
      </c>
      <c r="E196" s="1" t="n">
        <v>46242</v>
      </c>
      <c r="F196" t="inlineStr">
        <is>
          <t>VÄRMLANDS LÄN</t>
        </is>
      </c>
      <c r="G196" t="inlineStr">
        <is>
          <t>KRISTINEHAMN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13459-2024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45387</v>
      </c>
      <c r="E197" s="1" t="n">
        <v>46242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46242</v>
      </c>
      <c r="F198" t="inlineStr">
        <is>
          <t>VÄRMLANDS LÄN</t>
        </is>
      </c>
      <c r="G198" t="inlineStr">
        <is>
          <t>KRISTINEHAMN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46242</v>
      </c>
      <c r="F199" t="inlineStr">
        <is>
          <t>VÄRMLANDS LÄN</t>
        </is>
      </c>
      <c r="G199" t="inlineStr">
        <is>
          <t>KRISTINEHAMN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46242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46242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46242</v>
      </c>
      <c r="F202" t="inlineStr">
        <is>
          <t>VÄRMLANDS LÄN</t>
        </is>
      </c>
      <c r="G202" t="inlineStr">
        <is>
          <t>KRISTINEHAMN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46242</v>
      </c>
      <c r="F203" t="inlineStr">
        <is>
          <t>VÄRMLANDS LÄN</t>
        </is>
      </c>
      <c r="G203" t="inlineStr">
        <is>
          <t>KRISTINEHAMN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15646-2026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46106</v>
      </c>
      <c r="E204" s="1" t="n">
        <v>46242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46242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46242</v>
      </c>
      <c r="F206" t="inlineStr">
        <is>
          <t>VÄRMLANDS LÄN</t>
        </is>
      </c>
      <c r="G206" t="inlineStr">
        <is>
          <t>KRISTINEHAMN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46242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44474</v>
      </c>
      <c r="E208" s="1" t="n">
        <v>46242</v>
      </c>
      <c r="F208" t="inlineStr">
        <is>
          <t>VÄRMLANDS LÄN</t>
        </is>
      </c>
      <c r="G208" t="inlineStr">
        <is>
          <t>KRISTINEHAMN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46242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14772-2022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46242</v>
      </c>
      <c r="F210" t="inlineStr">
        <is>
          <t>VÄRMLANDS LÄN</t>
        </is>
      </c>
      <c r="G210" t="inlineStr">
        <is>
          <t>KRISTINEHAMN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46242</v>
      </c>
      <c r="F211" t="inlineStr">
        <is>
          <t>VÄRMLANDS LÄN</t>
        </is>
      </c>
      <c r="G211" t="inlineStr">
        <is>
          <t>KRISTINEHAMN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45203</v>
      </c>
      <c r="E212" s="1" t="n">
        <v>46242</v>
      </c>
      <c r="F212" t="inlineStr">
        <is>
          <t>VÄRMLANDS LÄN</t>
        </is>
      </c>
      <c r="G212" t="inlineStr">
        <is>
          <t>KRISTINEHAMN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46242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46242</v>
      </c>
      <c r="F214" t="inlineStr">
        <is>
          <t>VÄRMLANDS LÄN</t>
        </is>
      </c>
      <c r="G214" t="inlineStr">
        <is>
          <t>KRISTINEHAMN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46242</v>
      </c>
      <c r="F215" t="inlineStr">
        <is>
          <t>VÄRMLANDS LÄN</t>
        </is>
      </c>
      <c r="G215" t="inlineStr">
        <is>
          <t>KRISTINEHAMN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46242</v>
      </c>
      <c r="F216" t="inlineStr">
        <is>
          <t>VÄRMLANDS LÄN</t>
        </is>
      </c>
      <c r="G216" t="inlineStr">
        <is>
          <t>KRISTINEHAMN</t>
        </is>
      </c>
      <c r="I216" t="n">
        <v>20.1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45961</v>
      </c>
      <c r="E217" s="1" t="n">
        <v>46242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46242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46242</v>
      </c>
      <c r="F219" t="inlineStr">
        <is>
          <t>VÄRMLANDS LÄN</t>
        </is>
      </c>
      <c r="G219" t="inlineStr">
        <is>
          <t>KRISTINEHAMN</t>
        </is>
      </c>
      <c r="I219" t="n">
        <v>15.9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46242</v>
      </c>
      <c r="F220" t="inlineStr">
        <is>
          <t>VÄRMLANDS LÄN</t>
        </is>
      </c>
      <c r="G220" t="inlineStr">
        <is>
          <t>KRISTINEHAMN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46242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46242</v>
      </c>
      <c r="F222" t="inlineStr">
        <is>
          <t>VÄRMLANDS LÄN</t>
        </is>
      </c>
      <c r="G222" t="inlineStr">
        <is>
          <t>KRISTINEHAMN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44648</v>
      </c>
      <c r="E223" s="1" t="n">
        <v>46242</v>
      </c>
      <c r="F223" t="inlineStr">
        <is>
          <t>VÄRMLANDS LÄN</t>
        </is>
      </c>
      <c r="G223" t="inlineStr">
        <is>
          <t>KRISTINEHAMN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45698</v>
      </c>
      <c r="E224" s="1" t="n">
        <v>46242</v>
      </c>
      <c r="F224" t="inlineStr">
        <is>
          <t>VÄRMLANDS LÄN</t>
        </is>
      </c>
      <c r="G224" t="inlineStr">
        <is>
          <t>KRISTINEHAMN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45681</v>
      </c>
      <c r="E225" s="1" t="n">
        <v>46242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Kommuner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46242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Naturvårdsverket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32821-2023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45112</v>
      </c>
      <c r="E227" s="1" t="n">
        <v>46242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Kommuner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46242</v>
      </c>
      <c r="F228" t="inlineStr">
        <is>
          <t>VÄRMLANDS LÄN</t>
        </is>
      </c>
      <c r="G228" t="inlineStr">
        <is>
          <t>KRISTINEHAMN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46242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46242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45974</v>
      </c>
      <c r="E231" s="1" t="n">
        <v>46242</v>
      </c>
      <c r="F231" t="inlineStr">
        <is>
          <t>VÄRMLANDS LÄN</t>
        </is>
      </c>
      <c r="G231" t="inlineStr">
        <is>
          <t>KRISTINEHAMN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46242</v>
      </c>
      <c r="F232" t="inlineStr">
        <is>
          <t>VÄRMLANDS LÄN</t>
        </is>
      </c>
      <c r="G232" t="inlineStr">
        <is>
          <t>KRISTINEHAMN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54606-2021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46242</v>
      </c>
      <c r="F233" t="inlineStr">
        <is>
          <t>VÄRMLANDS LÄN</t>
        </is>
      </c>
      <c r="G233" t="inlineStr">
        <is>
          <t>KRISTINEHAMN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32821-2023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45112</v>
      </c>
      <c r="E234" s="1" t="n">
        <v>46242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46242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46242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45361</v>
      </c>
      <c r="E237" s="1" t="n">
        <v>46242</v>
      </c>
      <c r="F237" t="inlineStr">
        <is>
          <t>VÄRMLANDS LÄN</t>
        </is>
      </c>
      <c r="G237" t="inlineStr">
        <is>
          <t>KRISTINEHAMN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46242</v>
      </c>
      <c r="F238" t="inlineStr">
        <is>
          <t>VÄRMLANDS LÄN</t>
        </is>
      </c>
      <c r="G238" t="inlineStr">
        <is>
          <t>KRISTINEHAMN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46242</v>
      </c>
      <c r="F239" t="inlineStr">
        <is>
          <t>VÄRMLANDS LÄN</t>
        </is>
      </c>
      <c r="G239" t="inlineStr">
        <is>
          <t>KRISTINEHAMN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46242</v>
      </c>
      <c r="F240" t="inlineStr">
        <is>
          <t>VÄRMLANDS LÄN</t>
        </is>
      </c>
      <c r="G240" t="inlineStr">
        <is>
          <t>KRISTINEHAMN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46242</v>
      </c>
      <c r="F241" t="inlineStr">
        <is>
          <t>VÄRMLANDS LÄN</t>
        </is>
      </c>
      <c r="G241" t="inlineStr">
        <is>
          <t>KRISTINEHAMN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46242</v>
      </c>
      <c r="F242" t="inlineStr">
        <is>
          <t>VÄRMLANDS LÄN</t>
        </is>
      </c>
      <c r="G242" t="inlineStr">
        <is>
          <t>KRISTINEHAMN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45679</v>
      </c>
      <c r="E243" s="1" t="n">
        <v>46242</v>
      </c>
      <c r="F243" t="inlineStr">
        <is>
          <t>VÄRMLANDS LÄN</t>
        </is>
      </c>
      <c r="G243" t="inlineStr">
        <is>
          <t>KRISTINEHAMN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46242</v>
      </c>
      <c r="F244" t="inlineStr">
        <is>
          <t>VÄRMLANDS LÄN</t>
        </is>
      </c>
      <c r="G244" t="inlineStr">
        <is>
          <t>KRISTINEHAMN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46242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45450</v>
      </c>
      <c r="E246" s="1" t="n">
        <v>46242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68526-2021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44526</v>
      </c>
      <c r="E247" s="1" t="n">
        <v>46242</v>
      </c>
      <c r="F247" t="inlineStr">
        <is>
          <t>VÄRMLANDS LÄN</t>
        </is>
      </c>
      <c r="G247" t="inlineStr">
        <is>
          <t>KRISTINEHAMN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68530-2021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46242</v>
      </c>
      <c r="F248" t="inlineStr">
        <is>
          <t>VÄRMLANDS LÄN</t>
        </is>
      </c>
      <c r="G248" t="inlineStr">
        <is>
          <t>KRISTINEHAMN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40988-2021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44421</v>
      </c>
      <c r="E249" s="1" t="n">
        <v>46242</v>
      </c>
      <c r="F249" t="inlineStr">
        <is>
          <t>VÄRMLANDS LÄN</t>
        </is>
      </c>
      <c r="G249" t="inlineStr">
        <is>
          <t>KRISTINEHAMN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44712</v>
      </c>
      <c r="E250" s="1" t="n">
        <v>46242</v>
      </c>
      <c r="F250" t="inlineStr">
        <is>
          <t>VÄRMLANDS LÄN</t>
        </is>
      </c>
      <c r="G250" t="inlineStr">
        <is>
          <t>KRISTINEHAMN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46242</v>
      </c>
      <c r="F251" t="inlineStr">
        <is>
          <t>VÄRMLANDS LÄN</t>
        </is>
      </c>
      <c r="G251" t="inlineStr">
        <is>
          <t>KRISTINEHAMN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46242</v>
      </c>
      <c r="F252" t="inlineStr">
        <is>
          <t>VÄRMLANDS LÄN</t>
        </is>
      </c>
      <c r="G252" t="inlineStr">
        <is>
          <t>KRISTINEHAMN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46242</v>
      </c>
      <c r="F253" t="inlineStr">
        <is>
          <t>VÄRMLANDS LÄN</t>
        </is>
      </c>
      <c r="G253" t="inlineStr">
        <is>
          <t>KRISTINEHAMN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46242</v>
      </c>
      <c r="F254" t="inlineStr">
        <is>
          <t>VÄRMLANDS LÄN</t>
        </is>
      </c>
      <c r="G254" t="inlineStr">
        <is>
          <t>KRISTINEHAMN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46242</v>
      </c>
      <c r="F255" t="inlineStr">
        <is>
          <t>VÄRMLANDS LÄN</t>
        </is>
      </c>
      <c r="G255" t="inlineStr">
        <is>
          <t>KRISTINEHAMN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44753</v>
      </c>
      <c r="E256" s="1" t="n">
        <v>46242</v>
      </c>
      <c r="F256" t="inlineStr">
        <is>
          <t>VÄRMLANDS LÄN</t>
        </is>
      </c>
      <c r="G256" t="inlineStr">
        <is>
          <t>KRISTINEHAMN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46242</v>
      </c>
      <c r="F257" t="inlineStr">
        <is>
          <t>VÄRMLANDS LÄN</t>
        </is>
      </c>
      <c r="G257" t="inlineStr">
        <is>
          <t>KRISTINEHAMN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46242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46242</v>
      </c>
      <c r="F259" t="inlineStr">
        <is>
          <t>VÄRMLANDS LÄN</t>
        </is>
      </c>
      <c r="G259" t="inlineStr">
        <is>
          <t>KRISTINEHAMN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46242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46242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46242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46242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44923</v>
      </c>
      <c r="E264" s="1" t="n">
        <v>46242</v>
      </c>
      <c r="F264" t="inlineStr">
        <is>
          <t>VÄRMLANDS LÄN</t>
        </is>
      </c>
      <c r="G264" t="inlineStr">
        <is>
          <t>KRISTINEHAMN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46242</v>
      </c>
      <c r="F265" t="inlineStr">
        <is>
          <t>VÄRMLANDS LÄN</t>
        </is>
      </c>
      <c r="G265" t="inlineStr">
        <is>
          <t>KRISTINEHAMN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46242</v>
      </c>
      <c r="F266" t="inlineStr">
        <is>
          <t>VÄRMLANDS LÄN</t>
        </is>
      </c>
      <c r="G266" t="inlineStr">
        <is>
          <t>KRISTINEHAMN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46242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46242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Bergvik skog väst AB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46242</v>
      </c>
      <c r="F269" t="inlineStr">
        <is>
          <t>VÄRMLANDS LÄN</t>
        </is>
      </c>
      <c r="G269" t="inlineStr">
        <is>
          <t>KRISTINEHAMN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46242</v>
      </c>
      <c r="F270" t="inlineStr">
        <is>
          <t>VÄRMLANDS LÄN</t>
        </is>
      </c>
      <c r="G270" t="inlineStr">
        <is>
          <t>KRISTINEHAMN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46242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46242</v>
      </c>
      <c r="F272" t="inlineStr">
        <is>
          <t>VÄRMLANDS LÄN</t>
        </is>
      </c>
      <c r="G272" t="inlineStr">
        <is>
          <t>KRISTINEHAMN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46242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52750-2021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44466</v>
      </c>
      <c r="E274" s="1" t="n">
        <v>46242</v>
      </c>
      <c r="F274" t="inlineStr">
        <is>
          <t>VÄRMLANDS LÄN</t>
        </is>
      </c>
      <c r="G274" t="inlineStr">
        <is>
          <t>KRISTINEHAMN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46242</v>
      </c>
      <c r="F275" t="inlineStr">
        <is>
          <t>VÄRMLANDS LÄN</t>
        </is>
      </c>
      <c r="G275" t="inlineStr">
        <is>
          <t>KRISTINEHAMN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46242</v>
      </c>
      <c r="F276" t="inlineStr">
        <is>
          <t>VÄRMLANDS LÄN</t>
        </is>
      </c>
      <c r="G276" t="inlineStr">
        <is>
          <t>KRISTINEHAMN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46242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46242</v>
      </c>
      <c r="F278" t="inlineStr">
        <is>
          <t>VÄRMLANDS LÄN</t>
        </is>
      </c>
      <c r="G278" t="inlineStr">
        <is>
          <t>KRISTINEHAMN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46242</v>
      </c>
      <c r="F279" t="inlineStr">
        <is>
          <t>VÄRMLANDS LÄN</t>
        </is>
      </c>
      <c r="G279" t="inlineStr">
        <is>
          <t>KRISTINEHAMN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46242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46242</v>
      </c>
      <c r="F281" t="inlineStr">
        <is>
          <t>VÄRMLANDS LÄN</t>
        </is>
      </c>
      <c r="G281" t="inlineStr">
        <is>
          <t>KRISTINEHAMN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46242</v>
      </c>
      <c r="F282" t="inlineStr">
        <is>
          <t>VÄRMLANDS LÄN</t>
        </is>
      </c>
      <c r="G282" t="inlineStr">
        <is>
          <t>KRISTINEHAMN</t>
        </is>
      </c>
      <c r="I282" t="n">
        <v>8.4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46242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46242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46242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46242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Naturvårdsverket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46242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44489</v>
      </c>
      <c r="E288" s="1" t="n">
        <v>46242</v>
      </c>
      <c r="F288" t="inlineStr">
        <is>
          <t>VÄRMLANDS LÄN</t>
        </is>
      </c>
      <c r="G288" t="inlineStr">
        <is>
          <t>KRISTINEHAMN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45127</v>
      </c>
      <c r="E289" s="1" t="n">
        <v>46242</v>
      </c>
      <c r="F289" t="inlineStr">
        <is>
          <t>VÄRMLANDS LÄN</t>
        </is>
      </c>
      <c r="G289" t="inlineStr">
        <is>
          <t>KRISTINEHAMN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45827</v>
      </c>
      <c r="E290" s="1" t="n">
        <v>46242</v>
      </c>
      <c r="F290" t="inlineStr">
        <is>
          <t>VÄRMLANDS LÄN</t>
        </is>
      </c>
      <c r="G290" t="inlineStr">
        <is>
          <t>KRISTINEHAMN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46242</v>
      </c>
      <c r="F291" t="inlineStr">
        <is>
          <t>VÄRMLANDS LÄN</t>
        </is>
      </c>
      <c r="G291" t="inlineStr">
        <is>
          <t>KRISTINEHAMN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46242</v>
      </c>
      <c r="F292" t="inlineStr">
        <is>
          <t>VÄRMLANDS LÄN</t>
        </is>
      </c>
      <c r="G292" t="inlineStr">
        <is>
          <t>KRISTINEHAMN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46242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45666</v>
      </c>
      <c r="E294" s="1" t="n">
        <v>46242</v>
      </c>
      <c r="F294" t="inlineStr">
        <is>
          <t>VÄRMLANDS LÄN</t>
        </is>
      </c>
      <c r="G294" t="inlineStr">
        <is>
          <t>KRISTINEHAMN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45322</v>
      </c>
      <c r="E295" s="1" t="n">
        <v>46242</v>
      </c>
      <c r="F295" t="inlineStr">
        <is>
          <t>VÄRMLANDS LÄN</t>
        </is>
      </c>
      <c r="G295" t="inlineStr">
        <is>
          <t>KRISTINEHAMN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46242</v>
      </c>
      <c r="F296" t="inlineStr">
        <is>
          <t>VÄRMLANDS LÄN</t>
        </is>
      </c>
      <c r="G296" t="inlineStr">
        <is>
          <t>KRISTINEHAMN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46242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45461</v>
      </c>
      <c r="E298" s="1" t="n">
        <v>46242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46149</v>
      </c>
      <c r="E299" s="1" t="n">
        <v>46242</v>
      </c>
      <c r="F299" t="inlineStr">
        <is>
          <t>VÄRMLANDS LÄN</t>
        </is>
      </c>
      <c r="G299" t="inlineStr">
        <is>
          <t>KRISTINEHAMN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45313</v>
      </c>
      <c r="E300" s="1" t="n">
        <v>46242</v>
      </c>
      <c r="F300" t="inlineStr">
        <is>
          <t>VÄRMLANDS LÄN</t>
        </is>
      </c>
      <c r="G300" t="inlineStr">
        <is>
          <t>KRISTINEHAMN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45782</v>
      </c>
      <c r="E301" s="1" t="n">
        <v>46242</v>
      </c>
      <c r="F301" t="inlineStr">
        <is>
          <t>VÄRMLANDS LÄN</t>
        </is>
      </c>
      <c r="G301" t="inlineStr">
        <is>
          <t>KRISTINEHAMN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46242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46242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46242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46242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46242</v>
      </c>
      <c r="F306" t="inlineStr">
        <is>
          <t>VÄRMLANDS LÄN</t>
        </is>
      </c>
      <c r="G306" t="inlineStr">
        <is>
          <t>KRISTINEHAMN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46242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46242</v>
      </c>
      <c r="F308" t="inlineStr">
        <is>
          <t>VÄRMLANDS LÄN</t>
        </is>
      </c>
      <c r="G308" t="inlineStr">
        <is>
          <t>KRISTINEHAMN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46242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46242</v>
      </c>
      <c r="F310" t="inlineStr">
        <is>
          <t>VÄRMLANDS LÄN</t>
        </is>
      </c>
      <c r="G310" t="inlineStr">
        <is>
          <t>KRISTINEHAMN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45022</v>
      </c>
      <c r="E311" s="1" t="n">
        <v>46242</v>
      </c>
      <c r="F311" t="inlineStr">
        <is>
          <t>VÄRMLANDS LÄN</t>
        </is>
      </c>
      <c r="G311" t="inlineStr">
        <is>
          <t>KRISTINEHAMN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46242</v>
      </c>
      <c r="F312" t="inlineStr">
        <is>
          <t>VÄRMLANDS LÄN</t>
        </is>
      </c>
      <c r="G312" t="inlineStr">
        <is>
          <t>KRISTINEHAMN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46242</v>
      </c>
      <c r="F313" t="inlineStr">
        <is>
          <t>VÄRMLANDS LÄN</t>
        </is>
      </c>
      <c r="G313" t="inlineStr">
        <is>
          <t>KRISTINEHAMN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47951-2021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44448</v>
      </c>
      <c r="E314" s="1" t="n">
        <v>46242</v>
      </c>
      <c r="F314" t="inlineStr">
        <is>
          <t>VÄRMLANDS LÄN</t>
        </is>
      </c>
      <c r="G314" t="inlineStr">
        <is>
          <t>KRISTINEHAMN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45478</v>
      </c>
      <c r="E315" s="1" t="n">
        <v>46242</v>
      </c>
      <c r="F315" t="inlineStr">
        <is>
          <t>VÄRMLANDS LÄN</t>
        </is>
      </c>
      <c r="G315" t="inlineStr">
        <is>
          <t>KRISTINEHAMN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45478</v>
      </c>
      <c r="E316" s="1" t="n">
        <v>46242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46242</v>
      </c>
      <c r="F317" t="inlineStr">
        <is>
          <t>VÄRMLANDS LÄN</t>
        </is>
      </c>
      <c r="G317" t="inlineStr">
        <is>
          <t>KRISTINEHAMN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46242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46242</v>
      </c>
      <c r="F319" t="inlineStr">
        <is>
          <t>VÄRMLANDS LÄN</t>
        </is>
      </c>
      <c r="G319" t="inlineStr">
        <is>
          <t>KRISTINEHAMN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46242</v>
      </c>
      <c r="F320" t="inlineStr">
        <is>
          <t>VÄRMLANDS LÄN</t>
        </is>
      </c>
      <c r="G320" t="inlineStr">
        <is>
          <t>KRISTINEHAMN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46242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46242</v>
      </c>
      <c r="F322" t="inlineStr">
        <is>
          <t>VÄRMLANDS LÄN</t>
        </is>
      </c>
      <c r="G322" t="inlineStr">
        <is>
          <t>KRISTINEHAMN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46242</v>
      </c>
      <c r="F323" t="inlineStr">
        <is>
          <t>VÄRMLANDS LÄN</t>
        </is>
      </c>
      <c r="G323" t="inlineStr">
        <is>
          <t>KRISTINEHAMN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44941</v>
      </c>
      <c r="E324" s="1" t="n">
        <v>46242</v>
      </c>
      <c r="F324" t="inlineStr">
        <is>
          <t>VÄRMLANDS LÄN</t>
        </is>
      </c>
      <c r="G324" t="inlineStr">
        <is>
          <t>KRISTINEHAMN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46242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46242</v>
      </c>
      <c r="F326" t="inlineStr">
        <is>
          <t>VÄRMLANDS LÄN</t>
        </is>
      </c>
      <c r="G326" t="inlineStr">
        <is>
          <t>KRISTINEHAMN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46242</v>
      </c>
      <c r="F327" t="inlineStr">
        <is>
          <t>VÄRMLANDS LÄN</t>
        </is>
      </c>
      <c r="G327" t="inlineStr">
        <is>
          <t>KRISTINEHAMN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46242</v>
      </c>
      <c r="F328" t="inlineStr">
        <is>
          <t>VÄRMLANDS LÄN</t>
        </is>
      </c>
      <c r="G328" t="inlineStr">
        <is>
          <t>KRISTINEHAMN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45625</v>
      </c>
      <c r="E329" s="1" t="n">
        <v>46242</v>
      </c>
      <c r="F329" t="inlineStr">
        <is>
          <t>VÄRMLANDS LÄN</t>
        </is>
      </c>
      <c r="G329" t="inlineStr">
        <is>
          <t>KRISTINEHAMN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45450</v>
      </c>
      <c r="E330" s="1" t="n">
        <v>46242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Kommuner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46242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45876</v>
      </c>
      <c r="E332" s="1" t="n">
        <v>46242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24570-2026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46170</v>
      </c>
      <c r="E333" s="1" t="n">
        <v>46242</v>
      </c>
      <c r="F333" t="inlineStr">
        <is>
          <t>VÄRMLANDS LÄN</t>
        </is>
      </c>
      <c r="G333" t="inlineStr">
        <is>
          <t>KRISTINEHAMN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45154</v>
      </c>
      <c r="E334" s="1" t="n">
        <v>46242</v>
      </c>
      <c r="F334" t="inlineStr">
        <is>
          <t>VÄRMLANDS LÄN</t>
        </is>
      </c>
      <c r="G334" t="inlineStr">
        <is>
          <t>KRISTINEHAMN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45876</v>
      </c>
      <c r="E335" s="1" t="n">
        <v>46242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46242</v>
      </c>
      <c r="F336" t="inlineStr">
        <is>
          <t>VÄRMLANDS LÄN</t>
        </is>
      </c>
      <c r="G336" t="inlineStr">
        <is>
          <t>KRISTINEHAMN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32409-2023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46242</v>
      </c>
      <c r="F337" t="inlineStr">
        <is>
          <t>VÄRMLANDS LÄN</t>
        </is>
      </c>
      <c r="G337" t="inlineStr">
        <is>
          <t>KRISTINEHAMN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44831</v>
      </c>
      <c r="E338" s="1" t="n">
        <v>46242</v>
      </c>
      <c r="F338" t="inlineStr">
        <is>
          <t>VÄRMLANDS LÄN</t>
        </is>
      </c>
      <c r="G338" t="inlineStr">
        <is>
          <t>KRISTINEHAMN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45460</v>
      </c>
      <c r="E339" s="1" t="n">
        <v>46242</v>
      </c>
      <c r="F339" t="inlineStr">
        <is>
          <t>VÄRMLANDS LÄN</t>
        </is>
      </c>
      <c r="G339" t="inlineStr">
        <is>
          <t>KRISTINEHAMN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46171</v>
      </c>
      <c r="E340" s="1" t="n">
        <v>46242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46242</v>
      </c>
      <c r="F341" t="inlineStr">
        <is>
          <t>VÄRMLANDS LÄN</t>
        </is>
      </c>
      <c r="G341" t="inlineStr">
        <is>
          <t>KRISTINEHAMN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61942-2022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46242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Kommuner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41857-2023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45176</v>
      </c>
      <c r="E343" s="1" t="n">
        <v>46242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25258-2026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46175</v>
      </c>
      <c r="E344" s="1" t="n">
        <v>46242</v>
      </c>
      <c r="F344" t="inlineStr">
        <is>
          <t>VÄRMLANDS LÄN</t>
        </is>
      </c>
      <c r="G344" t="inlineStr">
        <is>
          <t>KRISTINEHAMN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46242</v>
      </c>
      <c r="F345" t="inlineStr">
        <is>
          <t>VÄRMLANDS LÄN</t>
        </is>
      </c>
      <c r="G345" t="inlineStr">
        <is>
          <t>KRISTINEHAMN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46242</v>
      </c>
      <c r="F346" t="inlineStr">
        <is>
          <t>VÄRMLANDS LÄN</t>
        </is>
      </c>
      <c r="G346" t="inlineStr">
        <is>
          <t>KRISTINEHAMN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46242</v>
      </c>
      <c r="F347" t="inlineStr">
        <is>
          <t>VÄRMLANDS LÄN</t>
        </is>
      </c>
      <c r="G347" t="inlineStr">
        <is>
          <t>KRISTINEHAMN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46242</v>
      </c>
      <c r="F348" t="inlineStr">
        <is>
          <t>VÄRMLANDS LÄN</t>
        </is>
      </c>
      <c r="G348" t="inlineStr">
        <is>
          <t>KRISTINEHAMN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46242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23704-2022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44722</v>
      </c>
      <c r="E350" s="1" t="n">
        <v>46242</v>
      </c>
      <c r="F350" t="inlineStr">
        <is>
          <t>VÄRMLANDS LÄN</t>
        </is>
      </c>
      <c r="G350" t="inlineStr">
        <is>
          <t>KRISTINEHAMN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23706-2022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44722</v>
      </c>
      <c r="E351" s="1" t="n">
        <v>46242</v>
      </c>
      <c r="F351" t="inlineStr">
        <is>
          <t>VÄRMLANDS LÄN</t>
        </is>
      </c>
      <c r="G351" t="inlineStr">
        <is>
          <t>KRISTINEHAMN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45002</v>
      </c>
      <c r="E352" s="1" t="n">
        <v>46242</v>
      </c>
      <c r="F352" t="inlineStr">
        <is>
          <t>VÄRMLANDS LÄN</t>
        </is>
      </c>
      <c r="G352" t="inlineStr">
        <is>
          <t>KRISTINEHAMN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17110-2022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44677</v>
      </c>
      <c r="E353" s="1" t="n">
        <v>46242</v>
      </c>
      <c r="F353" t="inlineStr">
        <is>
          <t>VÄRMLANDS LÄN</t>
        </is>
      </c>
      <c r="G353" t="inlineStr">
        <is>
          <t>KRISTINEHAMN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47398-2023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45202</v>
      </c>
      <c r="E354" s="1" t="n">
        <v>46242</v>
      </c>
      <c r="F354" t="inlineStr">
        <is>
          <t>VÄRMLANDS LÄN</t>
        </is>
      </c>
      <c r="G354" t="inlineStr">
        <is>
          <t>KRISTINEHAMN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45097</v>
      </c>
      <c r="E355" s="1" t="n">
        <v>46242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46242</v>
      </c>
      <c r="F356" t="inlineStr">
        <is>
          <t>VÄRMLANDS LÄN</t>
        </is>
      </c>
      <c r="G356" t="inlineStr">
        <is>
          <t>KRISTINEHAMN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46242</v>
      </c>
      <c r="F357" t="inlineStr">
        <is>
          <t>VÄRMLANDS LÄN</t>
        </is>
      </c>
      <c r="G357" t="inlineStr">
        <is>
          <t>KRISTINEHAMN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46242</v>
      </c>
      <c r="F358" t="inlineStr">
        <is>
          <t>VÄRMLANDS LÄN</t>
        </is>
      </c>
      <c r="G358" t="inlineStr">
        <is>
          <t>KRISTINEHAMN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45058</v>
      </c>
      <c r="E359" s="1" t="n">
        <v>46242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Kommuner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46037</v>
      </c>
      <c r="E360" s="1" t="n">
        <v>46242</v>
      </c>
      <c r="F360" t="inlineStr">
        <is>
          <t>VÄRMLANDS LÄN</t>
        </is>
      </c>
      <c r="G360" t="inlineStr">
        <is>
          <t>KRISTINEHAMN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21688-2024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45442</v>
      </c>
      <c r="E361" s="1" t="n">
        <v>46242</v>
      </c>
      <c r="F361" t="inlineStr">
        <is>
          <t>VÄRMLANDS LÄN</t>
        </is>
      </c>
      <c r="G361" t="inlineStr">
        <is>
          <t>KRISTINEHAMN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45226</v>
      </c>
      <c r="E362" s="1" t="n">
        <v>46242</v>
      </c>
      <c r="F362" t="inlineStr">
        <is>
          <t>VÄRMLANDS LÄN</t>
        </is>
      </c>
      <c r="G362" t="inlineStr">
        <is>
          <t>KRISTINEHAMN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46242</v>
      </c>
      <c r="F363" t="inlineStr">
        <is>
          <t>VÄRMLANDS LÄN</t>
        </is>
      </c>
      <c r="G363" t="inlineStr">
        <is>
          <t>KRISTINEHAMN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46230</v>
      </c>
      <c r="E364" s="1" t="n">
        <v>46242</v>
      </c>
      <c r="F364" t="inlineStr">
        <is>
          <t>VÄRMLANDS LÄN</t>
        </is>
      </c>
      <c r="G364" t="inlineStr">
        <is>
          <t>KRISTINEHAMN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46242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46242</v>
      </c>
      <c r="F366" t="inlineStr">
        <is>
          <t>VÄRMLANDS LÄN</t>
        </is>
      </c>
      <c r="G366" t="inlineStr">
        <is>
          <t>KRISTINEHAMN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45379</v>
      </c>
      <c r="E367" s="1" t="n">
        <v>46242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46242</v>
      </c>
      <c r="F368" t="inlineStr">
        <is>
          <t>VÄRMLANDS LÄN</t>
        </is>
      </c>
      <c r="G368" t="inlineStr">
        <is>
          <t>KRISTINEHAMN</t>
        </is>
      </c>
      <c r="I368" t="n">
        <v>12.6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44431</v>
      </c>
      <c r="E369" s="1" t="n">
        <v>46242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46242</v>
      </c>
      <c r="F370" t="inlineStr">
        <is>
          <t>VÄRMLANDS LÄN</t>
        </is>
      </c>
      <c r="G370" t="inlineStr">
        <is>
          <t>KRISTINEHAMN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46242</v>
      </c>
      <c r="F371" t="inlineStr">
        <is>
          <t>VÄRMLANDS LÄN</t>
        </is>
      </c>
      <c r="G371" t="inlineStr">
        <is>
          <t>KRISTINEHAMN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46242</v>
      </c>
      <c r="F372" t="inlineStr">
        <is>
          <t>VÄRMLANDS LÄN</t>
        </is>
      </c>
      <c r="G372" t="inlineStr">
        <is>
          <t>KRISTINEHAMN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46242</v>
      </c>
      <c r="F373" t="inlineStr">
        <is>
          <t>VÄRMLANDS LÄN</t>
        </is>
      </c>
      <c r="G373" t="inlineStr">
        <is>
          <t>KRISTINEHAMN</t>
        </is>
      </c>
      <c r="I373" t="n">
        <v>11.1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46242</v>
      </c>
      <c r="F374" t="inlineStr">
        <is>
          <t>VÄRMLANDS LÄN</t>
        </is>
      </c>
      <c r="G374" t="inlineStr">
        <is>
          <t>KRISTINEHAMN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22896-2023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45072</v>
      </c>
      <c r="E375" s="1" t="n">
        <v>46242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46242</v>
      </c>
      <c r="F376" t="inlineStr">
        <is>
          <t>VÄRMLANDS LÄN</t>
        </is>
      </c>
      <c r="G376" t="inlineStr">
        <is>
          <t>KRISTINEHAMN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46242</v>
      </c>
      <c r="F377" t="inlineStr">
        <is>
          <t>VÄRMLANDS LÄN</t>
        </is>
      </c>
      <c r="G377" t="inlineStr">
        <is>
          <t>KRISTINEHAMN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47091-2022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44851</v>
      </c>
      <c r="E378" s="1" t="n">
        <v>46242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Kommuner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45181</v>
      </c>
      <c r="E379" s="1" t="n">
        <v>46242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46242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44637</v>
      </c>
      <c r="E381" s="1" t="n">
        <v>46242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45690-2021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46242</v>
      </c>
      <c r="F382" t="inlineStr">
        <is>
          <t>VÄRMLANDS LÄN</t>
        </is>
      </c>
      <c r="G382" t="inlineStr">
        <is>
          <t>KRISTINEHAMN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45513</v>
      </c>
      <c r="E383" s="1" t="n">
        <v>46242</v>
      </c>
      <c r="F383" t="inlineStr">
        <is>
          <t>VÄRMLANDS LÄN</t>
        </is>
      </c>
      <c r="G383" t="inlineStr">
        <is>
          <t>KRISTINEHAMN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45141</v>
      </c>
      <c r="E384" s="1" t="n">
        <v>46242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45386</v>
      </c>
      <c r="E385" s="1" t="n">
        <v>46242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46242</v>
      </c>
      <c r="F386" t="inlineStr">
        <is>
          <t>VÄRMLANDS LÄN</t>
        </is>
      </c>
      <c r="G386" t="inlineStr">
        <is>
          <t>KRISTINEHAMN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46242</v>
      </c>
      <c r="F387" t="inlineStr">
        <is>
          <t>VÄRMLANDS LÄN</t>
        </is>
      </c>
      <c r="G387" t="inlineStr">
        <is>
          <t>KRISTINEHAMN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46242</v>
      </c>
      <c r="F388" t="inlineStr">
        <is>
          <t>VÄRMLANDS LÄN</t>
        </is>
      </c>
      <c r="G388" t="inlineStr">
        <is>
          <t>KRISTINEHAMN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46242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44924</v>
      </c>
      <c r="E390" s="1" t="n">
        <v>46242</v>
      </c>
      <c r="F390" t="inlineStr">
        <is>
          <t>VÄRMLANDS LÄN</t>
        </is>
      </c>
      <c r="G390" t="inlineStr">
        <is>
          <t>KRISTINEHAMN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48405-2023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45201</v>
      </c>
      <c r="E391" s="1" t="n">
        <v>46242</v>
      </c>
      <c r="F391" t="inlineStr">
        <is>
          <t>VÄRMLANDS LÄN</t>
        </is>
      </c>
      <c r="G391" t="inlineStr">
        <is>
          <t>KRISTINEHAMN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46242</v>
      </c>
      <c r="F392" t="inlineStr">
        <is>
          <t>VÄRMLANDS LÄN</t>
        </is>
      </c>
      <c r="G392" t="inlineStr">
        <is>
          <t>KRISTINEHAMN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45377</v>
      </c>
      <c r="E393" s="1" t="n">
        <v>46242</v>
      </c>
      <c r="F393" t="inlineStr">
        <is>
          <t>VÄRMLANDS LÄN</t>
        </is>
      </c>
      <c r="G393" t="inlineStr">
        <is>
          <t>KRISTINEHAMN</t>
        </is>
      </c>
      <c r="I393" t="n">
        <v>13.2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46242</v>
      </c>
      <c r="F394" t="inlineStr">
        <is>
          <t>VÄRMLANDS LÄN</t>
        </is>
      </c>
      <c r="G394" t="inlineStr">
        <is>
          <t>KRISTINEHAMN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46242</v>
      </c>
      <c r="F395" t="inlineStr">
        <is>
          <t>VÄRMLANDS LÄN</t>
        </is>
      </c>
      <c r="G395" t="inlineStr">
        <is>
          <t>KRISTINEHAMN</t>
        </is>
      </c>
      <c r="I395" t="n">
        <v>19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46242</v>
      </c>
      <c r="F396" t="inlineStr">
        <is>
          <t>VÄRMLANDS LÄN</t>
        </is>
      </c>
      <c r="G396" t="inlineStr">
        <is>
          <t>KRISTINEHAMN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46242</v>
      </c>
      <c r="F397" t="inlineStr">
        <is>
          <t>VÄRMLANDS LÄN</t>
        </is>
      </c>
      <c r="G397" t="inlineStr">
        <is>
          <t>KRISTINEHAMN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45656</v>
      </c>
      <c r="E398" s="1" t="n">
        <v>46242</v>
      </c>
      <c r="F398" t="inlineStr">
        <is>
          <t>VÄRMLANDS LÄN</t>
        </is>
      </c>
      <c r="G398" t="inlineStr">
        <is>
          <t>KRISTINEHAMN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59144-2021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44490</v>
      </c>
      <c r="E399" s="1" t="n">
        <v>46242</v>
      </c>
      <c r="F399" t="inlineStr">
        <is>
          <t>VÄRMLANDS LÄN</t>
        </is>
      </c>
      <c r="G399" t="inlineStr">
        <is>
          <t>KRISTINEHAMN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46242</v>
      </c>
      <c r="F400" t="inlineStr">
        <is>
          <t>VÄRMLANDS LÄN</t>
        </is>
      </c>
      <c r="G400" t="inlineStr">
        <is>
          <t>KRISTINEHAMN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44651</v>
      </c>
      <c r="E401" s="1" t="n">
        <v>46242</v>
      </c>
      <c r="F401" t="inlineStr">
        <is>
          <t>VÄRMLANDS LÄN</t>
        </is>
      </c>
      <c r="G401" t="inlineStr">
        <is>
          <t>KRISTINEHAMN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45379</v>
      </c>
      <c r="E402" s="1" t="n">
        <v>46242</v>
      </c>
      <c r="F402" t="inlineStr">
        <is>
          <t>VÄRMLANDS LÄN</t>
        </is>
      </c>
      <c r="G402" t="inlineStr">
        <is>
          <t>KRISTINEHAMN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60567-2024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45644</v>
      </c>
      <c r="E403" s="1" t="n">
        <v>46242</v>
      </c>
      <c r="F403" t="inlineStr">
        <is>
          <t>VÄRMLANDS LÄN</t>
        </is>
      </c>
      <c r="G403" t="inlineStr">
        <is>
          <t>KRISTINEHAMN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44722</v>
      </c>
      <c r="E404" s="1" t="n">
        <v>46242</v>
      </c>
      <c r="F404" t="inlineStr">
        <is>
          <t>VÄRMLANDS LÄN</t>
        </is>
      </c>
      <c r="G404" t="inlineStr">
        <is>
          <t>KRISTINEHAMN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46242</v>
      </c>
      <c r="F405" t="inlineStr">
        <is>
          <t>VÄRMLANDS LÄN</t>
        </is>
      </c>
      <c r="G405" t="inlineStr">
        <is>
          <t>KRISTINEHAMN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46242</v>
      </c>
      <c r="F406" t="inlineStr">
        <is>
          <t>VÄRMLANDS LÄN</t>
        </is>
      </c>
      <c r="G406" t="inlineStr">
        <is>
          <t>KRISTINEHAMN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46242</v>
      </c>
      <c r="F407" t="inlineStr">
        <is>
          <t>VÄRMLANDS LÄN</t>
        </is>
      </c>
      <c r="G407" t="inlineStr">
        <is>
          <t>KRISTINEHAMN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70126-2021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44533</v>
      </c>
      <c r="E408" s="1" t="n">
        <v>46242</v>
      </c>
      <c r="F408" t="inlineStr">
        <is>
          <t>VÄRMLANDS LÄN</t>
        </is>
      </c>
      <c r="G408" t="inlineStr">
        <is>
          <t>KRISTINEHAMN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44847</v>
      </c>
      <c r="E409" s="1" t="n">
        <v>46242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45595</v>
      </c>
      <c r="E410" s="1" t="n">
        <v>46242</v>
      </c>
      <c r="F410" t="inlineStr">
        <is>
          <t>VÄRMLANDS LÄN</t>
        </is>
      </c>
      <c r="G410" t="inlineStr">
        <is>
          <t>KRISTINEHAMN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45081</v>
      </c>
      <c r="E411" s="1" t="n">
        <v>46242</v>
      </c>
      <c r="F411" t="inlineStr">
        <is>
          <t>VÄRMLANDS LÄN</t>
        </is>
      </c>
      <c r="G411" t="inlineStr">
        <is>
          <t>KRISTINEHAMN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41297-2021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44424</v>
      </c>
      <c r="E412" s="1" t="n">
        <v>46242</v>
      </c>
      <c r="F412" t="inlineStr">
        <is>
          <t>VÄRMLANDS LÄN</t>
        </is>
      </c>
      <c r="G412" t="inlineStr">
        <is>
          <t>KRISTINEHAMN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46242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Naturvårdsverket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46242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46242</v>
      </c>
      <c r="F415" t="inlineStr">
        <is>
          <t>VÄRMLANDS LÄN</t>
        </is>
      </c>
      <c r="G415" t="inlineStr">
        <is>
          <t>KRISTINEHAMN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56522-2021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44480</v>
      </c>
      <c r="E416" s="1" t="n">
        <v>46242</v>
      </c>
      <c r="F416" t="inlineStr">
        <is>
          <t>VÄRMLANDS LÄN</t>
        </is>
      </c>
      <c r="G416" t="inlineStr">
        <is>
          <t>KRISTINEHAMN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46242</v>
      </c>
      <c r="F417" t="inlineStr">
        <is>
          <t>VÄRMLANDS LÄN</t>
        </is>
      </c>
      <c r="G417" t="inlineStr">
        <is>
          <t>KRISTINEHAMN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45344</v>
      </c>
      <c r="E418" s="1" t="n">
        <v>46242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Naturvårdsverket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46242</v>
      </c>
      <c r="F419" t="inlineStr">
        <is>
          <t>VÄRMLANDS LÄN</t>
        </is>
      </c>
      <c r="G419" t="inlineStr">
        <is>
          <t>KRISTINEHAMN</t>
        </is>
      </c>
      <c r="I419" t="n">
        <v>9.6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46242</v>
      </c>
      <c r="F420" t="inlineStr">
        <is>
          <t>VÄRMLANDS LÄN</t>
        </is>
      </c>
      <c r="G420" t="inlineStr">
        <is>
          <t>KRISTINEHAMN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46242</v>
      </c>
      <c r="F421" t="inlineStr">
        <is>
          <t>VÄRMLANDS LÄN</t>
        </is>
      </c>
      <c r="G421" t="inlineStr">
        <is>
          <t>KRISTINEHAMN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45118</v>
      </c>
      <c r="E422" s="1" t="n">
        <v>46242</v>
      </c>
      <c r="F422" t="inlineStr">
        <is>
          <t>VÄRMLANDS LÄN</t>
        </is>
      </c>
      <c r="G422" t="inlineStr">
        <is>
          <t>KRISTINEHAMN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45769</v>
      </c>
      <c r="E423" s="1" t="n">
        <v>46242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Kyrkan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37742-2023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45159</v>
      </c>
      <c r="E424" s="1" t="n">
        <v>46242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44888</v>
      </c>
      <c r="E425" s="1" t="n">
        <v>46242</v>
      </c>
      <c r="F425" t="inlineStr">
        <is>
          <t>VÄRMLANDS LÄN</t>
        </is>
      </c>
      <c r="G425" t="inlineStr">
        <is>
          <t>KRISTINEHAMN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23707-2022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44722</v>
      </c>
      <c r="E426" s="1" t="n">
        <v>46242</v>
      </c>
      <c r="F426" t="inlineStr">
        <is>
          <t>VÄRMLANDS LÄN</t>
        </is>
      </c>
      <c r="G426" t="inlineStr">
        <is>
          <t>KRISTINEHAMN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45379</v>
      </c>
      <c r="E427" s="1" t="n">
        <v>46242</v>
      </c>
      <c r="F427" t="inlineStr">
        <is>
          <t>VÄRMLANDS LÄN</t>
        </is>
      </c>
      <c r="G427" t="inlineStr">
        <is>
          <t>KRISTINEHAMN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28834-2024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45478</v>
      </c>
      <c r="E428" s="1" t="n">
        <v>46242</v>
      </c>
      <c r="F428" t="inlineStr">
        <is>
          <t>VÄRMLANDS LÄN</t>
        </is>
      </c>
      <c r="G428" t="inlineStr">
        <is>
          <t>KRISTINEHAMN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44770</v>
      </c>
      <c r="E429" s="1" t="n">
        <v>46242</v>
      </c>
      <c r="F429" t="inlineStr">
        <is>
          <t>VÄRMLANDS LÄN</t>
        </is>
      </c>
      <c r="G429" t="inlineStr">
        <is>
          <t>KRISTINEHAMN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45701</v>
      </c>
      <c r="E430" s="1" t="n">
        <v>46242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21602-2025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45783</v>
      </c>
      <c r="E431" s="1" t="n">
        <v>46242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59190-2024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45636</v>
      </c>
      <c r="E432" s="1" t="n">
        <v>46242</v>
      </c>
      <c r="F432" t="inlineStr">
        <is>
          <t>VÄRMLANDS LÄN</t>
        </is>
      </c>
      <c r="G432" t="inlineStr">
        <is>
          <t>KRISTINEHAMN</t>
        </is>
      </c>
      <c r="I432" t="n">
        <v>8.300000000000001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36774-2022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44805</v>
      </c>
      <c r="E433" s="1" t="n">
        <v>46242</v>
      </c>
      <c r="F433" t="inlineStr">
        <is>
          <t>VÄRMLANDS LÄN</t>
        </is>
      </c>
      <c r="G433" t="inlineStr">
        <is>
          <t>KRISTINEHAMN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23510-2025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45792</v>
      </c>
      <c r="E434" s="1" t="n">
        <v>46242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46242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46242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46242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46242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46242</v>
      </c>
      <c r="F439" t="inlineStr">
        <is>
          <t>VÄRMLANDS LÄN</t>
        </is>
      </c>
      <c r="G439" t="inlineStr">
        <is>
          <t>KRISTINEHAMN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45686</v>
      </c>
      <c r="E440" s="1" t="n">
        <v>46242</v>
      </c>
      <c r="F440" t="inlineStr">
        <is>
          <t>VÄRMLANDS LÄN</t>
        </is>
      </c>
      <c r="G440" t="inlineStr">
        <is>
          <t>KRISTINEHAMN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45407</v>
      </c>
      <c r="E441" s="1" t="n">
        <v>46242</v>
      </c>
      <c r="F441" t="inlineStr">
        <is>
          <t>VÄRMLANDS LÄN</t>
        </is>
      </c>
      <c r="G441" t="inlineStr">
        <is>
          <t>KRISTINEHAMN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45674</v>
      </c>
      <c r="E442" s="1" t="n">
        <v>46242</v>
      </c>
      <c r="F442" t="inlineStr">
        <is>
          <t>VÄRMLANDS LÄN</t>
        </is>
      </c>
      <c r="G442" t="inlineStr">
        <is>
          <t>KRISTINEHAMN</t>
        </is>
      </c>
      <c r="I442" t="n">
        <v>9.699999999999999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45282</v>
      </c>
      <c r="E443" s="1" t="n">
        <v>46242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24970-2025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45799</v>
      </c>
      <c r="E444" s="1" t="n">
        <v>46242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45575</v>
      </c>
      <c r="E445" s="1" t="n">
        <v>46242</v>
      </c>
      <c r="F445" t="inlineStr">
        <is>
          <t>VÄRMLANDS LÄN</t>
        </is>
      </c>
      <c r="G445" t="inlineStr">
        <is>
          <t>KRISTINEHAMN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1219-2020</t>
        </is>
      </c>
      <c r="B446" t="inlineStr">
        <is>
          <t>samrådsanmälan</t>
        </is>
      </c>
      <c r="C446" t="n">
        <v/>
      </c>
      <c r="D446" s="1" t="n">
        <v>43980</v>
      </c>
      <c r="E446" s="1" t="n">
        <v>46242</v>
      </c>
      <c r="F446" t="inlineStr">
        <is>
          <t>VÄRMLANDS LÄN</t>
        </is>
      </c>
      <c r="G446" t="inlineStr">
        <is>
          <t>KRISTINEHAMN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4147-2023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46242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13.5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4149-2023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45247</v>
      </c>
      <c r="E448" s="1" t="n">
        <v>46242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Naturvårdsverket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1815-2022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44657</v>
      </c>
      <c r="E449" s="1" t="n">
        <v>46242</v>
      </c>
      <c r="F449" t="inlineStr">
        <is>
          <t>VÄRMLANDS LÄN</t>
        </is>
      </c>
      <c r="G449" t="inlineStr">
        <is>
          <t>KRISTINEHAMN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2254-2023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45103</v>
      </c>
      <c r="E450" s="1" t="n">
        <v>46242</v>
      </c>
      <c r="F450" t="inlineStr">
        <is>
          <t>VÄRMLANDS LÄN</t>
        </is>
      </c>
      <c r="G450" t="inlineStr">
        <is>
          <t>KRISTINEHAMN</t>
        </is>
      </c>
      <c r="I450" t="n">
        <v>51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2879-2022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44711</v>
      </c>
      <c r="E451" s="1" t="n">
        <v>46242</v>
      </c>
      <c r="F451" t="inlineStr">
        <is>
          <t>VÄRMLANDS LÄN</t>
        </is>
      </c>
      <c r="G451" t="inlineStr">
        <is>
          <t>KRISTINEHAMN</t>
        </is>
      </c>
      <c r="I451" t="n">
        <v>25.9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1899-2024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46242</v>
      </c>
      <c r="F452" t="inlineStr">
        <is>
          <t>VÄRMLANDS LÄN</t>
        </is>
      </c>
      <c r="G452" t="inlineStr">
        <is>
          <t>KRISTINEHAMN</t>
        </is>
      </c>
      <c r="I452" t="n">
        <v>21.4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2301-2024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45463</v>
      </c>
      <c r="E453" s="1" t="n">
        <v>46242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28.1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2553-2024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45475</v>
      </c>
      <c r="E454" s="1" t="n">
        <v>46242</v>
      </c>
      <c r="F454" t="inlineStr">
        <is>
          <t>VÄRMLANDS LÄN</t>
        </is>
      </c>
      <c r="G454" t="inlineStr">
        <is>
          <t>KRISTINEHAMN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3378-2024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45533</v>
      </c>
      <c r="E455" s="1" t="n">
        <v>46242</v>
      </c>
      <c r="F455" t="inlineStr">
        <is>
          <t>VÄRMLANDS LÄN</t>
        </is>
      </c>
      <c r="G455" t="inlineStr">
        <is>
          <t>KRISTINEHAMN</t>
        </is>
      </c>
      <c r="I455" t="n">
        <v>53.7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2393-2022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44690</v>
      </c>
      <c r="E456" s="1" t="n">
        <v>46242</v>
      </c>
      <c r="F456" t="inlineStr">
        <is>
          <t>VÄRMLANDS LÄN</t>
        </is>
      </c>
      <c r="G456" t="inlineStr">
        <is>
          <t>KRISTINEHAMN</t>
        </is>
      </c>
      <c r="I456" t="n">
        <v>51.7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1903-2024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46242</v>
      </c>
      <c r="F457" t="inlineStr">
        <is>
          <t>VÄRMLANDS LÄN</t>
        </is>
      </c>
      <c r="G457" t="inlineStr">
        <is>
          <t>KRISTINEHAMN</t>
        </is>
      </c>
      <c r="I457" t="n">
        <v>104.3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717-2023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44985</v>
      </c>
      <c r="E458" s="1" t="n">
        <v>46242</v>
      </c>
      <c r="F458" t="inlineStr">
        <is>
          <t>VÄRMLANDS LÄN</t>
        </is>
      </c>
      <c r="G458" t="inlineStr">
        <is>
          <t>KRISTINEHAMN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45414</v>
      </c>
      <c r="E459" s="1" t="n">
        <v>46242</v>
      </c>
      <c r="F459" t="inlineStr">
        <is>
          <t>VÄRMLANDS LÄN</t>
        </is>
      </c>
      <c r="G459" t="inlineStr">
        <is>
          <t>KRISTINEHAMN</t>
        </is>
      </c>
      <c r="I459" t="n">
        <v>42.9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1900-2024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46242</v>
      </c>
      <c r="F460" t="inlineStr">
        <is>
          <t>VÄRMLANDS LÄN</t>
        </is>
      </c>
      <c r="G460" t="inlineStr">
        <is>
          <t>KRISTINEHAMN</t>
        </is>
      </c>
      <c r="I460" t="n">
        <v>63.5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3374-2024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46242</v>
      </c>
      <c r="F461" t="inlineStr">
        <is>
          <t>VÄRMLANDS LÄN</t>
        </is>
      </c>
      <c r="G461" t="inlineStr">
        <is>
          <t>KRISTINEHAMN</t>
        </is>
      </c>
      <c r="I461" t="n">
        <v>18.3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45118</v>
      </c>
      <c r="E462" s="1" t="n">
        <v>46242</v>
      </c>
      <c r="F462" t="inlineStr">
        <is>
          <t>VÄRMLANDS LÄN</t>
        </is>
      </c>
      <c r="G462" t="inlineStr">
        <is>
          <t>KRISTINEHAMN</t>
        </is>
      </c>
      <c r="I462" t="n">
        <v>42.3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4146-2023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45247</v>
      </c>
      <c r="E463" s="1" t="n">
        <v>46242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Bergvik skog väst AB</t>
        </is>
      </c>
      <c r="I463" t="n">
        <v>11.6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3007-2024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45512</v>
      </c>
      <c r="E464" s="1" t="n">
        <v>46242</v>
      </c>
      <c r="F464" t="inlineStr">
        <is>
          <t>VÄRMLANDS LÄN</t>
        </is>
      </c>
      <c r="G464" t="inlineStr">
        <is>
          <t>KRISTINEHAMN</t>
        </is>
      </c>
      <c r="I464" t="n">
        <v>56.9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1418-2025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45783</v>
      </c>
      <c r="E465" s="1" t="n">
        <v>46242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1546-2025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45792</v>
      </c>
      <c r="E466" s="1" t="n">
        <v>46242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1698-2025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45805</v>
      </c>
      <c r="E467" s="1" t="n">
        <v>46242</v>
      </c>
      <c r="F467" t="inlineStr">
        <is>
          <t>VÄRMLANDS LÄN</t>
        </is>
      </c>
      <c r="G467" t="inlineStr">
        <is>
          <t>KRISTINEHAMN</t>
        </is>
      </c>
      <c r="H467" t="inlineStr">
        <is>
          <t>Sveaskog</t>
        </is>
      </c>
      <c r="I467" t="n">
        <v>12.6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121-2026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46040</v>
      </c>
      <c r="E468" s="1" t="n">
        <v>46242</v>
      </c>
      <c r="F468" t="inlineStr">
        <is>
          <t>VÄRMLANDS LÄN</t>
        </is>
      </c>
      <c r="G468" t="inlineStr">
        <is>
          <t>KRISTINEHAMN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46106</v>
      </c>
      <c r="E469" s="1" t="n">
        <v>46242</v>
      </c>
      <c r="F469" t="inlineStr">
        <is>
          <t>VÄRMLANDS LÄN</t>
        </is>
      </c>
      <c r="G469" t="inlineStr">
        <is>
          <t>KRISTINEHAMN</t>
        </is>
      </c>
      <c r="H469" t="inlineStr">
        <is>
          <t>Sveaskog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99-2026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46036</v>
      </c>
      <c r="E470" s="1" t="n">
        <v>46242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Naturvårdsverket</t>
        </is>
      </c>
      <c r="I470" t="n">
        <v>80.8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2026-08-08T01:56:01Z</dcterms:created>
  <dcterms:modified xmlns:dcterms="http://purl.org/dc/terms/" xmlns:xsi="http://www.w3.org/2001/XMLSchema-instance" xsi:type="dcterms:W3CDTF">2026-08-08T01:56:01Z</dcterms:modified>
</cp:coreProperties>
</file>