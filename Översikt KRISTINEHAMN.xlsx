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46217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46217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46217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46217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46217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46217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46217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46217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46217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46217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46217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46217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46217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46217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46217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46217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46217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HYPERLINK("https://klasma.github.io/Logging_1781/artfynd/A 3302-2022 artfynd.xlsx", "A 3302-2022")</f>
        <v/>
      </c>
      <c r="W19">
        <f>HYPERLINK("https://klasma.github.io/Logging_1781/kartor/A 3302-2022 karta.png", "A 3302-2022")</f>
        <v/>
      </c>
      <c r="Y19">
        <f>HYPERLINK("https://klasma.github.io/Logging_1781/klagomål/A 3302-2022 FSC-klagomål.docx", "A 3302-2022")</f>
        <v/>
      </c>
      <c r="Z19">
        <f>HYPERLINK("https://klasma.github.io/Logging_1781/klagomålsmail/A 3302-2022 FSC-klagomål mail.docx", "A 3302-2022")</f>
        <v/>
      </c>
      <c r="AA19">
        <f>HYPERLINK("https://klasma.github.io/Logging_1781/tillsyn/A 3302-2022 tillsynsbegäran.docx", "A 3302-2022")</f>
        <v/>
      </c>
      <c r="AB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46217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s="2" t="inlineStr">
        <is>
          <t>Bombmurkla</t>
        </is>
      </c>
      <c r="V20">
        <f>HYPERLINK("https://klasma.github.io/Logging_1781/artfynd/A 59096-2024 artfynd.xlsx", "A 59096-2024")</f>
        <v/>
      </c>
      <c r="W20">
        <f>HYPERLINK("https://klasma.github.io/Logging_1781/kartor/A 59096-2024 karta.png", "A 59096-2024")</f>
        <v/>
      </c>
      <c r="Y20">
        <f>HYPERLINK("https://klasma.github.io/Logging_1781/klagomål/A 59096-2024 FSC-klagomål.docx", "A 59096-2024")</f>
        <v/>
      </c>
      <c r="Z20">
        <f>HYPERLINK("https://klasma.github.io/Logging_1781/klagomålsmail/A 59096-2024 FSC-klagomål mail.docx", "A 59096-2024")</f>
        <v/>
      </c>
      <c r="AA20">
        <f>HYPERLINK("https://klasma.github.io/Logging_1781/tillsyn/A 59096-2024 tillsynsbegäran.docx", "A 59096-2024")</f>
        <v/>
      </c>
      <c r="AB20">
        <f>HYPERLINK("https://klasma.github.io/Logging_1781/tillsynsmail/A 59096-2024 tillsynsbegäran mail.docx", "A 59096-2024")</f>
        <v/>
      </c>
    </row>
    <row r="21" ht="15" customHeight="1">
      <c r="A21" t="inlineStr">
        <is>
          <t>A 45122-2022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44843</v>
      </c>
      <c r="E21" s="1" t="n">
        <v>46217</v>
      </c>
      <c r="F21" t="inlineStr">
        <is>
          <t>VÄRMLANDS LÄN</t>
        </is>
      </c>
      <c r="G21" t="inlineStr">
        <is>
          <t>KRISTINEHAMN</t>
        </is>
      </c>
      <c r="I21" t="n">
        <v>3.3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Dvärglin</t>
        </is>
      </c>
      <c r="V21">
        <f>HYPERLINK("https://klasma.github.io/Logging_1781/artfynd/A 45122-2022 artfynd.xlsx", "A 45122-2022")</f>
        <v/>
      </c>
      <c r="W21">
        <f>HYPERLINK("https://klasma.github.io/Logging_1781/kartor/A 45122-2022 karta.png", "A 45122-2022")</f>
        <v/>
      </c>
      <c r="Y21">
        <f>HYPERLINK("https://klasma.github.io/Logging_1781/klagomål/A 45122-2022 FSC-klagomål.docx", "A 45122-2022")</f>
        <v/>
      </c>
      <c r="Z21">
        <f>HYPERLINK("https://klasma.github.io/Logging_1781/klagomålsmail/A 45122-2022 FSC-klagomål mail.docx", "A 45122-2022")</f>
        <v/>
      </c>
      <c r="AA21">
        <f>HYPERLINK("https://klasma.github.io/Logging_1781/tillsyn/A 45122-2022 tillsynsbegäran.docx", "A 45122-2022")</f>
        <v/>
      </c>
      <c r="AB21">
        <f>HYPERLINK("https://klasma.github.io/Logging_1781/tillsynsmail/A 45122-2022 tillsynsbegäran mail.docx", "A 45122-2022")</f>
        <v/>
      </c>
    </row>
    <row r="22" ht="15" customHeight="1">
      <c r="A22" t="inlineStr">
        <is>
          <t>A 54771-2022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46217</v>
      </c>
      <c r="F22" t="inlineStr">
        <is>
          <t>VÄRMLANDS LÄN</t>
        </is>
      </c>
      <c r="G22" t="inlineStr">
        <is>
          <t>KRISTINEHAMN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Röd glada</t>
        </is>
      </c>
      <c r="V22">
        <f>HYPERLINK("https://klasma.github.io/Logging_1781/artfynd/A 54771-2022 artfynd.xlsx", "A 54771-2022")</f>
        <v/>
      </c>
      <c r="W22">
        <f>HYPERLINK("https://klasma.github.io/Logging_1781/kartor/A 54771-2022 karta.png", "A 54771-2022")</f>
        <v/>
      </c>
      <c r="Y22">
        <f>HYPERLINK("https://klasma.github.io/Logging_1781/klagomål/A 54771-2022 FSC-klagomål.docx", "A 54771-2022")</f>
        <v/>
      </c>
      <c r="Z22">
        <f>HYPERLINK("https://klasma.github.io/Logging_1781/klagomålsmail/A 54771-2022 FSC-klagomål mail.docx", "A 54771-2022")</f>
        <v/>
      </c>
      <c r="AA22">
        <f>HYPERLINK("https://klasma.github.io/Logging_1781/tillsyn/A 54771-2022 tillsynsbegäran.docx", "A 54771-2022")</f>
        <v/>
      </c>
      <c r="AB22">
        <f>HYPERLINK("https://klasma.github.io/Logging_1781/tillsynsmail/A 54771-2022 tillsynsbegäran mail.docx", "A 54771-2022")</f>
        <v/>
      </c>
      <c r="AC22">
        <f>HYPERLINK("https://klasma.github.io/Logging_1781/fåglar/A 54771-2022 prioriterade fågelarter.docx", "A 54771-2022")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46217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 sköldmossa</t>
        </is>
      </c>
      <c r="V23">
        <f>HYPERLINK("https://klasma.github.io/Logging_1781/artfynd/A 53607-2025 artfynd.xlsx", "A 53607-2025")</f>
        <v/>
      </c>
      <c r="W23">
        <f>HYPERLINK("https://klasma.github.io/Logging_1781/kartor/A 53607-2025 karta.png", "A 53607-2025")</f>
        <v/>
      </c>
      <c r="Y23">
        <f>HYPERLINK("https://klasma.github.io/Logging_1781/klagomål/A 53607-2025 FSC-klagomål.docx", "A 53607-2025")</f>
        <v/>
      </c>
      <c r="Z23">
        <f>HYPERLINK("https://klasma.github.io/Logging_1781/klagomålsmail/A 53607-2025 FSC-klagomål mail.docx", "A 53607-2025")</f>
        <v/>
      </c>
      <c r="AA23">
        <f>HYPERLINK("https://klasma.github.io/Logging_1781/tillsyn/A 53607-2025 tillsynsbegäran.docx", "A 53607-2025")</f>
        <v/>
      </c>
      <c r="AB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46217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53630-2025 artfynd.xlsx", "A 53630-2025")</f>
        <v/>
      </c>
      <c r="W24">
        <f>HYPERLINK("https://klasma.github.io/Logging_1781/kartor/A 53630-2025 karta.png", "A 53630-2025")</f>
        <v/>
      </c>
      <c r="Y24">
        <f>HYPERLINK("https://klasma.github.io/Logging_1781/klagomål/A 53630-2025 FSC-klagomål.docx", "A 53630-2025")</f>
        <v/>
      </c>
      <c r="Z24">
        <f>HYPERLINK("https://klasma.github.io/Logging_1781/klagomålsmail/A 53630-2025 FSC-klagomål mail.docx", "A 53630-2025")</f>
        <v/>
      </c>
      <c r="AA24">
        <f>HYPERLINK("https://klasma.github.io/Logging_1781/tillsyn/A 53630-2025 tillsynsbegäran.docx", "A 53630-2025")</f>
        <v/>
      </c>
      <c r="AB24">
        <f>HYPERLINK("https://klasma.github.io/Logging_1781/tillsynsmail/A 53630-2025 tillsynsbegäran mail.docx", "A 53630-2025")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46217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Slåttergubbe</t>
        </is>
      </c>
      <c r="V25">
        <f>HYPERLINK("https://klasma.github.io/Logging_1781/artfynd/A 58021-2025 artfynd.xlsx", "A 58021-2025")</f>
        <v/>
      </c>
      <c r="W25">
        <f>HYPERLINK("https://klasma.github.io/Logging_1781/kartor/A 58021-2025 karta.png", "A 58021-2025")</f>
        <v/>
      </c>
      <c r="Y25">
        <f>HYPERLINK("https://klasma.github.io/Logging_1781/klagomål/A 58021-2025 FSC-klagomål.docx", "A 58021-2025")</f>
        <v/>
      </c>
      <c r="Z25">
        <f>HYPERLINK("https://klasma.github.io/Logging_1781/klagomålsmail/A 58021-2025 FSC-klagomål mail.docx", "A 58021-2025")</f>
        <v/>
      </c>
      <c r="AA25">
        <f>HYPERLINK("https://klasma.github.io/Logging_1781/tillsyn/A 58021-2025 tillsynsbegäran.docx", "A 58021-2025")</f>
        <v/>
      </c>
      <c r="AB25">
        <f>HYPERLINK("https://klasma.github.io/Logging_1781/tillsynsmail/A 58021-2025 tillsynsbegäran mail.docx", "A 58021-2025")</f>
        <v/>
      </c>
    </row>
    <row r="26" ht="15" customHeight="1">
      <c r="A26" t="inlineStr">
        <is>
          <t>A 20746-2026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46217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6.3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 sköldmossa</t>
        </is>
      </c>
      <c r="V26">
        <f>HYPERLINK("https://klasma.github.io/Logging_1781/artfynd/A 20746-2026 artfynd.xlsx", "A 20746-2026")</f>
        <v/>
      </c>
      <c r="W26">
        <f>HYPERLINK("https://klasma.github.io/Logging_1781/kartor/A 20746-2026 karta.png", "A 20746-2026")</f>
        <v/>
      </c>
      <c r="Y26">
        <f>HYPERLINK("https://klasma.github.io/Logging_1781/klagomål/A 20746-2026 FSC-klagomål.docx", "A 20746-2026")</f>
        <v/>
      </c>
      <c r="Z26">
        <f>HYPERLINK("https://klasma.github.io/Logging_1781/klagomålsmail/A 20746-2026 FSC-klagomål mail.docx", "A 20746-2026")</f>
        <v/>
      </c>
      <c r="AA26">
        <f>HYPERLINK("https://klasma.github.io/Logging_1781/tillsyn/A 20746-2026 tillsynsbegäran.docx", "A 20746-2026")</f>
        <v/>
      </c>
      <c r="AB26">
        <f>HYPERLINK("https://klasma.github.io/Logging_1781/tillsynsmail/A 20746-2026 tillsynsbegäran mail.docx", "A 20746-2026")</f>
        <v/>
      </c>
    </row>
    <row r="27" ht="15" customHeight="1">
      <c r="A27" t="inlineStr">
        <is>
          <t>A 13025-2023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46217</v>
      </c>
      <c r="F27" t="inlineStr">
        <is>
          <t>VÄRMLANDS LÄN</t>
        </is>
      </c>
      <c r="G27" t="inlineStr">
        <is>
          <t>KRISTINEHAMN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Kamjordstjärna</t>
        </is>
      </c>
      <c r="V27">
        <f>HYPERLINK("https://klasma.github.io/Logging_1781/artfynd/A 13025-2023 artfynd.xlsx", "A 13025-2023")</f>
        <v/>
      </c>
      <c r="W27">
        <f>HYPERLINK("https://klasma.github.io/Logging_1781/kartor/A 13025-2023 karta.png", "A 13025-2023")</f>
        <v/>
      </c>
      <c r="Y27">
        <f>HYPERLINK("https://klasma.github.io/Logging_1781/klagomål/A 13025-2023 FSC-klagomål.docx", "A 13025-2023")</f>
        <v/>
      </c>
      <c r="Z27">
        <f>HYPERLINK("https://klasma.github.io/Logging_1781/klagomålsmail/A 13025-2023 FSC-klagomål mail.docx", "A 13025-2023")</f>
        <v/>
      </c>
      <c r="AA27">
        <f>HYPERLINK("https://klasma.github.io/Logging_1781/tillsyn/A 13025-2023 tillsynsbegäran.docx", "A 13025-2023")</f>
        <v/>
      </c>
      <c r="AB27">
        <f>HYPERLINK("https://klasma.github.io/Logging_1781/tillsynsmail/A 13025-2023 tillsynsbegäran mail.docx", "A 13025-2023")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46217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Sparvuggla</t>
        </is>
      </c>
      <c r="V28">
        <f>HYPERLINK("https://klasma.github.io/Logging_1781/artfynd/A 61238-2025 artfynd.xlsx", "A 61238-2025")</f>
        <v/>
      </c>
      <c r="W28">
        <f>HYPERLINK("https://klasma.github.io/Logging_1781/kartor/A 61238-2025 karta.png", "A 61238-2025")</f>
        <v/>
      </c>
      <c r="Y28">
        <f>HYPERLINK("https://klasma.github.io/Logging_1781/klagomål/A 61238-2025 FSC-klagomål.docx", "A 61238-2025")</f>
        <v/>
      </c>
      <c r="Z28">
        <f>HYPERLINK("https://klasma.github.io/Logging_1781/klagomålsmail/A 61238-2025 FSC-klagomål mail.docx", "A 61238-2025")</f>
        <v/>
      </c>
      <c r="AA28">
        <f>HYPERLINK("https://klasma.github.io/Logging_1781/tillsyn/A 61238-2025 tillsynsbegäran.docx", "A 61238-2025")</f>
        <v/>
      </c>
      <c r="AB28">
        <f>HYPERLINK("https://klasma.github.io/Logging_1781/tillsynsmail/A 61238-2025 tillsynsbegäran mail.docx", "A 61238-2025")</f>
        <v/>
      </c>
      <c r="AC28">
        <f>HYPERLINK("https://klasma.github.io/Logging_1781/fåglar/A 61238-2025 prioriterade fågelarter.docx", "A 61238-2025")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46217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Bombmurkla</t>
        </is>
      </c>
      <c r="V29">
        <f>HYPERLINK("https://klasma.github.io/Logging_1781/artfynd/A 12593-2024 artfynd.xlsx", "A 12593-2024")</f>
        <v/>
      </c>
      <c r="W29">
        <f>HYPERLINK("https://klasma.github.io/Logging_1781/kartor/A 12593-2024 karta.png", "A 12593-2024")</f>
        <v/>
      </c>
      <c r="Y29">
        <f>HYPERLINK("https://klasma.github.io/Logging_1781/klagomål/A 12593-2024 FSC-klagomål.docx", "A 12593-2024")</f>
        <v/>
      </c>
      <c r="Z29">
        <f>HYPERLINK("https://klasma.github.io/Logging_1781/klagomålsmail/A 12593-2024 FSC-klagomål mail.docx", "A 12593-2024")</f>
        <v/>
      </c>
      <c r="AA29">
        <f>HYPERLINK("https://klasma.github.io/Logging_1781/tillsyn/A 12593-2024 tillsynsbegäran.docx", "A 12593-2024")</f>
        <v/>
      </c>
      <c r="AB29">
        <f>HYPERLINK("https://klasma.github.io/Logging_1781/tillsynsmail/A 12593-2024 tillsynsbegäran mail.docx", "A 12593-2024")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46217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Bombmurkla</t>
        </is>
      </c>
      <c r="V30">
        <f>HYPERLINK("https://klasma.github.io/Logging_1781/artfynd/A 8714-2024 artfynd.xlsx", "A 8714-2024")</f>
        <v/>
      </c>
      <c r="W30">
        <f>HYPERLINK("https://klasma.github.io/Logging_1781/kartor/A 8714-2024 karta.png", "A 8714-2024")</f>
        <v/>
      </c>
      <c r="Y30">
        <f>HYPERLINK("https://klasma.github.io/Logging_1781/klagomål/A 8714-2024 FSC-klagomål.docx", "A 8714-2024")</f>
        <v/>
      </c>
      <c r="Z30">
        <f>HYPERLINK("https://klasma.github.io/Logging_1781/klagomålsmail/A 8714-2024 FSC-klagomål mail.docx", "A 8714-2024")</f>
        <v/>
      </c>
      <c r="AA30">
        <f>HYPERLINK("https://klasma.github.io/Logging_1781/tillsyn/A 8714-2024 tillsynsbegäran.docx", "A 8714-2024")</f>
        <v/>
      </c>
      <c r="AB30">
        <f>HYPERLINK("https://klasma.github.io/Logging_1781/tillsynsmail/A 8714-2024 tillsynsbegäran mail.docx", "A 8714-2024")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46217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Björksplintborre</t>
        </is>
      </c>
      <c r="V31">
        <f>HYPERLINK("https://klasma.github.io/Logging_1781/artfynd/A 60714-2025 artfynd.xlsx", "A 60714-2025")</f>
        <v/>
      </c>
      <c r="W31">
        <f>HYPERLINK("https://klasma.github.io/Logging_1781/kartor/A 60714-2025 karta.png", "A 60714-2025")</f>
        <v/>
      </c>
      <c r="Y31">
        <f>HYPERLINK("https://klasma.github.io/Logging_1781/klagomål/A 60714-2025 FSC-klagomål.docx", "A 60714-2025")</f>
        <v/>
      </c>
      <c r="Z31">
        <f>HYPERLINK("https://klasma.github.io/Logging_1781/klagomålsmail/A 60714-2025 FSC-klagomål mail.docx", "A 60714-2025")</f>
        <v/>
      </c>
      <c r="AA31">
        <f>HYPERLINK("https://klasma.github.io/Logging_1781/tillsyn/A 60714-2025 tillsynsbegäran.docx", "A 60714-2025")</f>
        <v/>
      </c>
      <c r="AB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46217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HYPERLINK("https://klasma.github.io/Logging_1781/artfynd/A 14762-2026 artfynd.xlsx", "A 14762-2026")</f>
        <v/>
      </c>
      <c r="W32">
        <f>HYPERLINK("https://klasma.github.io/Logging_1781/kartor/A 14762-2026 karta.png", "A 14762-2026")</f>
        <v/>
      </c>
      <c r="Y32">
        <f>HYPERLINK("https://klasma.github.io/Logging_1781/klagomål/A 14762-2026 FSC-klagomål.docx", "A 14762-2026")</f>
        <v/>
      </c>
      <c r="Z32">
        <f>HYPERLINK("https://klasma.github.io/Logging_1781/klagomålsmail/A 14762-2026 FSC-klagomål mail.docx", "A 14762-2026")</f>
        <v/>
      </c>
      <c r="AA32">
        <f>HYPERLINK("https://klasma.github.io/Logging_1781/tillsyn/A 14762-2026 tillsynsbegäran.docx", "A 14762-2026")</f>
        <v/>
      </c>
      <c r="AB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46217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Fläcknycklar</t>
        </is>
      </c>
      <c r="V33">
        <f>HYPERLINK("https://klasma.github.io/Logging_1781/artfynd/A 14760-2026 artfynd.xlsx", "A 14760-2026")</f>
        <v/>
      </c>
      <c r="W33">
        <f>HYPERLINK("https://klasma.github.io/Logging_1781/kartor/A 14760-2026 karta.png", "A 14760-2026")</f>
        <v/>
      </c>
      <c r="Y33">
        <f>HYPERLINK("https://klasma.github.io/Logging_1781/klagomål/A 14760-2026 FSC-klagomål.docx", "A 14760-2026")</f>
        <v/>
      </c>
      <c r="Z33">
        <f>HYPERLINK("https://klasma.github.io/Logging_1781/klagomålsmail/A 14760-2026 FSC-klagomål mail.docx", "A 14760-2026")</f>
        <v/>
      </c>
      <c r="AA33">
        <f>HYPERLINK("https://klasma.github.io/Logging_1781/tillsyn/A 14760-2026 tillsynsbegäran.docx", "A 14760-2026")</f>
        <v/>
      </c>
      <c r="AB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46217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Trana</t>
        </is>
      </c>
      <c r="V34">
        <f>HYPERLINK("https://klasma.github.io/Logging_1781/artfynd/A 25888-2025 artfynd.xlsx", "A 25888-2025")</f>
        <v/>
      </c>
      <c r="W34">
        <f>HYPERLINK("https://klasma.github.io/Logging_1781/kartor/A 25888-2025 karta.png", "A 25888-2025")</f>
        <v/>
      </c>
      <c r="Y34">
        <f>HYPERLINK("https://klasma.github.io/Logging_1781/klagomål/A 25888-2025 FSC-klagomål.docx", "A 25888-2025")</f>
        <v/>
      </c>
      <c r="Z34">
        <f>HYPERLINK("https://klasma.github.io/Logging_1781/klagomålsmail/A 25888-2025 FSC-klagomål mail.docx", "A 25888-2025")</f>
        <v/>
      </c>
      <c r="AA34">
        <f>HYPERLINK("https://klasma.github.io/Logging_1781/tillsyn/A 25888-2025 tillsynsbegäran.docx", "A 25888-2025")</f>
        <v/>
      </c>
      <c r="AB34">
        <f>HYPERLINK("https://klasma.github.io/Logging_1781/tillsynsmail/A 25888-2025 tillsynsbegäran mail.docx", "A 25888-2025")</f>
        <v/>
      </c>
      <c r="AC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46217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Stor vårtrattskivling</t>
        </is>
      </c>
      <c r="V35">
        <f>HYPERLINK("https://klasma.github.io/Logging_1781/artfynd/A 28394-2025 artfynd.xlsx", "A 28394-2025")</f>
        <v/>
      </c>
      <c r="W35">
        <f>HYPERLINK("https://klasma.github.io/Logging_1781/kartor/A 28394-2025 karta.png", "A 28394-2025")</f>
        <v/>
      </c>
      <c r="Y35">
        <f>HYPERLINK("https://klasma.github.io/Logging_1781/klagomål/A 28394-2025 FSC-klagomål.docx", "A 28394-2025")</f>
        <v/>
      </c>
      <c r="Z35">
        <f>HYPERLINK("https://klasma.github.io/Logging_1781/klagomålsmail/A 28394-2025 FSC-klagomål mail.docx", "A 28394-2025")</f>
        <v/>
      </c>
      <c r="AA35">
        <f>HYPERLINK("https://klasma.github.io/Logging_1781/tillsyn/A 28394-2025 tillsynsbegäran.docx", "A 28394-2025")</f>
        <v/>
      </c>
      <c r="AB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46217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46217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Dvärglin</t>
        </is>
      </c>
      <c r="V37">
        <f>HYPERLINK("https://klasma.github.io/Logging_1781/artfynd/S 2398-2022 artfynd.xlsx", "S 2398-2022")</f>
        <v/>
      </c>
      <c r="W37">
        <f>HYPERLINK("https://klasma.github.io/Logging_1781/kartor/S 2398-2022 karta.png", "S 2398-2022")</f>
        <v/>
      </c>
      <c r="Y37">
        <f>HYPERLINK("https://klasma.github.io/Logging_1781/klagomål/S 2398-2022 FSC-klagomål.docx", "S 2398-2022")</f>
        <v/>
      </c>
      <c r="Z37">
        <f>HYPERLINK("https://klasma.github.io/Logging_1781/klagomålsmail/S 2398-2022 FSC-klagomål mail.docx", "S 2398-2022")</f>
        <v/>
      </c>
      <c r="AA37">
        <f>HYPERLINK("https://klasma.github.io/Logging_1781/tillsyn/S 2398-2022 tillsynsbegäran.docx", "S 2398-2022")</f>
        <v/>
      </c>
      <c r="AB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46217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Gråskimlig fladdermus</t>
        </is>
      </c>
      <c r="V38">
        <f>HYPERLINK("https://klasma.github.io/Logging_1781/artfynd/S 2487-2022 artfynd.xlsx", "S 2487-2022")</f>
        <v/>
      </c>
      <c r="W38">
        <f>HYPERLINK("https://klasma.github.io/Logging_1781/kartor/S 2487-2022 karta.png", "S 2487-2022")</f>
        <v/>
      </c>
      <c r="Y38">
        <f>HYPERLINK("https://klasma.github.io/Logging_1781/klagomål/S 2487-2022 FSC-klagomål.docx", "S 2487-2022")</f>
        <v/>
      </c>
      <c r="Z38">
        <f>HYPERLINK("https://klasma.github.io/Logging_1781/klagomålsmail/S 2487-2022 FSC-klagomål mail.docx", "S 2487-2022")</f>
        <v/>
      </c>
      <c r="AA38">
        <f>HYPERLINK("https://klasma.github.io/Logging_1781/tillsyn/S 2487-2022 tillsynsbegäran.docx", "S 2487-2022")</f>
        <v/>
      </c>
      <c r="AB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46217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Björksplintborre</t>
        </is>
      </c>
      <c r="V39">
        <f>HYPERLINK("https://klasma.github.io/Logging_1781/artfynd/S 4185-2024 artfynd.xlsx", "S 4185-2024")</f>
        <v/>
      </c>
      <c r="W39">
        <f>HYPERLINK("https://klasma.github.io/Logging_1781/kartor/S 4185-2024 karta.png", "S 4185-2024")</f>
        <v/>
      </c>
      <c r="Y39">
        <f>HYPERLINK("https://klasma.github.io/Logging_1781/klagomål/S 4185-2024 FSC-klagomål.docx", "S 4185-2024")</f>
        <v/>
      </c>
      <c r="Z39">
        <f>HYPERLINK("https://klasma.github.io/Logging_1781/klagomålsmail/S 4185-2024 FSC-klagomål mail.docx", "S 4185-2024")</f>
        <v/>
      </c>
      <c r="AA39">
        <f>HYPERLINK("https://klasma.github.io/Logging_1781/tillsyn/S 4185-2024 tillsynsbegäran.docx", "S 4185-2024")</f>
        <v/>
      </c>
      <c r="AB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46217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46217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46217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46217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46217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46217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46217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46217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46217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46217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46217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46217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46217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46217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46217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46217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46217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46217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46217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46217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46217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46217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46217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46217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46217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46217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46217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46217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46217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46217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46217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46217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46217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46217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46217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46217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46217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46217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46217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46217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46217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46217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46217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46217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46217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46217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36955-2021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44393</v>
      </c>
      <c r="E86" s="1" t="n">
        <v>46217</v>
      </c>
      <c r="F86" t="inlineStr">
        <is>
          <t>VÄRMLANDS LÄN</t>
        </is>
      </c>
      <c r="G86" t="inlineStr">
        <is>
          <t>KRISTINEHAMN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46217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21515-2022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46217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44591</v>
      </c>
      <c r="E89" s="1" t="n">
        <v>46217</v>
      </c>
      <c r="F89" t="inlineStr">
        <is>
          <t>VÄRMLANDS LÄN</t>
        </is>
      </c>
      <c r="G89" t="inlineStr">
        <is>
          <t>KRISTINEHAMN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66438-2021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46217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66442-2021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46217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61707-2021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46217</v>
      </c>
      <c r="F92" t="inlineStr">
        <is>
          <t>VÄRMLANDS LÄN</t>
        </is>
      </c>
      <c r="G92" t="inlineStr">
        <is>
          <t>KRISTINEHAMN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27160-2022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44741</v>
      </c>
      <c r="E93" s="1" t="n">
        <v>46217</v>
      </c>
      <c r="F93" t="inlineStr">
        <is>
          <t>VÄRMLANDS LÄN</t>
        </is>
      </c>
      <c r="G93" t="inlineStr">
        <is>
          <t>KRISTINEHAMN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46217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41551-2022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46217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21679-2022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44707</v>
      </c>
      <c r="E96" s="1" t="n">
        <v>46217</v>
      </c>
      <c r="F96" t="inlineStr">
        <is>
          <t>VÄRMLANDS LÄN</t>
        </is>
      </c>
      <c r="G96" t="inlineStr">
        <is>
          <t>KRISTINEHAMN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21549-2022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46217</v>
      </c>
      <c r="F97" t="inlineStr">
        <is>
          <t>VÄRMLANDS LÄN</t>
        </is>
      </c>
      <c r="G97" t="inlineStr">
        <is>
          <t>KRISTINEHAMN</t>
        </is>
      </c>
      <c r="I97" t="n">
        <v>11.3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47949-2021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46217</v>
      </c>
      <c r="F98" t="inlineStr">
        <is>
          <t>VÄRMLANDS LÄN</t>
        </is>
      </c>
      <c r="G98" t="inlineStr">
        <is>
          <t>KRISTINEHAMN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46217</v>
      </c>
      <c r="F99" t="inlineStr">
        <is>
          <t>VÄRMLANDS LÄN</t>
        </is>
      </c>
      <c r="G99" t="inlineStr">
        <is>
          <t>KRISTINEHAMN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27525-2022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46217</v>
      </c>
      <c r="F100" t="inlineStr">
        <is>
          <t>VÄRMLANDS LÄN</t>
        </is>
      </c>
      <c r="G100" t="inlineStr">
        <is>
          <t>KRISTINEHAMN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50103-2023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46217</v>
      </c>
      <c r="F101" t="inlineStr">
        <is>
          <t>VÄRMLANDS LÄN</t>
        </is>
      </c>
      <c r="G101" t="inlineStr">
        <is>
          <t>KRISTINEHAMN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12041-2024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46217</v>
      </c>
      <c r="F102" t="inlineStr">
        <is>
          <t>VÄRMLANDS LÄN</t>
        </is>
      </c>
      <c r="G102" t="inlineStr">
        <is>
          <t>KRISTINEHAMN</t>
        </is>
      </c>
      <c r="I102" t="n">
        <v>13.2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47368-2023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46217</v>
      </c>
      <c r="F103" t="inlineStr">
        <is>
          <t>VÄRMLANDS LÄN</t>
        </is>
      </c>
      <c r="G103" t="inlineStr">
        <is>
          <t>KRISTINEHAMN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46217</v>
      </c>
      <c r="F104" t="inlineStr">
        <is>
          <t>VÄRMLANDS LÄN</t>
        </is>
      </c>
      <c r="G104" t="inlineStr">
        <is>
          <t>KRISTINEHAMN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31152-2022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44770</v>
      </c>
      <c r="E105" s="1" t="n">
        <v>46217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61719-2023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46217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Naturvårdsverket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27033-2023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45095</v>
      </c>
      <c r="E107" s="1" t="n">
        <v>46217</v>
      </c>
      <c r="F107" t="inlineStr">
        <is>
          <t>VÄRMLANDS LÄN</t>
        </is>
      </c>
      <c r="G107" t="inlineStr">
        <is>
          <t>KRISTINEHAMN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46217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65050-2023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46217</v>
      </c>
      <c r="F109" t="inlineStr">
        <is>
          <t>VÄRMLANDS LÄN</t>
        </is>
      </c>
      <c r="G109" t="inlineStr">
        <is>
          <t>KRISTINEHAMN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22637-2024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46217</v>
      </c>
      <c r="F110" t="inlineStr">
        <is>
          <t>VÄRMLANDS LÄN</t>
        </is>
      </c>
      <c r="G110" t="inlineStr">
        <is>
          <t>KRISTINEHAMN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55003-2021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46217</v>
      </c>
      <c r="F111" t="inlineStr">
        <is>
          <t>VÄRMLANDS LÄN</t>
        </is>
      </c>
      <c r="G111" t="inlineStr">
        <is>
          <t>KRISTINEHAMN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47915-2022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46217</v>
      </c>
      <c r="F112" t="inlineStr">
        <is>
          <t>VÄRMLANDS LÄN</t>
        </is>
      </c>
      <c r="G112" t="inlineStr">
        <is>
          <t>KRISTINEHAMN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14340-2024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46217</v>
      </c>
      <c r="F113" t="inlineStr">
        <is>
          <t>VÄRMLANDS LÄN</t>
        </is>
      </c>
      <c r="G113" t="inlineStr">
        <is>
          <t>KRISTINEHAMN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56697-2022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46217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54690-2022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46217</v>
      </c>
      <c r="F115" t="inlineStr">
        <is>
          <t>VÄRMLANDS LÄN</t>
        </is>
      </c>
      <c r="G115" t="inlineStr">
        <is>
          <t>KRISTINEHAMN</t>
        </is>
      </c>
      <c r="I115" t="n">
        <v>11.1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62777-2023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46217</v>
      </c>
      <c r="F116" t="inlineStr">
        <is>
          <t>VÄRMLANDS LÄN</t>
        </is>
      </c>
      <c r="G116" t="inlineStr">
        <is>
          <t>KRISTINEHAMN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44941</v>
      </c>
      <c r="E117" s="1" t="n">
        <v>46217</v>
      </c>
      <c r="F117" t="inlineStr">
        <is>
          <t>VÄRMLANDS LÄN</t>
        </is>
      </c>
      <c r="G117" t="inlineStr">
        <is>
          <t>KRISTINEHAMN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45243</v>
      </c>
      <c r="E118" s="1" t="n">
        <v>46217</v>
      </c>
      <c r="F118" t="inlineStr">
        <is>
          <t>VÄRMLANDS LÄN</t>
        </is>
      </c>
      <c r="G118" t="inlineStr">
        <is>
          <t>KRISTINEHAMN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57565-2023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46217</v>
      </c>
      <c r="F119" t="inlineStr">
        <is>
          <t>VÄRMLANDS LÄN</t>
        </is>
      </c>
      <c r="G119" t="inlineStr">
        <is>
          <t>KRISTINEHAMN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32624-2024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45513</v>
      </c>
      <c r="E120" s="1" t="n">
        <v>46217</v>
      </c>
      <c r="F120" t="inlineStr">
        <is>
          <t>VÄRMLANDS LÄN</t>
        </is>
      </c>
      <c r="G120" t="inlineStr">
        <is>
          <t>KRISTINEHAMN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62498-2022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46217</v>
      </c>
      <c r="F121" t="inlineStr">
        <is>
          <t>VÄRMLANDS LÄN</t>
        </is>
      </c>
      <c r="G121" t="inlineStr">
        <is>
          <t>KRISTINEHAMN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61942-2022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44918</v>
      </c>
      <c r="E122" s="1" t="n">
        <v>46217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Kommuner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48573-2024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46217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14772-2022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46217</v>
      </c>
      <c r="F124" t="inlineStr">
        <is>
          <t>VÄRMLANDS LÄN</t>
        </is>
      </c>
      <c r="G124" t="inlineStr">
        <is>
          <t>KRISTINEHAMN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46217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32569-2023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45121</v>
      </c>
      <c r="E126" s="1" t="n">
        <v>46217</v>
      </c>
      <c r="F126" t="inlineStr">
        <is>
          <t>VÄRMLANDS LÄN</t>
        </is>
      </c>
      <c r="G126" t="inlineStr">
        <is>
          <t>KRISTINEHAMN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60567-2024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46217</v>
      </c>
      <c r="F127" t="inlineStr">
        <is>
          <t>VÄRMLANDS LÄN</t>
        </is>
      </c>
      <c r="G127" t="inlineStr">
        <is>
          <t>KRISTINEHAMN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59144-2021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46217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46217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9394-2024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46217</v>
      </c>
      <c r="F130" t="inlineStr">
        <is>
          <t>VÄRMLANDS LÄN</t>
        </is>
      </c>
      <c r="G130" t="inlineStr">
        <is>
          <t>KRISTINEHAMN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48416-2021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46217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44677</v>
      </c>
      <c r="E132" s="1" t="n">
        <v>46217</v>
      </c>
      <c r="F132" t="inlineStr">
        <is>
          <t>VÄRMLANDS LÄN</t>
        </is>
      </c>
      <c r="G132" t="inlineStr">
        <is>
          <t>KRISTINEHAMN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8173-2023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46217</v>
      </c>
      <c r="F133" t="inlineStr">
        <is>
          <t>VÄRMLANDS LÄN</t>
        </is>
      </c>
      <c r="G133" t="inlineStr">
        <is>
          <t>KRISTINEHAMN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10999-2024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46217</v>
      </c>
      <c r="F134" t="inlineStr">
        <is>
          <t>VÄRMLANDS LÄN</t>
        </is>
      </c>
      <c r="G134" t="inlineStr">
        <is>
          <t>KRISTINEHAMN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12467-2024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45379</v>
      </c>
      <c r="E135" s="1" t="n">
        <v>46217</v>
      </c>
      <c r="F135" t="inlineStr">
        <is>
          <t>VÄRMLANDS LÄN</t>
        </is>
      </c>
      <c r="G135" t="inlineStr">
        <is>
          <t>KRISTINEHAMN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23948-2022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46217</v>
      </c>
      <c r="F136" t="inlineStr">
        <is>
          <t>VÄRMLANDS LÄN</t>
        </is>
      </c>
      <c r="G136" t="inlineStr">
        <is>
          <t>KRISTINEHAMN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56572-2024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45625</v>
      </c>
      <c r="E137" s="1" t="n">
        <v>46217</v>
      </c>
      <c r="F137" t="inlineStr">
        <is>
          <t>VÄRMLANDS LÄN</t>
        </is>
      </c>
      <c r="G137" t="inlineStr">
        <is>
          <t>KRISTINEHAMN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46217</v>
      </c>
      <c r="F138" t="inlineStr">
        <is>
          <t>VÄRMLANDS LÄN</t>
        </is>
      </c>
      <c r="G138" t="inlineStr">
        <is>
          <t>KRISTINEHAMN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46217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44965</v>
      </c>
      <c r="E140" s="1" t="n">
        <v>46217</v>
      </c>
      <c r="F140" t="inlineStr">
        <is>
          <t>VÄRMLANDS LÄN</t>
        </is>
      </c>
      <c r="G140" t="inlineStr">
        <is>
          <t>KRISTINEHAMN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37266-2025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46217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37267-2025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46217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55890-2023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46217</v>
      </c>
      <c r="F143" t="inlineStr">
        <is>
          <t>VÄRMLANDS LÄN</t>
        </is>
      </c>
      <c r="G143" t="inlineStr">
        <is>
          <t>KRISTINEHAMN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23705-2022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46217</v>
      </c>
      <c r="F144" t="inlineStr">
        <is>
          <t>VÄRMLANDS LÄN</t>
        </is>
      </c>
      <c r="G144" t="inlineStr">
        <is>
          <t>KRISTINEHAMN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23707-2022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46217</v>
      </c>
      <c r="F145" t="inlineStr">
        <is>
          <t>VÄRMLANDS LÄN</t>
        </is>
      </c>
      <c r="G145" t="inlineStr">
        <is>
          <t>KRISTINEHAMN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18319-2023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45041</v>
      </c>
      <c r="E146" s="1" t="n">
        <v>46217</v>
      </c>
      <c r="F146" t="inlineStr">
        <is>
          <t>VÄRMLANDS LÄN</t>
        </is>
      </c>
      <c r="G146" t="inlineStr">
        <is>
          <t>KRISTINEHAMN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44466</v>
      </c>
      <c r="E147" s="1" t="n">
        <v>46217</v>
      </c>
      <c r="F147" t="inlineStr">
        <is>
          <t>VÄRMLANDS LÄN</t>
        </is>
      </c>
      <c r="G147" t="inlineStr">
        <is>
          <t>KRISTINEHAMN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62623-2023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46217</v>
      </c>
      <c r="F148" t="inlineStr">
        <is>
          <t>VÄRMLANDS LÄN</t>
        </is>
      </c>
      <c r="G148" t="inlineStr">
        <is>
          <t>KRISTINEHAMN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46217</v>
      </c>
      <c r="F149" t="inlineStr">
        <is>
          <t>VÄRMLANDS LÄN</t>
        </is>
      </c>
      <c r="G149" t="inlineStr">
        <is>
          <t>KRISTINEHAMN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61034-2021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46217</v>
      </c>
      <c r="F150" t="inlineStr">
        <is>
          <t>VÄRMLANDS LÄN</t>
        </is>
      </c>
      <c r="G150" t="inlineStr">
        <is>
          <t>KRISTINEHAMN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46217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9606-2024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45361</v>
      </c>
      <c r="E152" s="1" t="n">
        <v>46217</v>
      </c>
      <c r="F152" t="inlineStr">
        <is>
          <t>VÄRMLANDS LÄN</t>
        </is>
      </c>
      <c r="G152" t="inlineStr">
        <is>
          <t>KRISTINEHAMN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50174-2024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46217</v>
      </c>
      <c r="F153" t="inlineStr">
        <is>
          <t>VÄRMLANDS LÄN</t>
        </is>
      </c>
      <c r="G153" t="inlineStr">
        <is>
          <t>KRISTINEHAMN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45690-2021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44441</v>
      </c>
      <c r="E154" s="1" t="n">
        <v>46217</v>
      </c>
      <c r="F154" t="inlineStr">
        <is>
          <t>VÄRMLANDS LÄN</t>
        </is>
      </c>
      <c r="G154" t="inlineStr">
        <is>
          <t>KRISTINEHAMN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41297-2021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44424</v>
      </c>
      <c r="E155" s="1" t="n">
        <v>46217</v>
      </c>
      <c r="F155" t="inlineStr">
        <is>
          <t>VÄRMLANDS LÄN</t>
        </is>
      </c>
      <c r="G155" t="inlineStr">
        <is>
          <t>KRISTINEHAMN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33464-2023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45118</v>
      </c>
      <c r="E156" s="1" t="n">
        <v>46217</v>
      </c>
      <c r="F156" t="inlineStr">
        <is>
          <t>VÄRMLANDS LÄN</t>
        </is>
      </c>
      <c r="G156" t="inlineStr">
        <is>
          <t>KRISTINEHAMN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20696-2023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46217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Kommuner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22201-2022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46217</v>
      </c>
      <c r="F158" t="inlineStr">
        <is>
          <t>VÄRMLANDS LÄN</t>
        </is>
      </c>
      <c r="G158" t="inlineStr">
        <is>
          <t>KRISTINEHAMN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46217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42178-2025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46217</v>
      </c>
      <c r="F160" t="inlineStr">
        <is>
          <t>VÄRMLANDS LÄN</t>
        </is>
      </c>
      <c r="G160" t="inlineStr">
        <is>
          <t>KRISTINEHAMN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45662</v>
      </c>
      <c r="E161" s="1" t="n">
        <v>46217</v>
      </c>
      <c r="F161" t="inlineStr">
        <is>
          <t>VÄRMLANDS LÄN</t>
        </is>
      </c>
      <c r="G161" t="inlineStr">
        <is>
          <t>KRISTINEHAMN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62453-2022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44924</v>
      </c>
      <c r="E162" s="1" t="n">
        <v>46217</v>
      </c>
      <c r="F162" t="inlineStr">
        <is>
          <t>VÄRMLANDS LÄN</t>
        </is>
      </c>
      <c r="G162" t="inlineStr">
        <is>
          <t>KRISTINEHAMN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46217</v>
      </c>
      <c r="F163" t="inlineStr">
        <is>
          <t>VÄRMLANDS LÄN</t>
        </is>
      </c>
      <c r="G163" t="inlineStr">
        <is>
          <t>KRISTINEHAMN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32161-2023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46217</v>
      </c>
      <c r="F164" t="inlineStr">
        <is>
          <t>VÄRMLANDS LÄN</t>
        </is>
      </c>
      <c r="G164" t="inlineStr">
        <is>
          <t>KRISTINEHAMN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34893-2023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46217</v>
      </c>
      <c r="F165" t="inlineStr">
        <is>
          <t>VÄRMLANDS LÄN</t>
        </is>
      </c>
      <c r="G165" t="inlineStr">
        <is>
          <t>KRISTINEHAMN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15942-2025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46217</v>
      </c>
      <c r="F166" t="inlineStr">
        <is>
          <t>VÄRMLANDS LÄN</t>
        </is>
      </c>
      <c r="G166" t="inlineStr">
        <is>
          <t>KRISTINEHAMN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38946-2025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46217</v>
      </c>
      <c r="F167" t="inlineStr">
        <is>
          <t>VÄRMLANDS LÄN</t>
        </is>
      </c>
      <c r="G167" t="inlineStr">
        <is>
          <t>KRISTINEHAMN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42177-2025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46217</v>
      </c>
      <c r="F168" t="inlineStr">
        <is>
          <t>VÄRMLANDS LÄN</t>
        </is>
      </c>
      <c r="G168" t="inlineStr">
        <is>
          <t>KRISTINEHAMN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47398-2023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46217</v>
      </c>
      <c r="F169" t="inlineStr">
        <is>
          <t>VÄRMLANDS LÄN</t>
        </is>
      </c>
      <c r="G169" t="inlineStr">
        <is>
          <t>KRISTINEHAMN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6933-2025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46217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39157-2025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46217</v>
      </c>
      <c r="F171" t="inlineStr">
        <is>
          <t>VÄRMLANDS LÄN</t>
        </is>
      </c>
      <c r="G171" t="inlineStr">
        <is>
          <t>KRISTINEHAMN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25628-2025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46217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Naturvårdsverket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20569-2026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46217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27077-2025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46217</v>
      </c>
      <c r="F174" t="inlineStr">
        <is>
          <t>VÄRMLANDS LÄN</t>
        </is>
      </c>
      <c r="G174" t="inlineStr">
        <is>
          <t>KRISTINEHAMN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46217</v>
      </c>
      <c r="F175" t="inlineStr">
        <is>
          <t>VÄRMLANDS LÄN</t>
        </is>
      </c>
      <c r="G175" t="inlineStr">
        <is>
          <t>KRISTINEHAMN</t>
        </is>
      </c>
      <c r="I175" t="n">
        <v>9.300000000000001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46217</v>
      </c>
      <c r="F176" t="inlineStr">
        <is>
          <t>VÄRMLANDS LÄN</t>
        </is>
      </c>
      <c r="G176" t="inlineStr">
        <is>
          <t>KRISTINEHAMN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46217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62032-2024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46217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20168-2026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46217</v>
      </c>
      <c r="F179" t="inlineStr">
        <is>
          <t>VÄRMLANDS LÄN</t>
        </is>
      </c>
      <c r="G179" t="inlineStr">
        <is>
          <t>KRISTINEHAMN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46217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46217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10501-2023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46217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48128-2025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46217</v>
      </c>
      <c r="F183" t="inlineStr">
        <is>
          <t>VÄRMLANDS LÄN</t>
        </is>
      </c>
      <c r="G183" t="inlineStr">
        <is>
          <t>KRISTINEHAMN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61675-2024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45647</v>
      </c>
      <c r="E184" s="1" t="n">
        <v>46217</v>
      </c>
      <c r="F184" t="inlineStr">
        <is>
          <t>VÄRMLANDS LÄN</t>
        </is>
      </c>
      <c r="G184" t="inlineStr">
        <is>
          <t>KRISTINEHAMN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54606-2021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46217</v>
      </c>
      <c r="F185" t="inlineStr">
        <is>
          <t>VÄRMLANDS LÄN</t>
        </is>
      </c>
      <c r="G185" t="inlineStr">
        <is>
          <t>KRISTINEHAMN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13021-2023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46217</v>
      </c>
      <c r="F186" t="inlineStr">
        <is>
          <t>VÄRMLANDS LÄN</t>
        </is>
      </c>
      <c r="G186" t="inlineStr">
        <is>
          <t>KRISTINEHAMN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41857-2023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45176</v>
      </c>
      <c r="E187" s="1" t="n">
        <v>46217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45686</v>
      </c>
      <c r="E188" s="1" t="n">
        <v>46217</v>
      </c>
      <c r="F188" t="inlineStr">
        <is>
          <t>VÄRMLANDS LÄN</t>
        </is>
      </c>
      <c r="G188" t="inlineStr">
        <is>
          <t>KRISTINEHAMN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56875-2022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46217</v>
      </c>
      <c r="F189" t="inlineStr">
        <is>
          <t>VÄRMLANDS LÄN</t>
        </is>
      </c>
      <c r="G189" t="inlineStr">
        <is>
          <t>KRISTINEHAMN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46217</v>
      </c>
      <c r="F190" t="inlineStr">
        <is>
          <t>VÄRMLANDS LÄN</t>
        </is>
      </c>
      <c r="G190" t="inlineStr">
        <is>
          <t>KRISTINEHAMN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70126-2021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46217</v>
      </c>
      <c r="F191" t="inlineStr">
        <is>
          <t>VÄRMLANDS LÄN</t>
        </is>
      </c>
      <c r="G191" t="inlineStr">
        <is>
          <t>KRISTINEHAMN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26028-2025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46217</v>
      </c>
      <c r="F192" t="inlineStr">
        <is>
          <t>VÄRMLANDS LÄN</t>
        </is>
      </c>
      <c r="G192" t="inlineStr">
        <is>
          <t>KRISTINEHAMN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62495-2022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46217</v>
      </c>
      <c r="F193" t="inlineStr">
        <is>
          <t>VÄRMLANDS LÄN</t>
        </is>
      </c>
      <c r="G193" t="inlineStr">
        <is>
          <t>KRISTINEHAMN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46217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60738-2023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45260</v>
      </c>
      <c r="E195" s="1" t="n">
        <v>46217</v>
      </c>
      <c r="F195" t="inlineStr">
        <is>
          <t>VÄRMLANDS LÄN</t>
        </is>
      </c>
      <c r="G195" t="inlineStr">
        <is>
          <t>KRISTINEHAMN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20102-2026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46217</v>
      </c>
      <c r="F196" t="inlineStr">
        <is>
          <t>VÄRMLANDS LÄN</t>
        </is>
      </c>
      <c r="G196" t="inlineStr">
        <is>
          <t>KRISTINEHAMN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52404-2025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46217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59854-2023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46217</v>
      </c>
      <c r="F198" t="inlineStr">
        <is>
          <t>VÄRMLANDS LÄN</t>
        </is>
      </c>
      <c r="G198" t="inlineStr">
        <is>
          <t>KRISTINEHAMN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20570-2026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46140</v>
      </c>
      <c r="E199" s="1" t="n">
        <v>46217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46526-2022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46217</v>
      </c>
      <c r="F200" t="inlineStr">
        <is>
          <t>VÄRMLANDS LÄN</t>
        </is>
      </c>
      <c r="G200" t="inlineStr">
        <is>
          <t>KRISTINEHAMN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49335-2021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44454</v>
      </c>
      <c r="E201" s="1" t="n">
        <v>46217</v>
      </c>
      <c r="F201" t="inlineStr">
        <is>
          <t>VÄRMLANDS LÄN</t>
        </is>
      </c>
      <c r="G201" t="inlineStr">
        <is>
          <t>KRISTINEHAMN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45756</v>
      </c>
      <c r="E202" s="1" t="n">
        <v>46217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54548-2023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46217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45226</v>
      </c>
      <c r="E204" s="1" t="n">
        <v>46217</v>
      </c>
      <c r="F204" t="inlineStr">
        <is>
          <t>VÄRMLANDS LÄN</t>
        </is>
      </c>
      <c r="G204" t="inlineStr">
        <is>
          <t>KRISTINEHAMN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53371-2025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46217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Naturvårdsverket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54603-2021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46217</v>
      </c>
      <c r="F206" t="inlineStr">
        <is>
          <t>VÄRMLANDS LÄN</t>
        </is>
      </c>
      <c r="G206" t="inlineStr">
        <is>
          <t>KRISTINEHAMN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24385-2023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46217</v>
      </c>
      <c r="F207" t="inlineStr">
        <is>
          <t>VÄRMLANDS LÄN</t>
        </is>
      </c>
      <c r="G207" t="inlineStr">
        <is>
          <t>KRISTINEHAMN</t>
        </is>
      </c>
      <c r="I207" t="n">
        <v>15.9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53405-2025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46217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68505-2021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46217</v>
      </c>
      <c r="F209" t="inlineStr">
        <is>
          <t>VÄRMLANDS LÄN</t>
        </is>
      </c>
      <c r="G209" t="inlineStr">
        <is>
          <t>KRISTINEHAMN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46217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60805-2025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46217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46217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10522-2024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46217</v>
      </c>
      <c r="F213" t="inlineStr">
        <is>
          <t>VÄRMLANDS LÄN</t>
        </is>
      </c>
      <c r="G213" t="inlineStr">
        <is>
          <t>KRISTINEHAMN</t>
        </is>
      </c>
      <c r="I213" t="n">
        <v>19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34230-2023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46217</v>
      </c>
      <c r="F214" t="inlineStr">
        <is>
          <t>VÄRMLANDS LÄN</t>
        </is>
      </c>
      <c r="G214" t="inlineStr">
        <is>
          <t>KRISTINEHAMN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46217</v>
      </c>
      <c r="F215" t="inlineStr">
        <is>
          <t>VÄRMLANDS LÄN</t>
        </is>
      </c>
      <c r="G215" t="inlineStr">
        <is>
          <t>KRISTINEHAMN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62864-2023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46217</v>
      </c>
      <c r="F216" t="inlineStr">
        <is>
          <t>VÄRMLANDS LÄN</t>
        </is>
      </c>
      <c r="G216" t="inlineStr">
        <is>
          <t>KRISTINEHAMN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39781-2023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46217</v>
      </c>
      <c r="F217" t="inlineStr">
        <is>
          <t>VÄRMLANDS LÄN</t>
        </is>
      </c>
      <c r="G217" t="inlineStr">
        <is>
          <t>KRISTINEHAMN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20672-2026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46217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25494-2023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45081</v>
      </c>
      <c r="E219" s="1" t="n">
        <v>46217</v>
      </c>
      <c r="F219" t="inlineStr">
        <is>
          <t>VÄRMLANDS LÄN</t>
        </is>
      </c>
      <c r="G219" t="inlineStr">
        <is>
          <t>KRISTINEHAMN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56315-2025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45974</v>
      </c>
      <c r="E220" s="1" t="n">
        <v>46217</v>
      </c>
      <c r="F220" t="inlineStr">
        <is>
          <t>VÄRMLANDS LÄN</t>
        </is>
      </c>
      <c r="G220" t="inlineStr">
        <is>
          <t>KRISTINEHAMN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20654-2026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46217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Naturvårdsverket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45313</v>
      </c>
      <c r="E222" s="1" t="n">
        <v>46217</v>
      </c>
      <c r="F222" t="inlineStr">
        <is>
          <t>VÄRMLANDS LÄN</t>
        </is>
      </c>
      <c r="G222" t="inlineStr">
        <is>
          <t>KRISTINEHAMN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46217</v>
      </c>
      <c r="F223" t="inlineStr">
        <is>
          <t>VÄRMLANDS LÄN</t>
        </is>
      </c>
      <c r="G223" t="inlineStr">
        <is>
          <t>KRISTINEHAMN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11784-2023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46217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32404-2023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46217</v>
      </c>
      <c r="F225" t="inlineStr">
        <is>
          <t>VÄRMLANDS LÄN</t>
        </is>
      </c>
      <c r="G225" t="inlineStr">
        <is>
          <t>KRISTINEHAMN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20982-2026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46217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30218-2025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46217</v>
      </c>
      <c r="F227" t="inlineStr">
        <is>
          <t>VÄRMLANDS LÄN</t>
        </is>
      </c>
      <c r="G227" t="inlineStr">
        <is>
          <t>KRISTINEHAMN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20686-2026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46217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21039-2026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46217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27563-2026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46190</v>
      </c>
      <c r="E230" s="1" t="n">
        <v>46217</v>
      </c>
      <c r="F230" t="inlineStr">
        <is>
          <t>VÄRMLANDS LÄN</t>
        </is>
      </c>
      <c r="G230" t="inlineStr">
        <is>
          <t>KRISTINEHAMN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27568-2026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46190</v>
      </c>
      <c r="E231" s="1" t="n">
        <v>46217</v>
      </c>
      <c r="F231" t="inlineStr">
        <is>
          <t>VÄRMLANDS LÄN</t>
        </is>
      </c>
      <c r="G231" t="inlineStr">
        <is>
          <t>KRISTINEHAMN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45081</v>
      </c>
      <c r="E232" s="1" t="n">
        <v>46217</v>
      </c>
      <c r="F232" t="inlineStr">
        <is>
          <t>VÄRMLANDS LÄN</t>
        </is>
      </c>
      <c r="G232" t="inlineStr">
        <is>
          <t>KRISTINEHAMN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21844-2026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46217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22060-2026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46149</v>
      </c>
      <c r="E234" s="1" t="n">
        <v>46217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21842-2026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46150</v>
      </c>
      <c r="E235" s="1" t="n">
        <v>46217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58893-2023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46217</v>
      </c>
      <c r="F236" t="inlineStr">
        <is>
          <t>VÄRMLANDS LÄN</t>
        </is>
      </c>
      <c r="G236" t="inlineStr">
        <is>
          <t>KRISTINEHAMN</t>
        </is>
      </c>
      <c r="I236" t="n">
        <v>19.4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12520-2024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46217</v>
      </c>
      <c r="F237" t="inlineStr">
        <is>
          <t>VÄRMLANDS LÄN</t>
        </is>
      </c>
      <c r="G237" t="inlineStr">
        <is>
          <t>KRISTINEHAMN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55363-2023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46217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Kommuner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12416-2024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45379</v>
      </c>
      <c r="E239" s="1" t="n">
        <v>46217</v>
      </c>
      <c r="F239" t="inlineStr">
        <is>
          <t>VÄRMLANDS LÄN</t>
        </is>
      </c>
      <c r="G239" t="inlineStr">
        <is>
          <t>KRISTINEHAMN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12423-2024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45379</v>
      </c>
      <c r="E240" s="1" t="n">
        <v>46217</v>
      </c>
      <c r="F240" t="inlineStr">
        <is>
          <t>VÄRMLANDS LÄN</t>
        </is>
      </c>
      <c r="G240" t="inlineStr">
        <is>
          <t>KRISTINEHAMN</t>
        </is>
      </c>
      <c r="I240" t="n">
        <v>12.6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10030-2023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46217</v>
      </c>
      <c r="F241" t="inlineStr">
        <is>
          <t>VÄRMLANDS LÄN</t>
        </is>
      </c>
      <c r="G241" t="inlineStr">
        <is>
          <t>KRISTINEHAMN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13459-2024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45387</v>
      </c>
      <c r="E242" s="1" t="n">
        <v>46217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46217</v>
      </c>
      <c r="F243" t="inlineStr">
        <is>
          <t>VÄRMLANDS LÄN</t>
        </is>
      </c>
      <c r="G243" t="inlineStr">
        <is>
          <t>KRISTINEHAMN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60363-2025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46217</v>
      </c>
      <c r="F244" t="inlineStr">
        <is>
          <t>VÄRMLANDS LÄN</t>
        </is>
      </c>
      <c r="G244" t="inlineStr">
        <is>
          <t>KRISTINEHAMN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61048-2025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46217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Bergvik skog väst AB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60791-2025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46217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61081-2025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46217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Naturvårdsverket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25258-2026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46175</v>
      </c>
      <c r="E248" s="1" t="n">
        <v>46217</v>
      </c>
      <c r="F248" t="inlineStr">
        <is>
          <t>VÄRMLANDS LÄN</t>
        </is>
      </c>
      <c r="G248" t="inlineStr">
        <is>
          <t>KRISTINEHAMN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60942-2025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46217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46217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60915-2025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46217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46217</v>
      </c>
      <c r="F252" t="inlineStr">
        <is>
          <t>VÄRMLANDS LÄN</t>
        </is>
      </c>
      <c r="G252" t="inlineStr">
        <is>
          <t>KRISTINEHAMN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4277-2024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46217</v>
      </c>
      <c r="F253" t="inlineStr">
        <is>
          <t>VÄRMLANDS LÄN</t>
        </is>
      </c>
      <c r="G253" t="inlineStr">
        <is>
          <t>KRISTINEHAMN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22255-2026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46154</v>
      </c>
      <c r="E254" s="1" t="n">
        <v>46217</v>
      </c>
      <c r="F254" t="inlineStr">
        <is>
          <t>VÄRMLANDS LÄN</t>
        </is>
      </c>
      <c r="G254" t="inlineStr">
        <is>
          <t>KRISTINEHAMN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5250-2023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46217</v>
      </c>
      <c r="F255" t="inlineStr">
        <is>
          <t>VÄRMLANDS LÄN</t>
        </is>
      </c>
      <c r="G255" t="inlineStr">
        <is>
          <t>KRISTINEHAMN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61888-2025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46217</v>
      </c>
      <c r="F256" t="inlineStr">
        <is>
          <t>VÄRMLANDS LÄN</t>
        </is>
      </c>
      <c r="G256" t="inlineStr">
        <is>
          <t>KRISTINEHAMN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47091-2022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46217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61891-2025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46217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14014-2024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46217</v>
      </c>
      <c r="F259" t="inlineStr">
        <is>
          <t>VÄRMLANDS LÄN</t>
        </is>
      </c>
      <c r="G259" t="inlineStr">
        <is>
          <t>KRISTINEHAMN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12568-2023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46217</v>
      </c>
      <c r="F260" t="inlineStr">
        <is>
          <t>VÄRMLANDS LÄN</t>
        </is>
      </c>
      <c r="G260" t="inlineStr">
        <is>
          <t>KRISTINEHAMN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32409-2023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46217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62349-2025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46217</v>
      </c>
      <c r="F262" t="inlineStr">
        <is>
          <t>VÄRMLANDS LÄN</t>
        </is>
      </c>
      <c r="G262" t="inlineStr">
        <is>
          <t>KRISTINEHAMN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24883-2024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46217</v>
      </c>
      <c r="F263" t="inlineStr">
        <is>
          <t>VÄRMLANDS LÄN</t>
        </is>
      </c>
      <c r="G263" t="inlineStr">
        <is>
          <t>KRISTINEHAMN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63016-2025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46217</v>
      </c>
      <c r="F264" t="inlineStr">
        <is>
          <t>VÄRMLANDS LÄN</t>
        </is>
      </c>
      <c r="G264" t="inlineStr">
        <is>
          <t>KRISTINEHAMN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46217</v>
      </c>
      <c r="F265" t="inlineStr">
        <is>
          <t>VÄRMLANDS LÄN</t>
        </is>
      </c>
      <c r="G265" t="inlineStr">
        <is>
          <t>KRISTINEHAMN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45456</v>
      </c>
      <c r="E266" s="1" t="n">
        <v>46217</v>
      </c>
      <c r="F266" t="inlineStr">
        <is>
          <t>VÄRMLANDS LÄN</t>
        </is>
      </c>
      <c r="G266" t="inlineStr">
        <is>
          <t>KRISTINEHAMN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46217</v>
      </c>
      <c r="F267" t="inlineStr">
        <is>
          <t>VÄRMLANDS LÄN</t>
        </is>
      </c>
      <c r="G267" t="inlineStr">
        <is>
          <t>KRISTINEHAMN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24146-2023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45079</v>
      </c>
      <c r="E268" s="1" t="n">
        <v>46217</v>
      </c>
      <c r="F268" t="inlineStr">
        <is>
          <t>VÄRMLANDS LÄN</t>
        </is>
      </c>
      <c r="G268" t="inlineStr">
        <is>
          <t>KRISTINEHAMN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15860-2023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46217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44085-2023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46217</v>
      </c>
      <c r="F270" t="inlineStr">
        <is>
          <t>VÄRMLANDS LÄN</t>
        </is>
      </c>
      <c r="G270" t="inlineStr">
        <is>
          <t>KRISTINEHAMN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6644-2024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46217</v>
      </c>
      <c r="F271" t="inlineStr">
        <is>
          <t>VÄRMLANDS LÄN</t>
        </is>
      </c>
      <c r="G271" t="inlineStr">
        <is>
          <t>KRISTINEHAMN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6640-2024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45341</v>
      </c>
      <c r="E272" s="1" t="n">
        <v>46217</v>
      </c>
      <c r="F272" t="inlineStr">
        <is>
          <t>VÄRMLANDS LÄN</t>
        </is>
      </c>
      <c r="G272" t="inlineStr">
        <is>
          <t>KRISTINEHAMN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21702-2024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46217</v>
      </c>
      <c r="F273" t="inlineStr">
        <is>
          <t>VÄRMLANDS LÄN</t>
        </is>
      </c>
      <c r="G273" t="inlineStr">
        <is>
          <t>KRISTINEHAMN</t>
        </is>
      </c>
      <c r="I273" t="n">
        <v>14.9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49245-2024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46217</v>
      </c>
      <c r="F274" t="inlineStr">
        <is>
          <t>VÄRMLANDS LÄN</t>
        </is>
      </c>
      <c r="G274" t="inlineStr">
        <is>
          <t>KRISTINEHAMN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55719-2024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46217</v>
      </c>
      <c r="F275" t="inlineStr">
        <is>
          <t>VÄRMLANDS LÄN</t>
        </is>
      </c>
      <c r="G275" t="inlineStr">
        <is>
          <t>KRISTINEHAMN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46217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46217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43654-2024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45569</v>
      </c>
      <c r="E278" s="1" t="n">
        <v>46217</v>
      </c>
      <c r="F278" t="inlineStr">
        <is>
          <t>VÄRMLANDS LÄN</t>
        </is>
      </c>
      <c r="G278" t="inlineStr">
        <is>
          <t>KRISTINEHAMN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46217</v>
      </c>
      <c r="F279" t="inlineStr">
        <is>
          <t>VÄRMLANDS LÄN</t>
        </is>
      </c>
      <c r="G279" t="inlineStr">
        <is>
          <t>KRISTINEHAMN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50159-2024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46217</v>
      </c>
      <c r="F280" t="inlineStr">
        <is>
          <t>VÄRMLANDS LÄN</t>
        </is>
      </c>
      <c r="G280" t="inlineStr">
        <is>
          <t>KRISTINEHAMN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46217</v>
      </c>
      <c r="F281" t="inlineStr">
        <is>
          <t>VÄRMLANDS LÄN</t>
        </is>
      </c>
      <c r="G281" t="inlineStr">
        <is>
          <t>KRISTINEHAMN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25570-2023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45082</v>
      </c>
      <c r="E282" s="1" t="n">
        <v>46217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62767-2023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46217</v>
      </c>
      <c r="F283" t="inlineStr">
        <is>
          <t>VÄRMLANDS LÄN</t>
        </is>
      </c>
      <c r="G283" t="inlineStr">
        <is>
          <t>KRISTINEHAMN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45478</v>
      </c>
      <c r="E284" s="1" t="n">
        <v>46217</v>
      </c>
      <c r="F284" t="inlineStr">
        <is>
          <t>VÄRMLANDS LÄN</t>
        </is>
      </c>
      <c r="G284" t="inlineStr">
        <is>
          <t>KRISTINEHAMN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46217</v>
      </c>
      <c r="F285" t="inlineStr">
        <is>
          <t>VÄRMLANDS LÄN</t>
        </is>
      </c>
      <c r="G285" t="inlineStr">
        <is>
          <t>KRISTINEHAMN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3034-2026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46217</v>
      </c>
      <c r="F286" t="inlineStr">
        <is>
          <t>VÄRMLANDS LÄN</t>
        </is>
      </c>
      <c r="G286" t="inlineStr">
        <is>
          <t>KRISTINEHAMN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46217</v>
      </c>
      <c r="F287" t="inlineStr">
        <is>
          <t>VÄRMLANDS LÄN</t>
        </is>
      </c>
      <c r="G287" t="inlineStr">
        <is>
          <t>KRISTINEHAMN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46217</v>
      </c>
      <c r="F288" t="inlineStr">
        <is>
          <t>VÄRMLANDS LÄN</t>
        </is>
      </c>
      <c r="G288" t="inlineStr">
        <is>
          <t>KRISTINEHAMN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2522-2026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46037</v>
      </c>
      <c r="E289" s="1" t="n">
        <v>46217</v>
      </c>
      <c r="F289" t="inlineStr">
        <is>
          <t>VÄRMLANDS LÄN</t>
        </is>
      </c>
      <c r="G289" t="inlineStr">
        <is>
          <t>KRISTINEHAMN</t>
        </is>
      </c>
      <c r="I289" t="n">
        <v>11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23270-2024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45450</v>
      </c>
      <c r="E290" s="1" t="n">
        <v>46217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Kommuner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46217</v>
      </c>
      <c r="F291" t="inlineStr">
        <is>
          <t>VÄRMLANDS LÄN</t>
        </is>
      </c>
      <c r="G291" t="inlineStr">
        <is>
          <t>KRISTINEHAMN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44648</v>
      </c>
      <c r="E292" s="1" t="n">
        <v>46217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47648-2023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46217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46217</v>
      </c>
      <c r="F294" t="inlineStr">
        <is>
          <t>VÄRMLANDS LÄN</t>
        </is>
      </c>
      <c r="G294" t="inlineStr">
        <is>
          <t>KRISTINEHAMN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46217</v>
      </c>
      <c r="F295" t="inlineStr">
        <is>
          <t>VÄRMLANDS LÄN</t>
        </is>
      </c>
      <c r="G295" t="inlineStr">
        <is>
          <t>KRISTINEHAMN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6259-2026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46051</v>
      </c>
      <c r="E296" s="1" t="n">
        <v>46217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18954-2023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45044</v>
      </c>
      <c r="E297" s="1" t="n">
        <v>46217</v>
      </c>
      <c r="F297" t="inlineStr">
        <is>
          <t>VÄRMLANDS LÄN</t>
        </is>
      </c>
      <c r="G297" t="inlineStr">
        <is>
          <t>KRISTINEHAMN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45313</v>
      </c>
      <c r="E298" s="1" t="n">
        <v>46217</v>
      </c>
      <c r="F298" t="inlineStr">
        <is>
          <t>VÄRMLANDS LÄN</t>
        </is>
      </c>
      <c r="G298" t="inlineStr">
        <is>
          <t>KRISTINEHAMN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24117-2024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46217</v>
      </c>
      <c r="F299" t="inlineStr">
        <is>
          <t>VÄRMLANDS LÄN</t>
        </is>
      </c>
      <c r="G299" t="inlineStr">
        <is>
          <t>KRISTINEHAMN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23147-2026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46217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38404-2022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44812</v>
      </c>
      <c r="E301" s="1" t="n">
        <v>46217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26042-2022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46217</v>
      </c>
      <c r="F302" t="inlineStr">
        <is>
          <t>VÄRMLANDS LÄN</t>
        </is>
      </c>
      <c r="G302" t="inlineStr">
        <is>
          <t>KRISTINEHAMN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23704-2022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44722</v>
      </c>
      <c r="E303" s="1" t="n">
        <v>46217</v>
      </c>
      <c r="F303" t="inlineStr">
        <is>
          <t>VÄRMLANDS LÄN</t>
        </is>
      </c>
      <c r="G303" t="inlineStr">
        <is>
          <t>KRISTINEHAMN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23706-2022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46217</v>
      </c>
      <c r="F304" t="inlineStr">
        <is>
          <t>VÄRMLANDS LÄN</t>
        </is>
      </c>
      <c r="G304" t="inlineStr">
        <is>
          <t>KRISTINEHAMN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23294-2026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46217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46217</v>
      </c>
      <c r="F306" t="inlineStr">
        <is>
          <t>VÄRMLANDS LÄN</t>
        </is>
      </c>
      <c r="G306" t="inlineStr">
        <is>
          <t>KRISTINEHAMN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42597-2023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46217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47371-2023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46217</v>
      </c>
      <c r="F308" t="inlineStr">
        <is>
          <t>VÄRMLANDS LÄN</t>
        </is>
      </c>
      <c r="G308" t="inlineStr">
        <is>
          <t>KRISTINEHAMN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19292-2025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46217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46217</v>
      </c>
      <c r="F310" t="inlineStr">
        <is>
          <t>VÄRMLANDS LÄN</t>
        </is>
      </c>
      <c r="G310" t="inlineStr">
        <is>
          <t>KRISTINEHAMN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11463-2026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46217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28759-2022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46217</v>
      </c>
      <c r="F312" t="inlineStr">
        <is>
          <t>VÄRMLANDS LÄN</t>
        </is>
      </c>
      <c r="G312" t="inlineStr">
        <is>
          <t>KRISTINEHAMN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46217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Naturvårdsverket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58319-2024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46217</v>
      </c>
      <c r="F314" t="inlineStr">
        <is>
          <t>VÄRMLANDS LÄN</t>
        </is>
      </c>
      <c r="G314" t="inlineStr">
        <is>
          <t>KRISTINEHAMN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12932-2026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46217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46333-2023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46217</v>
      </c>
      <c r="F316" t="inlineStr">
        <is>
          <t>VÄRMLANDS LÄN</t>
        </is>
      </c>
      <c r="G316" t="inlineStr">
        <is>
          <t>KRISTINEHAMN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12934-2026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46217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12930-2026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46217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48405-2023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45201</v>
      </c>
      <c r="E319" s="1" t="n">
        <v>46217</v>
      </c>
      <c r="F319" t="inlineStr">
        <is>
          <t>VÄRMLANDS LÄN</t>
        </is>
      </c>
      <c r="G319" t="inlineStr">
        <is>
          <t>KRISTINEHAMN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13464-2026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46217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13461-2026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46217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13462-2026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46217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46217</v>
      </c>
      <c r="F323" t="inlineStr">
        <is>
          <t>VÄRMLANDS LÄN</t>
        </is>
      </c>
      <c r="G323" t="inlineStr">
        <is>
          <t>KRISTINEHAMN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29871-2026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46217</v>
      </c>
      <c r="F324" t="inlineStr">
        <is>
          <t>VÄRMLANDS LÄN</t>
        </is>
      </c>
      <c r="G324" t="inlineStr">
        <is>
          <t>KRISTINEHAMN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29874-2026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46217</v>
      </c>
      <c r="F325" t="inlineStr">
        <is>
          <t>VÄRMLANDS LÄN</t>
        </is>
      </c>
      <c r="G325" t="inlineStr">
        <is>
          <t>KRISTINEHAMN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46217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2945-2024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46217</v>
      </c>
      <c r="F327" t="inlineStr">
        <is>
          <t>VÄRMLANDS LÄN</t>
        </is>
      </c>
      <c r="G327" t="inlineStr">
        <is>
          <t>KRISTINEHAMN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14757-2026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46217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14759-2026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46217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19638-2025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46217</v>
      </c>
      <c r="F330" t="inlineStr">
        <is>
          <t>VÄRMLANDS LÄN</t>
        </is>
      </c>
      <c r="G330" t="inlineStr">
        <is>
          <t>KRISTINEHAMN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15064-2026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46217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7222-2024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45344</v>
      </c>
      <c r="E332" s="1" t="n">
        <v>46217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Naturvårdsverket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46217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15646-2026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46106</v>
      </c>
      <c r="E334" s="1" t="n">
        <v>46217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46217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47467-2023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46217</v>
      </c>
      <c r="F336" t="inlineStr">
        <is>
          <t>VÄRMLANDS LÄN</t>
        </is>
      </c>
      <c r="G336" t="inlineStr">
        <is>
          <t>KRISTINEHAMN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56522-2021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46217</v>
      </c>
      <c r="F337" t="inlineStr">
        <is>
          <t>VÄRMLANDS LÄN</t>
        </is>
      </c>
      <c r="G337" t="inlineStr">
        <is>
          <t>KRISTINEHAMN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15827-2026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46217</v>
      </c>
      <c r="F338" t="inlineStr">
        <is>
          <t>VÄRMLANDS LÄN</t>
        </is>
      </c>
      <c r="G338" t="inlineStr">
        <is>
          <t>KRISTINEHAMN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45303</v>
      </c>
      <c r="E339" s="1" t="n">
        <v>46217</v>
      </c>
      <c r="F339" t="inlineStr">
        <is>
          <t>VÄRMLANDS LÄN</t>
        </is>
      </c>
      <c r="G339" t="inlineStr">
        <is>
          <t>KRISTINEHAMN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12395-2024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46217</v>
      </c>
      <c r="F340" t="inlineStr">
        <is>
          <t>VÄRMLANDS LÄN</t>
        </is>
      </c>
      <c r="G340" t="inlineStr">
        <is>
          <t>KRISTINEHAMN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36961-2021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44393</v>
      </c>
      <c r="E341" s="1" t="n">
        <v>46217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56930-2023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45244</v>
      </c>
      <c r="E342" s="1" t="n">
        <v>46217</v>
      </c>
      <c r="F342" t="inlineStr">
        <is>
          <t>VÄRMLANDS LÄN</t>
        </is>
      </c>
      <c r="G342" t="inlineStr">
        <is>
          <t>KRISTINEHAMN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46217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24379-2026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46169</v>
      </c>
      <c r="E344" s="1" t="n">
        <v>46217</v>
      </c>
      <c r="F344" t="inlineStr">
        <is>
          <t>VÄRMLANDS LÄN</t>
        </is>
      </c>
      <c r="G344" t="inlineStr">
        <is>
          <t>KRISTINEHAMN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46217</v>
      </c>
      <c r="F345" t="inlineStr">
        <is>
          <t>VÄRMLANDS LÄN</t>
        </is>
      </c>
      <c r="G345" t="inlineStr">
        <is>
          <t>KRISTINEHAMN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47951-2021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44448</v>
      </c>
      <c r="E346" s="1" t="n">
        <v>46217</v>
      </c>
      <c r="F346" t="inlineStr">
        <is>
          <t>VÄRMLANDS LÄN</t>
        </is>
      </c>
      <c r="G346" t="inlineStr">
        <is>
          <t>KRISTINEHAMN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32821-2023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45112</v>
      </c>
      <c r="E347" s="1" t="n">
        <v>46217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Kommuner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46217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46217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18902-2026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46217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18909-2026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46129</v>
      </c>
      <c r="E351" s="1" t="n">
        <v>46217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3793-2025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45681</v>
      </c>
      <c r="E352" s="1" t="n">
        <v>46217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32821-2023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45112</v>
      </c>
      <c r="E353" s="1" t="n">
        <v>46217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Kommuner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24570-2026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46170</v>
      </c>
      <c r="E354" s="1" t="n">
        <v>46217</v>
      </c>
      <c r="F354" t="inlineStr">
        <is>
          <t>VÄRMLANDS LÄN</t>
        </is>
      </c>
      <c r="G354" t="inlineStr">
        <is>
          <t>KRISTINEHAMN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46217</v>
      </c>
      <c r="F355" t="inlineStr">
        <is>
          <t>VÄRMLANDS LÄN</t>
        </is>
      </c>
      <c r="G355" t="inlineStr">
        <is>
          <t>KRISTINEHAMN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42947-2021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44431</v>
      </c>
      <c r="E356" s="1" t="n">
        <v>46217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24634-2026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46171</v>
      </c>
      <c r="E357" s="1" t="n">
        <v>46217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38490-2021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44407</v>
      </c>
      <c r="E358" s="1" t="n">
        <v>46217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46217</v>
      </c>
      <c r="F359" t="inlineStr">
        <is>
          <t>VÄRMLANDS LÄN</t>
        </is>
      </c>
      <c r="G359" t="inlineStr">
        <is>
          <t>KRISTINEHAMN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62770-2023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46217</v>
      </c>
      <c r="F360" t="inlineStr">
        <is>
          <t>VÄRMLANDS LÄN</t>
        </is>
      </c>
      <c r="G360" t="inlineStr">
        <is>
          <t>KRISTINEHAMN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14183-2022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44651</v>
      </c>
      <c r="E361" s="1" t="n">
        <v>46217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45563-2022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44841</v>
      </c>
      <c r="E362" s="1" t="n">
        <v>46217</v>
      </c>
      <c r="F362" t="inlineStr">
        <is>
          <t>VÄRMLANDS LÄN</t>
        </is>
      </c>
      <c r="G362" t="inlineStr">
        <is>
          <t>KRISTINEHAMN</t>
        </is>
      </c>
      <c r="I362" t="n">
        <v>6.9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27210-2022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44741</v>
      </c>
      <c r="E363" s="1" t="n">
        <v>46217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46217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40988-2021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44421</v>
      </c>
      <c r="E365" s="1" t="n">
        <v>46217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47770-2023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46217</v>
      </c>
      <c r="F366" t="inlineStr">
        <is>
          <t>VÄRMLANDS LÄN</t>
        </is>
      </c>
      <c r="G366" t="inlineStr">
        <is>
          <t>KRISTINEHAMN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24710-2024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46217</v>
      </c>
      <c r="F367" t="inlineStr">
        <is>
          <t>VÄRMLANDS LÄN</t>
        </is>
      </c>
      <c r="G367" t="inlineStr">
        <is>
          <t>KRISTINEHAMN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51616-2023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46217</v>
      </c>
      <c r="F368" t="inlineStr">
        <is>
          <t>VÄRMLANDS LÄN</t>
        </is>
      </c>
      <c r="G368" t="inlineStr">
        <is>
          <t>KRISTINEHAMN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58616-2021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44489</v>
      </c>
      <c r="E369" s="1" t="n">
        <v>46217</v>
      </c>
      <c r="F369" t="inlineStr">
        <is>
          <t>VÄRMLANDS LÄN</t>
        </is>
      </c>
      <c r="G369" t="inlineStr">
        <is>
          <t>KRISTINEHAMN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28827-2024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45478</v>
      </c>
      <c r="E370" s="1" t="n">
        <v>46217</v>
      </c>
      <c r="F370" t="inlineStr">
        <is>
          <t>VÄRMLANDS LÄN</t>
        </is>
      </c>
      <c r="G370" t="inlineStr">
        <is>
          <t>KRISTINEHAMN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28836-2024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45478</v>
      </c>
      <c r="E371" s="1" t="n">
        <v>46217</v>
      </c>
      <c r="F371" t="inlineStr">
        <is>
          <t>VÄRMLANDS LÄN</t>
        </is>
      </c>
      <c r="G371" t="inlineStr">
        <is>
          <t>KRISTINEHAMN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36792-2023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46217</v>
      </c>
      <c r="F372" t="inlineStr">
        <is>
          <t>VÄRMLANDS LÄN</t>
        </is>
      </c>
      <c r="G372" t="inlineStr">
        <is>
          <t>KRISTINEHAMN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27939-2023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46217</v>
      </c>
      <c r="F373" t="inlineStr">
        <is>
          <t>VÄRMLANDS LÄN</t>
        </is>
      </c>
      <c r="G373" t="inlineStr">
        <is>
          <t>KRISTINEHAMN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27961-2023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46217</v>
      </c>
      <c r="F374" t="inlineStr">
        <is>
          <t>VÄRMLANDS LÄN</t>
        </is>
      </c>
      <c r="G374" t="inlineStr">
        <is>
          <t>KRISTINEHAMN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6927-2025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46217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Naturvårdsverket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68526-2021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44526</v>
      </c>
      <c r="E376" s="1" t="n">
        <v>46217</v>
      </c>
      <c r="F376" t="inlineStr">
        <is>
          <t>VÄRMLANDS LÄN</t>
        </is>
      </c>
      <c r="G376" t="inlineStr">
        <is>
          <t>KRISTINEHAMN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68530-2021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46217</v>
      </c>
      <c r="F377" t="inlineStr">
        <is>
          <t>VÄRMLANDS LÄN</t>
        </is>
      </c>
      <c r="G377" t="inlineStr">
        <is>
          <t>KRISTINEHAMN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29017-2023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46217</v>
      </c>
      <c r="F378" t="inlineStr">
        <is>
          <t>VÄRMLANDS LÄN</t>
        </is>
      </c>
      <c r="G378" t="inlineStr">
        <is>
          <t>KRISTINEHAMN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44595</v>
      </c>
      <c r="E379" s="1" t="n">
        <v>46217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Kommuner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5507-2022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44595</v>
      </c>
      <c r="E380" s="1" t="n">
        <v>46217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56662-2023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46217</v>
      </c>
      <c r="F381" t="inlineStr">
        <is>
          <t>VÄRMLANDS LÄN</t>
        </is>
      </c>
      <c r="G381" t="inlineStr">
        <is>
          <t>KRISTINEHAMN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56666-2023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45243</v>
      </c>
      <c r="E382" s="1" t="n">
        <v>46217</v>
      </c>
      <c r="F382" t="inlineStr">
        <is>
          <t>VÄRMLANDS LÄN</t>
        </is>
      </c>
      <c r="G382" t="inlineStr">
        <is>
          <t>KRISTINEHAMN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56667-2023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46217</v>
      </c>
      <c r="F383" t="inlineStr">
        <is>
          <t>VÄRMLANDS LÄN</t>
        </is>
      </c>
      <c r="G383" t="inlineStr">
        <is>
          <t>KRISTINEHAMN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45322</v>
      </c>
      <c r="E384" s="1" t="n">
        <v>46217</v>
      </c>
      <c r="F384" t="inlineStr">
        <is>
          <t>VÄRMLANDS LÄN</t>
        </is>
      </c>
      <c r="G384" t="inlineStr">
        <is>
          <t>KRISTINEHAMN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61988-2023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46217</v>
      </c>
      <c r="F385" t="inlineStr">
        <is>
          <t>VÄRMLANDS LÄN</t>
        </is>
      </c>
      <c r="G385" t="inlineStr">
        <is>
          <t>KRISTINEHAMN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8758-2023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46217</v>
      </c>
      <c r="F386" t="inlineStr">
        <is>
          <t>VÄRMLANDS LÄN</t>
        </is>
      </c>
      <c r="G386" t="inlineStr">
        <is>
          <t>KRISTINEHAMN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28152-2022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44746</v>
      </c>
      <c r="E387" s="1" t="n">
        <v>46217</v>
      </c>
      <c r="F387" t="inlineStr">
        <is>
          <t>VÄRMLANDS LÄN</t>
        </is>
      </c>
      <c r="G387" t="inlineStr">
        <is>
          <t>KRISTINEHAMN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59862-2024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45639</v>
      </c>
      <c r="E388" s="1" t="n">
        <v>46217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23246-2024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45450</v>
      </c>
      <c r="E389" s="1" t="n">
        <v>46217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Kommuner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22896-2023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45072</v>
      </c>
      <c r="E390" s="1" t="n">
        <v>46217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39779-2023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45167</v>
      </c>
      <c r="E391" s="1" t="n">
        <v>46217</v>
      </c>
      <c r="F391" t="inlineStr">
        <is>
          <t>VÄRMLANDS LÄN</t>
        </is>
      </c>
      <c r="G391" t="inlineStr">
        <is>
          <t>KRISTINEHAMN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46217</v>
      </c>
      <c r="F392" t="inlineStr">
        <is>
          <t>VÄRMLANDS LÄN</t>
        </is>
      </c>
      <c r="G392" t="inlineStr">
        <is>
          <t>KRISTINEHAMN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21861-2023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45068</v>
      </c>
      <c r="E393" s="1" t="n">
        <v>46217</v>
      </c>
      <c r="F393" t="inlineStr">
        <is>
          <t>VÄRMLANDS LÄN</t>
        </is>
      </c>
      <c r="G393" t="inlineStr">
        <is>
          <t>KRISTINEHAMN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47466-2023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46217</v>
      </c>
      <c r="F394" t="inlineStr">
        <is>
          <t>VÄRMLANDS LÄN</t>
        </is>
      </c>
      <c r="G394" t="inlineStr">
        <is>
          <t>KRISTINEHAMN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15406-2024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46217</v>
      </c>
      <c r="F395" t="inlineStr">
        <is>
          <t>VÄRMLANDS LÄN</t>
        </is>
      </c>
      <c r="G395" t="inlineStr">
        <is>
          <t>KRISTINEHAMN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34891-2023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46217</v>
      </c>
      <c r="F396" t="inlineStr">
        <is>
          <t>VÄRMLANDS LÄN</t>
        </is>
      </c>
      <c r="G396" t="inlineStr">
        <is>
          <t>KRISTINEHAMN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56661-2023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46217</v>
      </c>
      <c r="F397" t="inlineStr">
        <is>
          <t>VÄRMLANDS LÄN</t>
        </is>
      </c>
      <c r="G397" t="inlineStr">
        <is>
          <t>KRISTINEHAMN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56664-2023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46217</v>
      </c>
      <c r="F398" t="inlineStr">
        <is>
          <t>VÄRMLANDS LÄN</t>
        </is>
      </c>
      <c r="G398" t="inlineStr">
        <is>
          <t>KRISTINEHAMN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46217</v>
      </c>
      <c r="F399" t="inlineStr">
        <is>
          <t>VÄRMLANDS LÄN</t>
        </is>
      </c>
      <c r="G399" t="inlineStr">
        <is>
          <t>KRISTINEHAMN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56668-2023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46217</v>
      </c>
      <c r="F400" t="inlineStr">
        <is>
          <t>VÄRMLANDS LÄN</t>
        </is>
      </c>
      <c r="G400" t="inlineStr">
        <is>
          <t>KRISTINEHAMN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39778-2023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46217</v>
      </c>
      <c r="F401" t="inlineStr">
        <is>
          <t>VÄRMLANDS LÄN</t>
        </is>
      </c>
      <c r="G401" t="inlineStr">
        <is>
          <t>KRISTINEHAMN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46217</v>
      </c>
      <c r="F402" t="inlineStr">
        <is>
          <t>VÄRMLANDS LÄN</t>
        </is>
      </c>
      <c r="G402" t="inlineStr">
        <is>
          <t>KRISTINEHAMN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10032-2023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46217</v>
      </c>
      <c r="F403" t="inlineStr">
        <is>
          <t>VÄRMLANDS LÄN</t>
        </is>
      </c>
      <c r="G403" t="inlineStr">
        <is>
          <t>KRISTINEHAMN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11020-2023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46217</v>
      </c>
      <c r="F404" t="inlineStr">
        <is>
          <t>VÄRMLANDS LÄN</t>
        </is>
      </c>
      <c r="G404" t="inlineStr">
        <is>
          <t>KRISTINEHAMN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58284-2024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45631</v>
      </c>
      <c r="E405" s="1" t="n">
        <v>46217</v>
      </c>
      <c r="F405" t="inlineStr">
        <is>
          <t>VÄRMLANDS LÄN</t>
        </is>
      </c>
      <c r="G405" t="inlineStr">
        <is>
          <t>KRISTINEHAMN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27531-2022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44742</v>
      </c>
      <c r="E406" s="1" t="n">
        <v>46217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7695-2025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45705</v>
      </c>
      <c r="E407" s="1" t="n">
        <v>46217</v>
      </c>
      <c r="F407" t="inlineStr">
        <is>
          <t>VÄRMLANDS LÄN</t>
        </is>
      </c>
      <c r="G407" t="inlineStr">
        <is>
          <t>KRISTINEHAMN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13118-2025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46217</v>
      </c>
      <c r="F408" t="inlineStr">
        <is>
          <t>VÄRMLANDS LÄN</t>
        </is>
      </c>
      <c r="G408" t="inlineStr">
        <is>
          <t>KRISTINEHAMN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47465-2023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46217</v>
      </c>
      <c r="F409" t="inlineStr">
        <is>
          <t>VÄRMLANDS LÄN</t>
        </is>
      </c>
      <c r="G409" t="inlineStr">
        <is>
          <t>KRISTINEHAMN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51700-2023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46217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Bergvik skog väst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12458-2024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45379</v>
      </c>
      <c r="E411" s="1" t="n">
        <v>46217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59203-2024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46217</v>
      </c>
      <c r="F412" t="inlineStr">
        <is>
          <t>VÄRMLANDS LÄN</t>
        </is>
      </c>
      <c r="G412" t="inlineStr">
        <is>
          <t>KRISTINEHAMN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46217</v>
      </c>
      <c r="F413" t="inlineStr">
        <is>
          <t>VÄRMLANDS LÄN</t>
        </is>
      </c>
      <c r="G413" t="inlineStr">
        <is>
          <t>KRISTINEHAMN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45693</v>
      </c>
      <c r="E414" s="1" t="n">
        <v>46217</v>
      </c>
      <c r="F414" t="inlineStr">
        <is>
          <t>VÄRMLANDS LÄN</t>
        </is>
      </c>
      <c r="G414" t="inlineStr">
        <is>
          <t>KRISTINEHAMN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45685</v>
      </c>
      <c r="E415" s="1" t="n">
        <v>46217</v>
      </c>
      <c r="F415" t="inlineStr">
        <is>
          <t>VÄRMLANDS LÄN</t>
        </is>
      </c>
      <c r="G415" t="inlineStr">
        <is>
          <t>KRISTINEHAMN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21602-2025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45783</v>
      </c>
      <c r="E416" s="1" t="n">
        <v>46217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59190-2024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45636</v>
      </c>
      <c r="E417" s="1" t="n">
        <v>46217</v>
      </c>
      <c r="F417" t="inlineStr">
        <is>
          <t>VÄRMLANDS LÄN</t>
        </is>
      </c>
      <c r="G417" t="inlineStr">
        <is>
          <t>KRISTINEHAMN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23502-2025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45792</v>
      </c>
      <c r="E418" s="1" t="n">
        <v>46217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23498-2025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46217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46217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23511-2025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46217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46217</v>
      </c>
      <c r="F422" t="inlineStr">
        <is>
          <t>VÄRMLANDS LÄN</t>
        </is>
      </c>
      <c r="G422" t="inlineStr">
        <is>
          <t>KRISTINEHAMN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23510-2025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45792</v>
      </c>
      <c r="E423" s="1" t="n">
        <v>46217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4493-2025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46217</v>
      </c>
      <c r="F424" t="inlineStr">
        <is>
          <t>VÄRMLANDS LÄN</t>
        </is>
      </c>
      <c r="G424" t="inlineStr">
        <is>
          <t>KRISTINEHAMN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65055-2023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46217</v>
      </c>
      <c r="F425" t="inlineStr">
        <is>
          <t>VÄRMLANDS LÄN</t>
        </is>
      </c>
      <c r="G425" t="inlineStr">
        <is>
          <t>KRISTINEHAMN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16427-2024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45407</v>
      </c>
      <c r="E426" s="1" t="n">
        <v>46217</v>
      </c>
      <c r="F426" t="inlineStr">
        <is>
          <t>VÄRMLANDS LÄN</t>
        </is>
      </c>
      <c r="G426" t="inlineStr">
        <is>
          <t>KRISTINEHAMN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46217</v>
      </c>
      <c r="F427" t="inlineStr">
        <is>
          <t>VÄRMLANDS LÄN</t>
        </is>
      </c>
      <c r="G427" t="inlineStr">
        <is>
          <t>KRISTINEHAMN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6609-2025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46217</v>
      </c>
      <c r="F428" t="inlineStr">
        <is>
          <t>VÄRMLANDS LÄN</t>
        </is>
      </c>
      <c r="G428" t="inlineStr">
        <is>
          <t>KRISTINEHAMN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46217</v>
      </c>
      <c r="F429" t="inlineStr">
        <is>
          <t>VÄRMLANDS LÄN</t>
        </is>
      </c>
      <c r="G429" t="inlineStr">
        <is>
          <t>KRISTINEHAMN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45012-2024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45575</v>
      </c>
      <c r="E430" s="1" t="n">
        <v>46217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24655-2025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46217</v>
      </c>
      <c r="F431" t="inlineStr">
        <is>
          <t>VÄRMLANDS LÄN</t>
        </is>
      </c>
      <c r="G431" t="inlineStr">
        <is>
          <t>KRISTINEHAMN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24970-2025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45799</v>
      </c>
      <c r="E432" s="1" t="n">
        <v>46217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25484-2025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45802</v>
      </c>
      <c r="E433" s="1" t="n">
        <v>46217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26181-2025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46217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26192-2025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46217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26623-2025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45810</v>
      </c>
      <c r="E436" s="1" t="n">
        <v>46217</v>
      </c>
      <c r="F436" t="inlineStr">
        <is>
          <t>VÄRMLANDS LÄN</t>
        </is>
      </c>
      <c r="G436" t="inlineStr">
        <is>
          <t>KRISTINEHAMN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26871-2025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46217</v>
      </c>
      <c r="F437" t="inlineStr">
        <is>
          <t>VÄRMLANDS LÄN</t>
        </is>
      </c>
      <c r="G437" t="inlineStr">
        <is>
          <t>KRISTINEHAMN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27140-2025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45812</v>
      </c>
      <c r="E438" s="1" t="n">
        <v>46217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27139-2025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45812</v>
      </c>
      <c r="E439" s="1" t="n">
        <v>46217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28731-2025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46217</v>
      </c>
      <c r="F440" t="inlineStr">
        <is>
          <t>VÄRMLANDS LÄN</t>
        </is>
      </c>
      <c r="G440" t="inlineStr">
        <is>
          <t>KRISTINEHAMN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10106-2024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45364</v>
      </c>
      <c r="E441" s="1" t="n">
        <v>46217</v>
      </c>
      <c r="F441" t="inlineStr">
        <is>
          <t>VÄRMLANDS LÄN</t>
        </is>
      </c>
      <c r="G441" t="inlineStr">
        <is>
          <t>KRISTINEHAMN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10124-2024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45364</v>
      </c>
      <c r="E442" s="1" t="n">
        <v>46217</v>
      </c>
      <c r="F442" t="inlineStr">
        <is>
          <t>VÄRMLANDS LÄN</t>
        </is>
      </c>
      <c r="G442" t="inlineStr">
        <is>
          <t>KRISTINEHAMN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12261-2024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45378</v>
      </c>
      <c r="E443" s="1" t="n">
        <v>46217</v>
      </c>
      <c r="F443" t="inlineStr">
        <is>
          <t>VÄRMLANDS LÄN</t>
        </is>
      </c>
      <c r="G443" t="inlineStr">
        <is>
          <t>KRISTINEHAMN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13032-2024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45385</v>
      </c>
      <c r="E444" s="1" t="n">
        <v>46217</v>
      </c>
      <c r="F444" t="inlineStr">
        <is>
          <t>VÄRMLANDS LÄN</t>
        </is>
      </c>
      <c r="G444" t="inlineStr">
        <is>
          <t>KRISTINEHAMN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10116-2024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46217</v>
      </c>
      <c r="F445" t="inlineStr">
        <is>
          <t>VÄRMLANDS LÄN</t>
        </is>
      </c>
      <c r="G445" t="inlineStr">
        <is>
          <t>KRISTINEHAMN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30221-2025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45827</v>
      </c>
      <c r="E446" s="1" t="n">
        <v>46217</v>
      </c>
      <c r="F446" t="inlineStr">
        <is>
          <t>VÄRMLANDS LÄN</t>
        </is>
      </c>
      <c r="G446" t="inlineStr">
        <is>
          <t>KRISTINEHAMN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46217</v>
      </c>
      <c r="F447" t="inlineStr">
        <is>
          <t>VÄRMLANDS LÄN</t>
        </is>
      </c>
      <c r="G447" t="inlineStr">
        <is>
          <t>KRISTINEHAMN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45833</v>
      </c>
      <c r="E448" s="1" t="n">
        <v>46217</v>
      </c>
      <c r="F448" t="inlineStr">
        <is>
          <t>VÄRMLANDS LÄN</t>
        </is>
      </c>
      <c r="G448" t="inlineStr">
        <is>
          <t>KRISTINEHAMN</t>
        </is>
      </c>
      <c r="I448" t="n">
        <v>20.1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31250-2025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45832</v>
      </c>
      <c r="E449" s="1" t="n">
        <v>46217</v>
      </c>
      <c r="F449" t="inlineStr">
        <is>
          <t>VÄRMLANDS LÄN</t>
        </is>
      </c>
      <c r="G449" t="inlineStr">
        <is>
          <t>KRISTINEHAMN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31528-2025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46217</v>
      </c>
      <c r="F450" t="inlineStr">
        <is>
          <t>VÄRMLANDS LÄN</t>
        </is>
      </c>
      <c r="G450" t="inlineStr">
        <is>
          <t>KRISTINEHAMN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46217</v>
      </c>
      <c r="F451" t="inlineStr">
        <is>
          <t>VÄRMLANDS LÄN</t>
        </is>
      </c>
      <c r="G451" t="inlineStr">
        <is>
          <t>KRISTINEHAMN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21384-2025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45782</v>
      </c>
      <c r="E452" s="1" t="n">
        <v>46217</v>
      </c>
      <c r="F452" t="inlineStr">
        <is>
          <t>VÄRMLANDS LÄN</t>
        </is>
      </c>
      <c r="G452" t="inlineStr">
        <is>
          <t>KRISTINEHAMN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1219-2020</t>
        </is>
      </c>
      <c r="B453" t="inlineStr">
        <is>
          <t>samrådsanmälan</t>
        </is>
      </c>
      <c r="C453" t="n">
        <v/>
      </c>
      <c r="D453" s="1" t="n">
        <v>43980</v>
      </c>
      <c r="E453" s="1" t="n">
        <v>46217</v>
      </c>
      <c r="F453" t="inlineStr">
        <is>
          <t>VÄRMLANDS LÄN</t>
        </is>
      </c>
      <c r="G453" t="inlineStr">
        <is>
          <t>KRISTINEHAMN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46217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2879-2022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44711</v>
      </c>
      <c r="E455" s="1" t="n">
        <v>46217</v>
      </c>
      <c r="F455" t="inlineStr">
        <is>
          <t>VÄRMLANDS LÄN</t>
        </is>
      </c>
      <c r="G455" t="inlineStr">
        <is>
          <t>KRISTINEHAMN</t>
        </is>
      </c>
      <c r="I455" t="n">
        <v>25.9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2393-2022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44690</v>
      </c>
      <c r="E456" s="1" t="n">
        <v>46217</v>
      </c>
      <c r="F456" t="inlineStr">
        <is>
          <t>VÄRMLANDS LÄN</t>
        </is>
      </c>
      <c r="G456" t="inlineStr">
        <is>
          <t>KRISTINEHAMN</t>
        </is>
      </c>
      <c r="I456" t="n">
        <v>51.7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4147-2023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46217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13.5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4149-2023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45247</v>
      </c>
      <c r="E458" s="1" t="n">
        <v>46217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9.5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2254-2023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45103</v>
      </c>
      <c r="E459" s="1" t="n">
        <v>46217</v>
      </c>
      <c r="F459" t="inlineStr">
        <is>
          <t>VÄRMLANDS LÄN</t>
        </is>
      </c>
      <c r="G459" t="inlineStr">
        <is>
          <t>KRISTINEHAMN</t>
        </is>
      </c>
      <c r="I459" t="n">
        <v>51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1899-2024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46217</v>
      </c>
      <c r="F460" t="inlineStr">
        <is>
          <t>VÄRMLANDS LÄN</t>
        </is>
      </c>
      <c r="G460" t="inlineStr">
        <is>
          <t>KRISTINEHAMN</t>
        </is>
      </c>
      <c r="I460" t="n">
        <v>21.4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2301-2024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45463</v>
      </c>
      <c r="E461" s="1" t="n">
        <v>46217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Bergvik skog väst AB</t>
        </is>
      </c>
      <c r="I461" t="n">
        <v>28.1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2553-2024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45475</v>
      </c>
      <c r="E462" s="1" t="n">
        <v>46217</v>
      </c>
      <c r="F462" t="inlineStr">
        <is>
          <t>VÄRMLANDS LÄN</t>
        </is>
      </c>
      <c r="G462" t="inlineStr">
        <is>
          <t>KRISTINEHAMN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3378-2024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45533</v>
      </c>
      <c r="E463" s="1" t="n">
        <v>46217</v>
      </c>
      <c r="F463" t="inlineStr">
        <is>
          <t>VÄRMLANDS LÄN</t>
        </is>
      </c>
      <c r="G463" t="inlineStr">
        <is>
          <t>KRISTINEHAMN</t>
        </is>
      </c>
      <c r="I463" t="n">
        <v>53.7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1903-2024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45442</v>
      </c>
      <c r="E464" s="1" t="n">
        <v>46217</v>
      </c>
      <c r="F464" t="inlineStr">
        <is>
          <t>VÄRMLANDS LÄN</t>
        </is>
      </c>
      <c r="G464" t="inlineStr">
        <is>
          <t>KRISTINEHAMN</t>
        </is>
      </c>
      <c r="I464" t="n">
        <v>104.3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717-2023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44985</v>
      </c>
      <c r="E465" s="1" t="n">
        <v>46217</v>
      </c>
      <c r="F465" t="inlineStr">
        <is>
          <t>VÄRMLANDS LÄN</t>
        </is>
      </c>
      <c r="G465" t="inlineStr">
        <is>
          <t>KRISTINEHAMN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1412-2024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45414</v>
      </c>
      <c r="E466" s="1" t="n">
        <v>46217</v>
      </c>
      <c r="F466" t="inlineStr">
        <is>
          <t>VÄRMLANDS LÄN</t>
        </is>
      </c>
      <c r="G466" t="inlineStr">
        <is>
          <t>KRISTINEHAMN</t>
        </is>
      </c>
      <c r="I466" t="n">
        <v>42.9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1900-2024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45442</v>
      </c>
      <c r="E467" s="1" t="n">
        <v>46217</v>
      </c>
      <c r="F467" t="inlineStr">
        <is>
          <t>VÄRMLANDS LÄN</t>
        </is>
      </c>
      <c r="G467" t="inlineStr">
        <is>
          <t>KRISTINEHAMN</t>
        </is>
      </c>
      <c r="I467" t="n">
        <v>63.5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3374-2024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45533</v>
      </c>
      <c r="E468" s="1" t="n">
        <v>46217</v>
      </c>
      <c r="F468" t="inlineStr">
        <is>
          <t>VÄRMLANDS LÄN</t>
        </is>
      </c>
      <c r="G468" t="inlineStr">
        <is>
          <t>KRISTINEHAMN</t>
        </is>
      </c>
      <c r="I468" t="n">
        <v>18.3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2464-2023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45118</v>
      </c>
      <c r="E469" s="1" t="n">
        <v>46217</v>
      </c>
      <c r="F469" t="inlineStr">
        <is>
          <t>VÄRMLANDS LÄN</t>
        </is>
      </c>
      <c r="G469" t="inlineStr">
        <is>
          <t>KRISTINEHAMN</t>
        </is>
      </c>
      <c r="I469" t="n">
        <v>42.3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4146-2023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45247</v>
      </c>
      <c r="E470" s="1" t="n">
        <v>46217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Bergvik skog väst AB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3007-2024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45512</v>
      </c>
      <c r="E471" s="1" t="n">
        <v>46217</v>
      </c>
      <c r="F471" t="inlineStr">
        <is>
          <t>VÄRMLANDS LÄN</t>
        </is>
      </c>
      <c r="G471" t="inlineStr">
        <is>
          <t>KRISTINEHAMN</t>
        </is>
      </c>
      <c r="I471" t="n">
        <v>56.9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1418-2025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45783</v>
      </c>
      <c r="E472" s="1" t="n">
        <v>46217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1546-2025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45792</v>
      </c>
      <c r="E473" s="1" t="n">
        <v>46217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1698-2025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45805</v>
      </c>
      <c r="E474" s="1" t="n">
        <v>46217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12.6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121-2026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46040</v>
      </c>
      <c r="E475" s="1" t="n">
        <v>46217</v>
      </c>
      <c r="F475" t="inlineStr">
        <is>
          <t>VÄRMLANDS LÄN</t>
        </is>
      </c>
      <c r="G475" t="inlineStr">
        <is>
          <t>KRISTINEHAMN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865-2026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46106</v>
      </c>
      <c r="E476" s="1" t="n">
        <v>46217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Sveaskog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>
      <c r="A477" t="inlineStr">
        <is>
          <t>S 99-2026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46036</v>
      </c>
      <c r="E477" s="1" t="n">
        <v>46217</v>
      </c>
      <c r="F477" t="inlineStr">
        <is>
          <t>VÄRMLANDS LÄN</t>
        </is>
      </c>
      <c r="G477" t="inlineStr">
        <is>
          <t>KRISTINEHAMN</t>
        </is>
      </c>
      <c r="H477" t="inlineStr">
        <is>
          <t>Naturvårdsverket</t>
        </is>
      </c>
      <c r="I477" t="n">
        <v>80.8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2026-07-14T09:03:09Z</dcterms:created>
  <dcterms:modified xmlns:dcterms="http://purl.org/dc/terms/" xmlns:xsi="http://www.w3.org/2001/XMLSchema-instance" xsi:type="dcterms:W3CDTF">2026-07-14T09:03:09Z</dcterms:modified>
</cp:coreProperties>
</file>