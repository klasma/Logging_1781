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46221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s="2" t="inlineStr">
        <is>
          <t>Bombmurkla
Talltita
Ullticka
Vedtrappmossa
Brandticka
Bronshjon
Bårdlav
Grön sköldmossa
Grönpyrola
Kamjordstjärna
Vågbandad barkbock
Blåsippa
Järpe</t>
        </is>
      </c>
      <c r="V2">
        <f>HYPERLINK("https://klasma.github.io/Logging_1781/artfynd/A 53132-2023 artfynd.xlsx", "A 53132-2023")</f>
        <v/>
      </c>
      <c r="W2">
        <f>HYPERLINK("https://klasma.github.io/Logging_1781/kartor/A 53132-2023 karta.png", "A 53132-2023")</f>
        <v/>
      </c>
      <c r="X2">
        <f>HYPERLINK("https://klasma.github.io/Logging_1781/knärot/A 53132-2023 karta knärot.png", "A 53132-2023")</f>
        <v/>
      </c>
      <c r="Y2">
        <f>HYPERLINK("https://klasma.github.io/Logging_1781/klagomål/A 53132-2023 FSC-klagomål.docx", "A 53132-2023")</f>
        <v/>
      </c>
      <c r="Z2">
        <f>HYPERLINK("https://klasma.github.io/Logging_1781/klagomålsmail/A 53132-2023 FSC-klagomål mail.docx", "A 53132-2023")</f>
        <v/>
      </c>
      <c r="AA2">
        <f>HYPERLINK("https://klasma.github.io/Logging_1781/tillsyn/A 53132-2023 tillsynsbegäran.docx", "A 53132-2023")</f>
        <v/>
      </c>
      <c r="AB2">
        <f>HYPERLINK("https://klasma.github.io/Logging_1781/tillsynsmail/A 53132-2023 tillsynsbegäran mail.docx", "A 53132-2023")</f>
        <v/>
      </c>
      <c r="AC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46221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s="2" t="inlineStr">
        <is>
          <t>Bombmurkla
Garnlav
Brunpudrad nållav
Dofttaggsvamp
Fyrflikig jordstjärna
Talltita
Brandticka
Grönpyrola
Kamjordstjärna
Blåsippa
Kungsfågel</t>
        </is>
      </c>
      <c r="V3">
        <f>HYPERLINK("https://klasma.github.io/Logging_1781/artfynd/A 53130-2023 artfynd.xlsx", "A 53130-2023")</f>
        <v/>
      </c>
      <c r="W3">
        <f>HYPERLINK("https://klasma.github.io/Logging_1781/kartor/A 53130-2023 karta.png", "A 53130-2023")</f>
        <v/>
      </c>
      <c r="Y3">
        <f>HYPERLINK("https://klasma.github.io/Logging_1781/klagomål/A 53130-2023 FSC-klagomål.docx", "A 53130-2023")</f>
        <v/>
      </c>
      <c r="Z3">
        <f>HYPERLINK("https://klasma.github.io/Logging_1781/klagomålsmail/A 53130-2023 FSC-klagomål mail.docx", "A 53130-2023")</f>
        <v/>
      </c>
      <c r="AA3">
        <f>HYPERLINK("https://klasma.github.io/Logging_1781/tillsyn/A 53130-2023 tillsynsbegäran.docx", "A 53130-2023")</f>
        <v/>
      </c>
      <c r="AB3">
        <f>HYPERLINK("https://klasma.github.io/Logging_1781/tillsynsmail/A 53130-2023 tillsynsbegäran mail.docx", "A 53130-2023")</f>
        <v/>
      </c>
      <c r="AC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46221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s="2" t="inlineStr">
        <is>
          <t>Stor sotdyna
Gulnål
Kornig nållav
Lönnlav
Rostfläck
Blåsippa
Åkergroda</t>
        </is>
      </c>
      <c r="V4">
        <f>HYPERLINK("https://klasma.github.io/Logging_1781/artfynd/A 11656-2025 artfynd.xlsx", "A 11656-2025")</f>
        <v/>
      </c>
      <c r="W4">
        <f>HYPERLINK("https://klasma.github.io/Logging_1781/kartor/A 11656-2025 karta.png", "A 11656-2025")</f>
        <v/>
      </c>
      <c r="Y4">
        <f>HYPERLINK("https://klasma.github.io/Logging_1781/klagomål/A 11656-2025 FSC-klagomål.docx", "A 11656-2025")</f>
        <v/>
      </c>
      <c r="Z4">
        <f>HYPERLINK("https://klasma.github.io/Logging_1781/klagomålsmail/A 11656-2025 FSC-klagomål mail.docx", "A 11656-2025")</f>
        <v/>
      </c>
      <c r="AA4">
        <f>HYPERLINK("https://klasma.github.io/Logging_1781/tillsyn/A 11656-2025 tillsynsbegäran.docx", "A 11656-2025")</f>
        <v/>
      </c>
      <c r="AB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46221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s="2" t="inlineStr">
        <is>
          <t>Större vattensalamander
Åkergroda
Mindre vattensalamander
Vanlig groda
Fläcknycklar
Nattviol</t>
        </is>
      </c>
      <c r="V5">
        <f>HYPERLINK("https://klasma.github.io/Logging_1781/artfynd/S 2466-2023 artfynd.xlsx", "S 2466-2023")</f>
        <v/>
      </c>
      <c r="W5">
        <f>HYPERLINK("https://klasma.github.io/Logging_1781/kartor/S 2466-2023 karta.png", "S 2466-2023")</f>
        <v/>
      </c>
      <c r="Y5">
        <f>HYPERLINK("https://klasma.github.io/Logging_1781/klagomål/S 2466-2023 FSC-klagomål.docx", "S 2466-2023")</f>
        <v/>
      </c>
      <c r="Z5">
        <f>HYPERLINK("https://klasma.github.io/Logging_1781/klagomålsmail/S 2466-2023 FSC-klagomål mail.docx", "S 2466-2023")</f>
        <v/>
      </c>
      <c r="AA5">
        <f>HYPERLINK("https://klasma.github.io/Logging_1781/tillsyn/S 2466-2023 tillsynsbegäran.docx", "S 2466-2023")</f>
        <v/>
      </c>
      <c r="AB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46221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Bivråk
Barkticka
Spillkråka
Havsörn
Röd glada</t>
        </is>
      </c>
      <c r="V6">
        <f>HYPERLINK("https://klasma.github.io/Logging_1781/artfynd/A 61586-2023 artfynd.xlsx", "A 61586-2023")</f>
        <v/>
      </c>
      <c r="W6">
        <f>HYPERLINK("https://klasma.github.io/Logging_1781/kartor/A 61586-2023 karta.png", "A 61586-2023")</f>
        <v/>
      </c>
      <c r="Y6">
        <f>HYPERLINK("https://klasma.github.io/Logging_1781/klagomål/A 61586-2023 FSC-klagomål.docx", "A 61586-2023")</f>
        <v/>
      </c>
      <c r="Z6">
        <f>HYPERLINK("https://klasma.github.io/Logging_1781/klagomålsmail/A 61586-2023 FSC-klagomål mail.docx", "A 61586-2023")</f>
        <v/>
      </c>
      <c r="AA6">
        <f>HYPERLINK("https://klasma.github.io/Logging_1781/tillsyn/A 61586-2023 tillsynsbegäran.docx", "A 61586-2023")</f>
        <v/>
      </c>
      <c r="AB6">
        <f>HYPERLINK("https://klasma.github.io/Logging_1781/tillsynsmail/A 61586-2023 tillsynsbegäran mail.docx", "A 61586-2023")</f>
        <v/>
      </c>
      <c r="AC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46221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Kattfotslav
Tretåig hackspett
Rödgul trumpetsvamp
Stor revmossa
Spillkråka</t>
        </is>
      </c>
      <c r="V7">
        <f>HYPERLINK("https://klasma.github.io/Logging_1781/artfynd/A 58400-2021 artfynd.xlsx", "A 58400-2021")</f>
        <v/>
      </c>
      <c r="W7">
        <f>HYPERLINK("https://klasma.github.io/Logging_1781/kartor/A 58400-2021 karta.png", "A 58400-2021")</f>
        <v/>
      </c>
      <c r="Y7">
        <f>HYPERLINK("https://klasma.github.io/Logging_1781/klagomål/A 58400-2021 FSC-klagomål.docx", "A 58400-2021")</f>
        <v/>
      </c>
      <c r="Z7">
        <f>HYPERLINK("https://klasma.github.io/Logging_1781/klagomålsmail/A 58400-2021 FSC-klagomål mail.docx", "A 58400-2021")</f>
        <v/>
      </c>
      <c r="AA7">
        <f>HYPERLINK("https://klasma.github.io/Logging_1781/tillsyn/A 58400-2021 tillsynsbegäran.docx", "A 58400-2021")</f>
        <v/>
      </c>
      <c r="AB7">
        <f>HYPERLINK("https://klasma.github.io/Logging_1781/tillsynsmail/A 58400-2021 tillsynsbegäran mail.docx", "A 58400-2021")</f>
        <v/>
      </c>
      <c r="AC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46221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Talltita
Älg
Tjäder</t>
        </is>
      </c>
      <c r="V8">
        <f>HYPERLINK("https://klasma.github.io/Logging_1781/artfynd/S 2037-2023 artfynd.xlsx", "S 2037-2023")</f>
        <v/>
      </c>
      <c r="W8">
        <f>HYPERLINK("https://klasma.github.io/Logging_1781/kartor/S 2037-2023 karta.png", "S 2037-2023")</f>
        <v/>
      </c>
      <c r="Y8">
        <f>HYPERLINK("https://klasma.github.io/Logging_1781/klagomål/S 2037-2023 FSC-klagomål.docx", "S 2037-2023")</f>
        <v/>
      </c>
      <c r="Z8">
        <f>HYPERLINK("https://klasma.github.io/Logging_1781/klagomålsmail/S 2037-2023 FSC-klagomål mail.docx", "S 2037-2023")</f>
        <v/>
      </c>
      <c r="AA8">
        <f>HYPERLINK("https://klasma.github.io/Logging_1781/tillsyn/S 2037-2023 tillsynsbegäran.docx", "S 2037-2023")</f>
        <v/>
      </c>
      <c r="AB8">
        <f>HYPERLINK("https://klasma.github.io/Logging_1781/tillsynsmail/S 2037-2023 tillsynsbegäran mail.docx", "S 2037-2023")</f>
        <v/>
      </c>
      <c r="AC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46221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Mattlummer
Vattenfladdermus</t>
        </is>
      </c>
      <c r="V9">
        <f>HYPERLINK("https://klasma.github.io/Logging_1781/artfynd/S 3886-2024 artfynd.xlsx", "S 3886-2024")</f>
        <v/>
      </c>
      <c r="W9">
        <f>HYPERLINK("https://klasma.github.io/Logging_1781/kartor/S 3886-2024 karta.png", "S 3886-2024")</f>
        <v/>
      </c>
      <c r="Y9">
        <f>HYPERLINK("https://klasma.github.io/Logging_1781/klagomål/S 3886-2024 FSC-klagomål.docx", "S 3886-2024")</f>
        <v/>
      </c>
      <c r="Z9">
        <f>HYPERLINK("https://klasma.github.io/Logging_1781/klagomålsmail/S 3886-2024 FSC-klagomål mail.docx", "S 3886-2024")</f>
        <v/>
      </c>
      <c r="AA9">
        <f>HYPERLINK("https://klasma.github.io/Logging_1781/tillsyn/S 3886-2024 tillsynsbegäran.docx", "S 3886-2024")</f>
        <v/>
      </c>
      <c r="AB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46221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Stor sotdyna
Gulnål</t>
        </is>
      </c>
      <c r="V10">
        <f>HYPERLINK("https://klasma.github.io/Logging_1781/artfynd/A 32991-2023 artfynd.xlsx", "A 32991-2023")</f>
        <v/>
      </c>
      <c r="W10">
        <f>HYPERLINK("https://klasma.github.io/Logging_1781/kartor/A 32991-2023 karta.png", "A 32991-2023")</f>
        <v/>
      </c>
      <c r="Y10">
        <f>HYPERLINK("https://klasma.github.io/Logging_1781/klagomål/A 32991-2023 FSC-klagomål.docx", "A 32991-2023")</f>
        <v/>
      </c>
      <c r="Z10">
        <f>HYPERLINK("https://klasma.github.io/Logging_1781/klagomålsmail/A 32991-2023 FSC-klagomål mail.docx", "A 32991-2023")</f>
        <v/>
      </c>
      <c r="AA10">
        <f>HYPERLINK("https://klasma.github.io/Logging_1781/tillsyn/A 32991-2023 tillsynsbegäran.docx", "A 32991-2023")</f>
        <v/>
      </c>
      <c r="AB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46221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Spillkråka
Gröngöling</t>
        </is>
      </c>
      <c r="V11">
        <f>HYPERLINK("https://klasma.github.io/Logging_1781/artfynd/S 3838-2023 artfynd.xlsx", "S 3838-2023")</f>
        <v/>
      </c>
      <c r="W11">
        <f>HYPERLINK("https://klasma.github.io/Logging_1781/kartor/S 3838-2023 karta.png", "S 3838-2023")</f>
        <v/>
      </c>
      <c r="Y11">
        <f>HYPERLINK("https://klasma.github.io/Logging_1781/klagomål/S 3838-2023 FSC-klagomål.docx", "S 3838-2023")</f>
        <v/>
      </c>
      <c r="Z11">
        <f>HYPERLINK("https://klasma.github.io/Logging_1781/klagomålsmail/S 3838-2023 FSC-klagomål mail.docx", "S 3838-2023")</f>
        <v/>
      </c>
      <c r="AA11">
        <f>HYPERLINK("https://klasma.github.io/Logging_1781/tillsyn/S 3838-2023 tillsynsbegäran.docx", "S 3838-2023")</f>
        <v/>
      </c>
      <c r="AB11">
        <f>HYPERLINK("https://klasma.github.io/Logging_1781/tillsynsmail/S 3838-2023 tillsynsbegäran mail.docx", "S 3838-2023")</f>
        <v/>
      </c>
      <c r="AC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46221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s="2" t="inlineStr">
        <is>
          <t>Nordfladdermus
Rödlånke</t>
        </is>
      </c>
      <c r="V12">
        <f>HYPERLINK("https://klasma.github.io/Logging_1781/artfynd/S 3896-2024 artfynd.xlsx", "S 3896-2024")</f>
        <v/>
      </c>
      <c r="W12">
        <f>HYPERLINK("https://klasma.github.io/Logging_1781/kartor/S 3896-2024 karta.png", "S 3896-2024")</f>
        <v/>
      </c>
      <c r="Y12">
        <f>HYPERLINK("https://klasma.github.io/Logging_1781/klagomål/S 3896-2024 FSC-klagomål.docx", "S 3896-2024")</f>
        <v/>
      </c>
      <c r="Z12">
        <f>HYPERLINK("https://klasma.github.io/Logging_1781/klagomålsmail/S 3896-2024 FSC-klagomål mail.docx", "S 3896-2024")</f>
        <v/>
      </c>
      <c r="AA12">
        <f>HYPERLINK("https://klasma.github.io/Logging_1781/tillsyn/S 3896-2024 tillsynsbegäran.docx", "S 3896-2024")</f>
        <v/>
      </c>
      <c r="AB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46221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Liten blekspik</t>
        </is>
      </c>
      <c r="V13">
        <f>HYPERLINK("https://klasma.github.io/Logging_1781/artfynd/A 49338-2021 artfynd.xlsx", "A 49338-2021")</f>
        <v/>
      </c>
      <c r="W13">
        <f>HYPERLINK("https://klasma.github.io/Logging_1781/kartor/A 49338-2021 karta.png", "A 49338-2021")</f>
        <v/>
      </c>
      <c r="Y13">
        <f>HYPERLINK("https://klasma.github.io/Logging_1781/klagomål/A 49338-2021 FSC-klagomål.docx", "A 49338-2021")</f>
        <v/>
      </c>
      <c r="Z13">
        <f>HYPERLINK("https://klasma.github.io/Logging_1781/klagomålsmail/A 49338-2021 FSC-klagomål mail.docx", "A 49338-2021")</f>
        <v/>
      </c>
      <c r="AA13">
        <f>HYPERLINK("https://klasma.github.io/Logging_1781/tillsyn/A 49338-2021 tillsynsbegäran.docx", "A 49338-2021")</f>
        <v/>
      </c>
      <c r="AB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46221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Slåttergubbe</t>
        </is>
      </c>
      <c r="V14">
        <f>HYPERLINK("https://klasma.github.io/Logging_1781/artfynd/A 68497-2021 artfynd.xlsx", "A 68497-2021")</f>
        <v/>
      </c>
      <c r="W14">
        <f>HYPERLINK("https://klasma.github.io/Logging_1781/kartor/A 68497-2021 karta.png", "A 68497-2021")</f>
        <v/>
      </c>
      <c r="Y14">
        <f>HYPERLINK("https://klasma.github.io/Logging_1781/klagomål/A 68497-2021 FSC-klagomål.docx", "A 68497-2021")</f>
        <v/>
      </c>
      <c r="Z14">
        <f>HYPERLINK("https://klasma.github.io/Logging_1781/klagomålsmail/A 68497-2021 FSC-klagomål mail.docx", "A 68497-2021")</f>
        <v/>
      </c>
      <c r="AA14">
        <f>HYPERLINK("https://klasma.github.io/Logging_1781/tillsyn/A 68497-2021 tillsynsbegäran.docx", "A 68497-2021")</f>
        <v/>
      </c>
      <c r="AB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46221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HYPERLINK("https://klasma.github.io/Logging_1781/artfynd/A 31115-2022 artfynd.xlsx", "A 31115-2022")</f>
        <v/>
      </c>
      <c r="W15">
        <f>HYPERLINK("https://klasma.github.io/Logging_1781/kartor/A 31115-2022 karta.png", "A 31115-2022")</f>
        <v/>
      </c>
      <c r="Y15">
        <f>HYPERLINK("https://klasma.github.io/Logging_1781/klagomål/A 31115-2022 FSC-klagomål.docx", "A 31115-2022")</f>
        <v/>
      </c>
      <c r="Z15">
        <f>HYPERLINK("https://klasma.github.io/Logging_1781/klagomålsmail/A 31115-2022 FSC-klagomål mail.docx", "A 31115-2022")</f>
        <v/>
      </c>
      <c r="AA15">
        <f>HYPERLINK("https://klasma.github.io/Logging_1781/tillsyn/A 31115-2022 tillsynsbegäran.docx", "A 31115-2022")</f>
        <v/>
      </c>
      <c r="AB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46221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HYPERLINK("https://klasma.github.io/Logging_1781/artfynd/A 1734-2022 artfynd.xlsx", "A 1734-2022")</f>
        <v/>
      </c>
      <c r="W16">
        <f>HYPERLINK("https://klasma.github.io/Logging_1781/kartor/A 1734-2022 karta.png", "A 1734-2022")</f>
        <v/>
      </c>
      <c r="Y16">
        <f>HYPERLINK("https://klasma.github.io/Logging_1781/klagomål/A 1734-2022 FSC-klagomål.docx", "A 1734-2022")</f>
        <v/>
      </c>
      <c r="Z16">
        <f>HYPERLINK("https://klasma.github.io/Logging_1781/klagomålsmail/A 1734-2022 FSC-klagomål mail.docx", "A 1734-2022")</f>
        <v/>
      </c>
      <c r="AA16">
        <f>HYPERLINK("https://klasma.github.io/Logging_1781/tillsyn/A 1734-2022 tillsynsbegäran.docx", "A 1734-2022")</f>
        <v/>
      </c>
      <c r="AB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46221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HYPERLINK("https://klasma.github.io/Logging_1781/artfynd/A 68490-2021 artfynd.xlsx", "A 68490-2021")</f>
        <v/>
      </c>
      <c r="W17">
        <f>HYPERLINK("https://klasma.github.io/Logging_1781/kartor/A 68490-2021 karta.png", "A 68490-2021")</f>
        <v/>
      </c>
      <c r="Y17">
        <f>HYPERLINK("https://klasma.github.io/Logging_1781/klagomål/A 68490-2021 FSC-klagomål.docx", "A 68490-2021")</f>
        <v/>
      </c>
      <c r="Z17">
        <f>HYPERLINK("https://klasma.github.io/Logging_1781/klagomålsmail/A 68490-2021 FSC-klagomål mail.docx", "A 68490-2021")</f>
        <v/>
      </c>
      <c r="AA17">
        <f>HYPERLINK("https://klasma.github.io/Logging_1781/tillsyn/A 68490-2021 tillsynsbegäran.docx", "A 68490-2021")</f>
        <v/>
      </c>
      <c r="AB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46221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Fläcknycklar</t>
        </is>
      </c>
      <c r="V18">
        <f>HYPERLINK("https://klasma.github.io/Logging_1781/artfynd/A 8920-2022 artfynd.xlsx", "A 8920-2022")</f>
        <v/>
      </c>
      <c r="W18">
        <f>HYPERLINK("https://klasma.github.io/Logging_1781/kartor/A 8920-2022 karta.png", "A 8920-2022")</f>
        <v/>
      </c>
      <c r="Y18">
        <f>HYPERLINK("https://klasma.github.io/Logging_1781/klagomål/A 8920-2022 FSC-klagomål.docx", "A 8920-2022")</f>
        <v/>
      </c>
      <c r="Z18">
        <f>HYPERLINK("https://klasma.github.io/Logging_1781/klagomålsmail/A 8920-2022 FSC-klagomål mail.docx", "A 8920-2022")</f>
        <v/>
      </c>
      <c r="AA18">
        <f>HYPERLINK("https://klasma.github.io/Logging_1781/tillsyn/A 8920-2022 tillsynsbegäran.docx", "A 8920-2022")</f>
        <v/>
      </c>
      <c r="AB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46221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Bombmurkla</t>
        </is>
      </c>
      <c r="V19">
        <f>HYPERLINK("https://klasma.github.io/Logging_1781/artfynd/A 3302-2022 artfynd.xlsx", "A 3302-2022")</f>
        <v/>
      </c>
      <c r="W19">
        <f>HYPERLINK("https://klasma.github.io/Logging_1781/kartor/A 3302-2022 karta.png", "A 3302-2022")</f>
        <v/>
      </c>
      <c r="Y19">
        <f>HYPERLINK("https://klasma.github.io/Logging_1781/klagomål/A 3302-2022 FSC-klagomål.docx", "A 3302-2022")</f>
        <v/>
      </c>
      <c r="Z19">
        <f>HYPERLINK("https://klasma.github.io/Logging_1781/klagomålsmail/A 3302-2022 FSC-klagomål mail.docx", "A 3302-2022")</f>
        <v/>
      </c>
      <c r="AA19">
        <f>HYPERLINK("https://klasma.github.io/Logging_1781/tillsyn/A 3302-2022 tillsynsbegäran.docx", "A 3302-2022")</f>
        <v/>
      </c>
      <c r="AB19">
        <f>HYPERLINK("https://klasma.github.io/Logging_1781/tillsynsmail/A 3302-2022 tillsynsbegäran mail.docx", "A 3302-2022")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46221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Stor vårtrattskivling</t>
        </is>
      </c>
      <c r="V20">
        <f>HYPERLINK("https://klasma.github.io/Logging_1781/artfynd/A 28394-2025 artfynd.xlsx", "A 28394-2025")</f>
        <v/>
      </c>
      <c r="W20">
        <f>HYPERLINK("https://klasma.github.io/Logging_1781/kartor/A 28394-2025 karta.png", "A 28394-2025")</f>
        <v/>
      </c>
      <c r="Y20">
        <f>HYPERLINK("https://klasma.github.io/Logging_1781/klagomål/A 28394-2025 FSC-klagomål.docx", "A 28394-2025")</f>
        <v/>
      </c>
      <c r="Z20">
        <f>HYPERLINK("https://klasma.github.io/Logging_1781/klagomålsmail/A 28394-2025 FSC-klagomål mail.docx", "A 28394-2025")</f>
        <v/>
      </c>
      <c r="AA20">
        <f>HYPERLINK("https://klasma.github.io/Logging_1781/tillsyn/A 28394-2025 tillsynsbegäran.docx", "A 28394-2025")</f>
        <v/>
      </c>
      <c r="AB20">
        <f>HYPERLINK("https://klasma.github.io/Logging_1781/tillsynsmail/A 28394-2025 tillsynsbegäran mail.docx", "A 28394-2025")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46221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s="2" t="inlineStr">
        <is>
          <t>Bombmurkla</t>
        </is>
      </c>
      <c r="V21">
        <f>HYPERLINK("https://klasma.github.io/Logging_1781/artfynd/A 59096-2024 artfynd.xlsx", "A 59096-2024")</f>
        <v/>
      </c>
      <c r="W21">
        <f>HYPERLINK("https://klasma.github.io/Logging_1781/kartor/A 59096-2024 karta.png", "A 59096-2024")</f>
        <v/>
      </c>
      <c r="Y21">
        <f>HYPERLINK("https://klasma.github.io/Logging_1781/klagomål/A 59096-2024 FSC-klagomål.docx", "A 59096-2024")</f>
        <v/>
      </c>
      <c r="Z21">
        <f>HYPERLINK("https://klasma.github.io/Logging_1781/klagomålsmail/A 59096-2024 FSC-klagomål mail.docx", "A 59096-2024")</f>
        <v/>
      </c>
      <c r="AA21">
        <f>HYPERLINK("https://klasma.github.io/Logging_1781/tillsyn/A 59096-2024 tillsynsbegäran.docx", "A 59096-2024")</f>
        <v/>
      </c>
      <c r="AB21">
        <f>HYPERLINK("https://klasma.github.io/Logging_1781/tillsynsmail/A 59096-2024 tillsynsbegäran mail.docx", "A 59096-2024")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46221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Björksplintborre</t>
        </is>
      </c>
      <c r="V22">
        <f>HYPERLINK("https://klasma.github.io/Logging_1781/artfynd/A 60714-2025 artfynd.xlsx", "A 60714-2025")</f>
        <v/>
      </c>
      <c r="W22">
        <f>HYPERLINK("https://klasma.github.io/Logging_1781/kartor/A 60714-2025 karta.png", "A 60714-2025")</f>
        <v/>
      </c>
      <c r="Y22">
        <f>HYPERLINK("https://klasma.github.io/Logging_1781/klagomål/A 60714-2025 FSC-klagomål.docx", "A 60714-2025")</f>
        <v/>
      </c>
      <c r="Z22">
        <f>HYPERLINK("https://klasma.github.io/Logging_1781/klagomålsmail/A 60714-2025 FSC-klagomål mail.docx", "A 60714-2025")</f>
        <v/>
      </c>
      <c r="AA22">
        <f>HYPERLINK("https://klasma.github.io/Logging_1781/tillsyn/A 60714-2025 tillsynsbegäran.docx", "A 60714-2025")</f>
        <v/>
      </c>
      <c r="AB22">
        <f>HYPERLINK("https://klasma.github.io/Logging_1781/tillsynsmail/A 60714-2025 tillsynsbegäran mail.docx", "A 60714-2025")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46221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 sköldmossa</t>
        </is>
      </c>
      <c r="V23">
        <f>HYPERLINK("https://klasma.github.io/Logging_1781/artfynd/A 53607-2025 artfynd.xlsx", "A 53607-2025")</f>
        <v/>
      </c>
      <c r="W23">
        <f>HYPERLINK("https://klasma.github.io/Logging_1781/kartor/A 53607-2025 karta.png", "A 53607-2025")</f>
        <v/>
      </c>
      <c r="Y23">
        <f>HYPERLINK("https://klasma.github.io/Logging_1781/klagomål/A 53607-2025 FSC-klagomål.docx", "A 53607-2025")</f>
        <v/>
      </c>
      <c r="Z23">
        <f>HYPERLINK("https://klasma.github.io/Logging_1781/klagomålsmail/A 53607-2025 FSC-klagomål mail.docx", "A 53607-2025")</f>
        <v/>
      </c>
      <c r="AA23">
        <f>HYPERLINK("https://klasma.github.io/Logging_1781/tillsyn/A 53607-2025 tillsynsbegäran.docx", "A 53607-2025")</f>
        <v/>
      </c>
      <c r="AB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46221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Grön sköldmossa</t>
        </is>
      </c>
      <c r="V24">
        <f>HYPERLINK("https://klasma.github.io/Logging_1781/artfynd/A 53630-2025 artfynd.xlsx", "A 53630-2025")</f>
        <v/>
      </c>
      <c r="W24">
        <f>HYPERLINK("https://klasma.github.io/Logging_1781/kartor/A 53630-2025 karta.png", "A 53630-2025")</f>
        <v/>
      </c>
      <c r="Y24">
        <f>HYPERLINK("https://klasma.github.io/Logging_1781/klagomål/A 53630-2025 FSC-klagomål.docx", "A 53630-2025")</f>
        <v/>
      </c>
      <c r="Z24">
        <f>HYPERLINK("https://klasma.github.io/Logging_1781/klagomålsmail/A 53630-2025 FSC-klagomål mail.docx", "A 53630-2025")</f>
        <v/>
      </c>
      <c r="AA24">
        <f>HYPERLINK("https://klasma.github.io/Logging_1781/tillsyn/A 53630-2025 tillsynsbegäran.docx", "A 53630-2025")</f>
        <v/>
      </c>
      <c r="AB24">
        <f>HYPERLINK("https://klasma.github.io/Logging_1781/tillsynsmail/A 53630-2025 tillsynsbegäran mail.docx", "A 53630-2025")</f>
        <v/>
      </c>
    </row>
    <row r="25" ht="15" customHeight="1">
      <c r="A25" t="inlineStr">
        <is>
          <t>A 45122-2022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44843</v>
      </c>
      <c r="E25" s="1" t="n">
        <v>46221</v>
      </c>
      <c r="F25" t="inlineStr">
        <is>
          <t>VÄRMLANDS LÄN</t>
        </is>
      </c>
      <c r="G25" t="inlineStr">
        <is>
          <t>KRISTINEHAMN</t>
        </is>
      </c>
      <c r="I25" t="n">
        <v>3.3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Dvärglin</t>
        </is>
      </c>
      <c r="V25">
        <f>HYPERLINK("https://klasma.github.io/Logging_1781/artfynd/A 45122-2022 artfynd.xlsx", "A 45122-2022")</f>
        <v/>
      </c>
      <c r="W25">
        <f>HYPERLINK("https://klasma.github.io/Logging_1781/kartor/A 45122-2022 karta.png", "A 45122-2022")</f>
        <v/>
      </c>
      <c r="Y25">
        <f>HYPERLINK("https://klasma.github.io/Logging_1781/klagomål/A 45122-2022 FSC-klagomål.docx", "A 45122-2022")</f>
        <v/>
      </c>
      <c r="Z25">
        <f>HYPERLINK("https://klasma.github.io/Logging_1781/klagomålsmail/A 45122-2022 FSC-klagomål mail.docx", "A 45122-2022")</f>
        <v/>
      </c>
      <c r="AA25">
        <f>HYPERLINK("https://klasma.github.io/Logging_1781/tillsyn/A 45122-2022 tillsynsbegäran.docx", "A 45122-2022")</f>
        <v/>
      </c>
      <c r="AB25">
        <f>HYPERLINK("https://klasma.github.io/Logging_1781/tillsynsmail/A 45122-2022 tillsynsbegäran mail.docx", "A 45122-2022")</f>
        <v/>
      </c>
    </row>
    <row r="26" ht="15" customHeight="1">
      <c r="A26" t="inlineStr">
        <is>
          <t>A 58021-2025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46221</v>
      </c>
      <c r="F26" t="inlineStr">
        <is>
          <t>VÄRMLANDS LÄN</t>
        </is>
      </c>
      <c r="G26" t="inlineStr">
        <is>
          <t>KRISTINEHAMN</t>
        </is>
      </c>
      <c r="I26" t="n">
        <v>4.2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HYPERLINK("https://klasma.github.io/Logging_1781/artfynd/A 58021-2025 artfynd.xlsx", "A 58021-2025")</f>
        <v/>
      </c>
      <c r="W26">
        <f>HYPERLINK("https://klasma.github.io/Logging_1781/kartor/A 58021-2025 karta.png", "A 58021-2025")</f>
        <v/>
      </c>
      <c r="Y26">
        <f>HYPERLINK("https://klasma.github.io/Logging_1781/klagomål/A 58021-2025 FSC-klagomål.docx", "A 58021-2025")</f>
        <v/>
      </c>
      <c r="Z26">
        <f>HYPERLINK("https://klasma.github.io/Logging_1781/klagomålsmail/A 58021-2025 FSC-klagomål mail.docx", "A 58021-2025")</f>
        <v/>
      </c>
      <c r="AA26">
        <f>HYPERLINK("https://klasma.github.io/Logging_1781/tillsyn/A 58021-2025 tillsynsbegäran.docx", "A 58021-2025")</f>
        <v/>
      </c>
      <c r="AB26">
        <f>HYPERLINK("https://klasma.github.io/Logging_1781/tillsynsmail/A 58021-2025 tillsynsbegäran mail.docx", "A 58021-2025")</f>
        <v/>
      </c>
    </row>
    <row r="27" ht="15" customHeight="1">
      <c r="A27" t="inlineStr">
        <is>
          <t>A 54771-2022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44883</v>
      </c>
      <c r="E27" s="1" t="n">
        <v>46221</v>
      </c>
      <c r="F27" t="inlineStr">
        <is>
          <t>VÄRMLANDS LÄN</t>
        </is>
      </c>
      <c r="G27" t="inlineStr">
        <is>
          <t>KRISTINEHAMN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Röd glada</t>
        </is>
      </c>
      <c r="V27">
        <f>HYPERLINK("https://klasma.github.io/Logging_1781/artfynd/A 54771-2022 artfynd.xlsx", "A 54771-2022")</f>
        <v/>
      </c>
      <c r="W27">
        <f>HYPERLINK("https://klasma.github.io/Logging_1781/kartor/A 54771-2022 karta.png", "A 54771-2022")</f>
        <v/>
      </c>
      <c r="Y27">
        <f>HYPERLINK("https://klasma.github.io/Logging_1781/klagomål/A 54771-2022 FSC-klagomål.docx", "A 54771-2022")</f>
        <v/>
      </c>
      <c r="Z27">
        <f>HYPERLINK("https://klasma.github.io/Logging_1781/klagomålsmail/A 54771-2022 FSC-klagomål mail.docx", "A 54771-2022")</f>
        <v/>
      </c>
      <c r="AA27">
        <f>HYPERLINK("https://klasma.github.io/Logging_1781/tillsyn/A 54771-2022 tillsynsbegäran.docx", "A 54771-2022")</f>
        <v/>
      </c>
      <c r="AB27">
        <f>HYPERLINK("https://klasma.github.io/Logging_1781/tillsynsmail/A 54771-2022 tillsynsbegäran mail.docx", "A 54771-2022")</f>
        <v/>
      </c>
      <c r="AC27">
        <f>HYPERLINK("https://klasma.github.io/Logging_1781/fåglar/A 54771-2022 prioriterade fågelarter.docx", "A 54771-2022")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46221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Sparvuggla</t>
        </is>
      </c>
      <c r="V28">
        <f>HYPERLINK("https://klasma.github.io/Logging_1781/artfynd/A 61238-2025 artfynd.xlsx", "A 61238-2025")</f>
        <v/>
      </c>
      <c r="W28">
        <f>HYPERLINK("https://klasma.github.io/Logging_1781/kartor/A 61238-2025 karta.png", "A 61238-2025")</f>
        <v/>
      </c>
      <c r="Y28">
        <f>HYPERLINK("https://klasma.github.io/Logging_1781/klagomål/A 61238-2025 FSC-klagomål.docx", "A 61238-2025")</f>
        <v/>
      </c>
      <c r="Z28">
        <f>HYPERLINK("https://klasma.github.io/Logging_1781/klagomålsmail/A 61238-2025 FSC-klagomål mail.docx", "A 61238-2025")</f>
        <v/>
      </c>
      <c r="AA28">
        <f>HYPERLINK("https://klasma.github.io/Logging_1781/tillsyn/A 61238-2025 tillsynsbegäran.docx", "A 61238-2025")</f>
        <v/>
      </c>
      <c r="AB28">
        <f>HYPERLINK("https://klasma.github.io/Logging_1781/tillsynsmail/A 61238-2025 tillsynsbegäran mail.docx", "A 61238-2025")</f>
        <v/>
      </c>
      <c r="AC28">
        <f>HYPERLINK("https://klasma.github.io/Logging_1781/fåglar/A 61238-2025 prioriterade fågelarter.docx", "A 61238-2025")</f>
        <v/>
      </c>
    </row>
    <row r="29" ht="15" customHeight="1">
      <c r="A29" t="inlineStr">
        <is>
          <t>A 14762-2026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46221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Fläcknycklar</t>
        </is>
      </c>
      <c r="V29">
        <f>HYPERLINK("https://klasma.github.io/Logging_1781/artfynd/A 14762-2026 artfynd.xlsx", "A 14762-2026")</f>
        <v/>
      </c>
      <c r="W29">
        <f>HYPERLINK("https://klasma.github.io/Logging_1781/kartor/A 14762-2026 karta.png", "A 14762-2026")</f>
        <v/>
      </c>
      <c r="Y29">
        <f>HYPERLINK("https://klasma.github.io/Logging_1781/klagomål/A 14762-2026 FSC-klagomål.docx", "A 14762-2026")</f>
        <v/>
      </c>
      <c r="Z29">
        <f>HYPERLINK("https://klasma.github.io/Logging_1781/klagomålsmail/A 14762-2026 FSC-klagomål mail.docx", "A 14762-2026")</f>
        <v/>
      </c>
      <c r="AA29">
        <f>HYPERLINK("https://klasma.github.io/Logging_1781/tillsyn/A 14762-2026 tillsynsbegäran.docx", "A 14762-2026")</f>
        <v/>
      </c>
      <c r="AB29">
        <f>HYPERLINK("https://klasma.github.io/Logging_1781/tillsynsmail/A 14762-2026 tillsynsbegäran mail.docx", "A 14762-2026")</f>
        <v/>
      </c>
    </row>
    <row r="30" ht="15" customHeight="1">
      <c r="A30" t="inlineStr">
        <is>
          <t>A 14760-2026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46101</v>
      </c>
      <c r="E30" s="1" t="n">
        <v>46221</v>
      </c>
      <c r="F30" t="inlineStr">
        <is>
          <t>VÄRMLANDS LÄN</t>
        </is>
      </c>
      <c r="G30" t="inlineStr">
        <is>
          <t>KRISTINEHAMN</t>
        </is>
      </c>
      <c r="H30" t="inlineStr">
        <is>
          <t>Sveaskog</t>
        </is>
      </c>
      <c r="I30" t="n">
        <v>8.300000000000001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s="2" t="inlineStr">
        <is>
          <t>Fläcknycklar</t>
        </is>
      </c>
      <c r="V30">
        <f>HYPERLINK("https://klasma.github.io/Logging_1781/artfynd/A 14760-2026 artfynd.xlsx", "A 14760-2026")</f>
        <v/>
      </c>
      <c r="W30">
        <f>HYPERLINK("https://klasma.github.io/Logging_1781/kartor/A 14760-2026 karta.png", "A 14760-2026")</f>
        <v/>
      </c>
      <c r="Y30">
        <f>HYPERLINK("https://klasma.github.io/Logging_1781/klagomål/A 14760-2026 FSC-klagomål.docx", "A 14760-2026")</f>
        <v/>
      </c>
      <c r="Z30">
        <f>HYPERLINK("https://klasma.github.io/Logging_1781/klagomålsmail/A 14760-2026 FSC-klagomål mail.docx", "A 14760-2026")</f>
        <v/>
      </c>
      <c r="AA30">
        <f>HYPERLINK("https://klasma.github.io/Logging_1781/tillsyn/A 14760-2026 tillsynsbegäran.docx", "A 14760-2026")</f>
        <v/>
      </c>
      <c r="AB30">
        <f>HYPERLINK("https://klasma.github.io/Logging_1781/tillsynsmail/A 14760-2026 tillsynsbegäran mail.docx", "A 14760-2026")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46221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Kamjordstjärna</t>
        </is>
      </c>
      <c r="V31">
        <f>HYPERLINK("https://klasma.github.io/Logging_1781/artfynd/A 13025-2023 artfynd.xlsx", "A 13025-2023")</f>
        <v/>
      </c>
      <c r="W31">
        <f>HYPERLINK("https://klasma.github.io/Logging_1781/kartor/A 13025-2023 karta.png", "A 13025-2023")</f>
        <v/>
      </c>
      <c r="Y31">
        <f>HYPERLINK("https://klasma.github.io/Logging_1781/klagomål/A 13025-2023 FSC-klagomål.docx", "A 13025-2023")</f>
        <v/>
      </c>
      <c r="Z31">
        <f>HYPERLINK("https://klasma.github.io/Logging_1781/klagomålsmail/A 13025-2023 FSC-klagomål mail.docx", "A 13025-2023")</f>
        <v/>
      </c>
      <c r="AA31">
        <f>HYPERLINK("https://klasma.github.io/Logging_1781/tillsyn/A 13025-2023 tillsynsbegäran.docx", "A 13025-2023")</f>
        <v/>
      </c>
      <c r="AB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46221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Bombmurkla</t>
        </is>
      </c>
      <c r="V32">
        <f>HYPERLINK("https://klasma.github.io/Logging_1781/artfynd/A 12593-2024 artfynd.xlsx", "A 12593-2024")</f>
        <v/>
      </c>
      <c r="W32">
        <f>HYPERLINK("https://klasma.github.io/Logging_1781/kartor/A 12593-2024 karta.png", "A 12593-2024")</f>
        <v/>
      </c>
      <c r="Y32">
        <f>HYPERLINK("https://klasma.github.io/Logging_1781/klagomål/A 12593-2024 FSC-klagomål.docx", "A 12593-2024")</f>
        <v/>
      </c>
      <c r="Z32">
        <f>HYPERLINK("https://klasma.github.io/Logging_1781/klagomålsmail/A 12593-2024 FSC-klagomål mail.docx", "A 12593-2024")</f>
        <v/>
      </c>
      <c r="AA32">
        <f>HYPERLINK("https://klasma.github.io/Logging_1781/tillsyn/A 12593-2024 tillsynsbegäran.docx", "A 12593-2024")</f>
        <v/>
      </c>
      <c r="AB32">
        <f>HYPERLINK("https://klasma.github.io/Logging_1781/tillsynsmail/A 12593-2024 tillsynsbegäran mail.docx", "A 12593-2024")</f>
        <v/>
      </c>
    </row>
    <row r="33" ht="15" customHeight="1">
      <c r="A33" t="inlineStr">
        <is>
          <t>A 8714-2024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46221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Bombmurkla</t>
        </is>
      </c>
      <c r="V33">
        <f>HYPERLINK("https://klasma.github.io/Logging_1781/artfynd/A 8714-2024 artfynd.xlsx", "A 8714-2024")</f>
        <v/>
      </c>
      <c r="W33">
        <f>HYPERLINK("https://klasma.github.io/Logging_1781/kartor/A 8714-2024 karta.png", "A 8714-2024")</f>
        <v/>
      </c>
      <c r="Y33">
        <f>HYPERLINK("https://klasma.github.io/Logging_1781/klagomål/A 8714-2024 FSC-klagomål.docx", "A 8714-2024")</f>
        <v/>
      </c>
      <c r="Z33">
        <f>HYPERLINK("https://klasma.github.io/Logging_1781/klagomålsmail/A 8714-2024 FSC-klagomål mail.docx", "A 8714-2024")</f>
        <v/>
      </c>
      <c r="AA33">
        <f>HYPERLINK("https://klasma.github.io/Logging_1781/tillsyn/A 8714-2024 tillsynsbegäran.docx", "A 8714-2024")</f>
        <v/>
      </c>
      <c r="AB33">
        <f>HYPERLINK("https://klasma.github.io/Logging_1781/tillsynsmail/A 8714-2024 tillsynsbegäran mail.docx", "A 8714-2024")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46221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 sköldmossa</t>
        </is>
      </c>
      <c r="V34">
        <f>HYPERLINK("https://klasma.github.io/Logging_1781/artfynd/A 20746-2026 artfynd.xlsx", "A 20746-2026")</f>
        <v/>
      </c>
      <c r="W34">
        <f>HYPERLINK("https://klasma.github.io/Logging_1781/kartor/A 20746-2026 karta.png", "A 20746-2026")</f>
        <v/>
      </c>
      <c r="Y34">
        <f>HYPERLINK("https://klasma.github.io/Logging_1781/klagomål/A 20746-2026 FSC-klagomål.docx", "A 20746-2026")</f>
        <v/>
      </c>
      <c r="Z34">
        <f>HYPERLINK("https://klasma.github.io/Logging_1781/klagomålsmail/A 20746-2026 FSC-klagomål mail.docx", "A 20746-2026")</f>
        <v/>
      </c>
      <c r="AA34">
        <f>HYPERLINK("https://klasma.github.io/Logging_1781/tillsyn/A 20746-2026 tillsynsbegäran.docx", "A 20746-2026")</f>
        <v/>
      </c>
      <c r="AB34">
        <f>HYPERLINK("https://klasma.github.io/Logging_1781/tillsynsmail/A 20746-2026 tillsynsbegäran mail.docx", "A 20746-2026")</f>
        <v/>
      </c>
    </row>
    <row r="35" ht="15" customHeight="1">
      <c r="A35" t="inlineStr">
        <is>
          <t>A 25888-2025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46221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Trana</t>
        </is>
      </c>
      <c r="V35">
        <f>HYPERLINK("https://klasma.github.io/Logging_1781/artfynd/A 25888-2025 artfynd.xlsx", "A 25888-2025")</f>
        <v/>
      </c>
      <c r="W35">
        <f>HYPERLINK("https://klasma.github.io/Logging_1781/kartor/A 25888-2025 karta.png", "A 25888-2025")</f>
        <v/>
      </c>
      <c r="Y35">
        <f>HYPERLINK("https://klasma.github.io/Logging_1781/klagomål/A 25888-2025 FSC-klagomål.docx", "A 25888-2025")</f>
        <v/>
      </c>
      <c r="Z35">
        <f>HYPERLINK("https://klasma.github.io/Logging_1781/klagomålsmail/A 25888-2025 FSC-klagomål mail.docx", "A 25888-2025")</f>
        <v/>
      </c>
      <c r="AA35">
        <f>HYPERLINK("https://klasma.github.io/Logging_1781/tillsyn/A 25888-2025 tillsynsbegäran.docx", "A 25888-2025")</f>
        <v/>
      </c>
      <c r="AB35">
        <f>HYPERLINK("https://klasma.github.io/Logging_1781/tillsynsmail/A 25888-2025 tillsynsbegäran mail.docx", "A 25888-2025")</f>
        <v/>
      </c>
      <c r="AC35">
        <f>HYPERLINK("https://klasma.github.io/Logging_1781/fåglar/A 25888-2025 prioriterade fågelarter.docx", "A 25888-2025")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46221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s="2" t="inlineStr">
        <is>
          <t>Bombmurkla</t>
        </is>
      </c>
      <c r="V36">
        <f>HYPERLINK("https://klasma.github.io/Logging_1781/artfynd/S 5158-2021 artfynd.xlsx", "S 5158-2021")</f>
        <v/>
      </c>
      <c r="W36">
        <f>HYPERLINK("https://klasma.github.io/Logging_1781/kartor/S 5158-2021 karta.png", "S 5158-2021")</f>
        <v/>
      </c>
      <c r="Y36">
        <f>HYPERLINK("https://klasma.github.io/Logging_1781/klagomål/S 5158-2021 FSC-klagomål.docx", "S 5158-2021")</f>
        <v/>
      </c>
      <c r="Z36">
        <f>HYPERLINK("https://klasma.github.io/Logging_1781/klagomålsmail/S 5158-2021 FSC-klagomål mail.docx", "S 5158-2021")</f>
        <v/>
      </c>
      <c r="AA36">
        <f>HYPERLINK("https://klasma.github.io/Logging_1781/tillsyn/S 5158-2021 tillsynsbegäran.docx", "S 5158-2021")</f>
        <v/>
      </c>
      <c r="AB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46221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s="2" t="inlineStr">
        <is>
          <t>Dvärglin</t>
        </is>
      </c>
      <c r="V37">
        <f>HYPERLINK("https://klasma.github.io/Logging_1781/artfynd/S 2398-2022 artfynd.xlsx", "S 2398-2022")</f>
        <v/>
      </c>
      <c r="W37">
        <f>HYPERLINK("https://klasma.github.io/Logging_1781/kartor/S 2398-2022 karta.png", "S 2398-2022")</f>
        <v/>
      </c>
      <c r="Y37">
        <f>HYPERLINK("https://klasma.github.io/Logging_1781/klagomål/S 2398-2022 FSC-klagomål.docx", "S 2398-2022")</f>
        <v/>
      </c>
      <c r="Z37">
        <f>HYPERLINK("https://klasma.github.io/Logging_1781/klagomålsmail/S 2398-2022 FSC-klagomål mail.docx", "S 2398-2022")</f>
        <v/>
      </c>
      <c r="AA37">
        <f>HYPERLINK("https://klasma.github.io/Logging_1781/tillsyn/S 2398-2022 tillsynsbegäran.docx", "S 2398-2022")</f>
        <v/>
      </c>
      <c r="AB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46221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Gråskimlig fladdermus</t>
        </is>
      </c>
      <c r="V38">
        <f>HYPERLINK("https://klasma.github.io/Logging_1781/artfynd/S 2487-2022 artfynd.xlsx", "S 2487-2022")</f>
        <v/>
      </c>
      <c r="W38">
        <f>HYPERLINK("https://klasma.github.io/Logging_1781/kartor/S 2487-2022 karta.png", "S 2487-2022")</f>
        <v/>
      </c>
      <c r="Y38">
        <f>HYPERLINK("https://klasma.github.io/Logging_1781/klagomål/S 2487-2022 FSC-klagomål.docx", "S 2487-2022")</f>
        <v/>
      </c>
      <c r="Z38">
        <f>HYPERLINK("https://klasma.github.io/Logging_1781/klagomålsmail/S 2487-2022 FSC-klagomål mail.docx", "S 2487-2022")</f>
        <v/>
      </c>
      <c r="AA38">
        <f>HYPERLINK("https://klasma.github.io/Logging_1781/tillsyn/S 2487-2022 tillsynsbegäran.docx", "S 2487-2022")</f>
        <v/>
      </c>
      <c r="AB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46221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Björksplintborre</t>
        </is>
      </c>
      <c r="V39">
        <f>HYPERLINK("https://klasma.github.io/Logging_1781/artfynd/S 4185-2024 artfynd.xlsx", "S 4185-2024")</f>
        <v/>
      </c>
      <c r="W39">
        <f>HYPERLINK("https://klasma.github.io/Logging_1781/kartor/S 4185-2024 karta.png", "S 4185-2024")</f>
        <v/>
      </c>
      <c r="Y39">
        <f>HYPERLINK("https://klasma.github.io/Logging_1781/klagomål/S 4185-2024 FSC-klagomål.docx", "S 4185-2024")</f>
        <v/>
      </c>
      <c r="Z39">
        <f>HYPERLINK("https://klasma.github.io/Logging_1781/klagomålsmail/S 4185-2024 FSC-klagomål mail.docx", "S 4185-2024")</f>
        <v/>
      </c>
      <c r="AA39">
        <f>HYPERLINK("https://klasma.github.io/Logging_1781/tillsyn/S 4185-2024 tillsynsbegäran.docx", "S 4185-2024")</f>
        <v/>
      </c>
      <c r="AB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46221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HYPERLINK("https://klasma.github.io/Logging_1781/artfynd/S 4138-2023 artfynd.xlsx", "S 4138-2023")</f>
        <v/>
      </c>
      <c r="W40">
        <f>HYPERLINK("https://klasma.github.io/Logging_1781/kartor/S 4138-2023 karta.png", "S 4138-2023")</f>
        <v/>
      </c>
      <c r="Y40">
        <f>HYPERLINK("https://klasma.github.io/Logging_1781/klagomål/S 4138-2023 FSC-klagomål.docx", "S 4138-2023")</f>
        <v/>
      </c>
      <c r="Z40">
        <f>HYPERLINK("https://klasma.github.io/Logging_1781/klagomålsmail/S 4138-2023 FSC-klagomål mail.docx", "S 4138-2023")</f>
        <v/>
      </c>
      <c r="AA40">
        <f>HYPERLINK("https://klasma.github.io/Logging_1781/tillsyn/S 4138-2023 tillsynsbegäran.docx", "S 4138-2023")</f>
        <v/>
      </c>
      <c r="AB40">
        <f>HYPERLINK("https://klasma.github.io/Logging_1781/tillsynsmail/S 4138-2023 tillsynsbegäran mail.docx", "S 4138-2023")</f>
        <v/>
      </c>
      <c r="AC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46221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Bollvitmossa</t>
        </is>
      </c>
      <c r="V41">
        <f>HYPERLINK("https://klasma.github.io/Logging_1781/artfynd/S 665-2025 artfynd.xlsx", "S 665-2025")</f>
        <v/>
      </c>
      <c r="W41">
        <f>HYPERLINK("https://klasma.github.io/Logging_1781/kartor/S 665-2025 karta.png", "S 665-2025")</f>
        <v/>
      </c>
      <c r="Y41">
        <f>HYPERLINK("https://klasma.github.io/Logging_1781/klagomål/S 665-2025 FSC-klagomål.docx", "S 665-2025")</f>
        <v/>
      </c>
      <c r="Z41">
        <f>HYPERLINK("https://klasma.github.io/Logging_1781/klagomålsmail/S 665-2025 FSC-klagomål mail.docx", "S 665-2025")</f>
        <v/>
      </c>
      <c r="AA41">
        <f>HYPERLINK("https://klasma.github.io/Logging_1781/tillsyn/S 665-2025 tillsynsbegäran.docx", "S 665-2025")</f>
        <v/>
      </c>
      <c r="AB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46221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Dvärglin</t>
        </is>
      </c>
      <c r="V42">
        <f>HYPERLINK("https://klasma.github.io/Logging_1781/artfynd/S 1761-2025 artfynd.xlsx", "S 1761-2025")</f>
        <v/>
      </c>
      <c r="W42">
        <f>HYPERLINK("https://klasma.github.io/Logging_1781/kartor/S 1761-2025 karta.png", "S 1761-2025")</f>
        <v/>
      </c>
      <c r="Y42">
        <f>HYPERLINK("https://klasma.github.io/Logging_1781/klagomål/S 1761-2025 FSC-klagomål.docx", "S 1761-2025")</f>
        <v/>
      </c>
      <c r="Z42">
        <f>HYPERLINK("https://klasma.github.io/Logging_1781/klagomålsmail/S 1761-2025 FSC-klagomål mail.docx", "S 1761-2025")</f>
        <v/>
      </c>
      <c r="AA42">
        <f>HYPERLINK("https://klasma.github.io/Logging_1781/tillsyn/S 1761-2025 tillsynsbegäran.docx", "S 1761-2025")</f>
        <v/>
      </c>
      <c r="AB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46221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46221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46221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46221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46221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46221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46221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46221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46221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46221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46221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46221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46221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46221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46221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46221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44576</v>
      </c>
      <c r="E59" s="1" t="n">
        <v>46221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34125-2022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44791</v>
      </c>
      <c r="E60" s="1" t="n">
        <v>46221</v>
      </c>
      <c r="F60" t="inlineStr">
        <is>
          <t>VÄRMLANDS LÄN</t>
        </is>
      </c>
      <c r="G60" t="inlineStr">
        <is>
          <t>KRISTINEHAMN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45662-2021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44441</v>
      </c>
      <c r="E61" s="1" t="n">
        <v>46221</v>
      </c>
      <c r="F61" t="inlineStr">
        <is>
          <t>VÄRMLANDS LÄN</t>
        </is>
      </c>
      <c r="G61" t="inlineStr">
        <is>
          <t>KRISTINEHAMN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46221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46221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46221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46221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46221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46221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46221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46221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46221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46221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46221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46221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46221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46221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46221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46221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46221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46221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46221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46221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46221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46221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46221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46221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46221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46221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46221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46221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46221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46221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46221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46221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46221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46221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46221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46221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56656-2024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45625</v>
      </c>
      <c r="E98" s="1" t="n">
        <v>46221</v>
      </c>
      <c r="F98" t="inlineStr">
        <is>
          <t>VÄRMLANDS LÄN</t>
        </is>
      </c>
      <c r="G98" t="inlineStr">
        <is>
          <t>KRISTINEHAMN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27525-2022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46221</v>
      </c>
      <c r="F99" t="inlineStr">
        <is>
          <t>VÄRMLANDS LÄN</t>
        </is>
      </c>
      <c r="G99" t="inlineStr">
        <is>
          <t>KRISTINEHAMN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50103-2023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46221</v>
      </c>
      <c r="F100" t="inlineStr">
        <is>
          <t>VÄRMLANDS LÄN</t>
        </is>
      </c>
      <c r="G100" t="inlineStr">
        <is>
          <t>KRISTINEHAMN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12041-2024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46221</v>
      </c>
      <c r="F101" t="inlineStr">
        <is>
          <t>VÄRMLANDS LÄN</t>
        </is>
      </c>
      <c r="G101" t="inlineStr">
        <is>
          <t>KRISTINEHAMN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47368-2023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45202</v>
      </c>
      <c r="E102" s="1" t="n">
        <v>46221</v>
      </c>
      <c r="F102" t="inlineStr">
        <is>
          <t>VÄRMLANDS LÄN</t>
        </is>
      </c>
      <c r="G102" t="inlineStr">
        <is>
          <t>KRISTINEHAMN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47424-2023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45202</v>
      </c>
      <c r="E103" s="1" t="n">
        <v>46221</v>
      </c>
      <c r="F103" t="inlineStr">
        <is>
          <t>VÄRMLANDS LÄN</t>
        </is>
      </c>
      <c r="G103" t="inlineStr">
        <is>
          <t>KRISTINEHAMN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31152-2022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44770</v>
      </c>
      <c r="E104" s="1" t="n">
        <v>46221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61719-2023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46221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Naturvårdsverket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19447-2024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46221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65050-2023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46221</v>
      </c>
      <c r="F107" t="inlineStr">
        <is>
          <t>VÄRMLANDS LÄN</t>
        </is>
      </c>
      <c r="G107" t="inlineStr">
        <is>
          <t>KRISTINEHAMN</t>
        </is>
      </c>
      <c r="I107" t="n">
        <v>9.6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27033-2023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45095</v>
      </c>
      <c r="E108" s="1" t="n">
        <v>46221</v>
      </c>
      <c r="F108" t="inlineStr">
        <is>
          <t>VÄRMLANDS LÄN</t>
        </is>
      </c>
      <c r="G108" t="inlineStr">
        <is>
          <t>KRISTINEHAMN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22637-2024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45447</v>
      </c>
      <c r="E109" s="1" t="n">
        <v>46221</v>
      </c>
      <c r="F109" t="inlineStr">
        <is>
          <t>VÄRMLANDS LÄN</t>
        </is>
      </c>
      <c r="G109" t="inlineStr">
        <is>
          <t>KRISTINEHAMN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55003-2021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46221</v>
      </c>
      <c r="F110" t="inlineStr">
        <is>
          <t>VÄRMLANDS LÄN</t>
        </is>
      </c>
      <c r="G110" t="inlineStr">
        <is>
          <t>KRISTINEHAMN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47915-2022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44855</v>
      </c>
      <c r="E111" s="1" t="n">
        <v>46221</v>
      </c>
      <c r="F111" t="inlineStr">
        <is>
          <t>VÄRMLANDS LÄN</t>
        </is>
      </c>
      <c r="G111" t="inlineStr">
        <is>
          <t>KRISTINEHAMN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14340-2024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45393</v>
      </c>
      <c r="E112" s="1" t="n">
        <v>46221</v>
      </c>
      <c r="F112" t="inlineStr">
        <is>
          <t>VÄRMLANDS LÄN</t>
        </is>
      </c>
      <c r="G112" t="inlineStr">
        <is>
          <t>KRISTINEHAMN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56697-2022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46221</v>
      </c>
      <c r="F113" t="inlineStr">
        <is>
          <t>VÄRMLANDS LÄN</t>
        </is>
      </c>
      <c r="G113" t="inlineStr">
        <is>
          <t>KRISTINEHAMN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54690-2022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46221</v>
      </c>
      <c r="F114" t="inlineStr">
        <is>
          <t>VÄRMLANDS LÄN</t>
        </is>
      </c>
      <c r="G114" t="inlineStr">
        <is>
          <t>KRISTINEHAMN</t>
        </is>
      </c>
      <c r="I114" t="n">
        <v>11.1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62777-2023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46221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2160-2023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44941</v>
      </c>
      <c r="E116" s="1" t="n">
        <v>46221</v>
      </c>
      <c r="F116" t="inlineStr">
        <is>
          <t>VÄRMLANDS LÄN</t>
        </is>
      </c>
      <c r="G116" t="inlineStr">
        <is>
          <t>KRISTINEHAMN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56673-2023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46221</v>
      </c>
      <c r="F117" t="inlineStr">
        <is>
          <t>VÄRMLANDS LÄN</t>
        </is>
      </c>
      <c r="G117" t="inlineStr">
        <is>
          <t>KRISTINEHAMN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57565-2023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46221</v>
      </c>
      <c r="F118" t="inlineStr">
        <is>
          <t>VÄRMLANDS LÄN</t>
        </is>
      </c>
      <c r="G118" t="inlineStr">
        <is>
          <t>KRISTINEHAMN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32624-2024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45513</v>
      </c>
      <c r="E119" s="1" t="n">
        <v>46221</v>
      </c>
      <c r="F119" t="inlineStr">
        <is>
          <t>VÄRMLANDS LÄN</t>
        </is>
      </c>
      <c r="G119" t="inlineStr">
        <is>
          <t>KRISTINEHAMN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62498-2022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46221</v>
      </c>
      <c r="F120" t="inlineStr">
        <is>
          <t>VÄRMLANDS LÄN</t>
        </is>
      </c>
      <c r="G120" t="inlineStr">
        <is>
          <t>KRISTINEHAMN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61942-2022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44918</v>
      </c>
      <c r="E121" s="1" t="n">
        <v>46221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Kommuner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14772-2022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46221</v>
      </c>
      <c r="F122" t="inlineStr">
        <is>
          <t>VÄRMLANDS LÄN</t>
        </is>
      </c>
      <c r="G122" t="inlineStr">
        <is>
          <t>KRISTINEHAMN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48573-2024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45593</v>
      </c>
      <c r="E123" s="1" t="n">
        <v>46221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26181-2025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46221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26192-2025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46221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Sveaskog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10548-2024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45366</v>
      </c>
      <c r="E126" s="1" t="n">
        <v>46221</v>
      </c>
      <c r="F126" t="inlineStr">
        <is>
          <t>VÄRMLANDS LÄN</t>
        </is>
      </c>
      <c r="G126" t="inlineStr">
        <is>
          <t>KRISTINEHAMN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32569-2023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45121</v>
      </c>
      <c r="E127" s="1" t="n">
        <v>46221</v>
      </c>
      <c r="F127" t="inlineStr">
        <is>
          <t>VÄRMLANDS LÄN</t>
        </is>
      </c>
      <c r="G127" t="inlineStr">
        <is>
          <t>KRISTINEHAMN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60567-2024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45644</v>
      </c>
      <c r="E128" s="1" t="n">
        <v>46221</v>
      </c>
      <c r="F128" t="inlineStr">
        <is>
          <t>VÄRMLANDS LÄN</t>
        </is>
      </c>
      <c r="G128" t="inlineStr">
        <is>
          <t>KRISTINEHAMN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59144-2021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44490</v>
      </c>
      <c r="E129" s="1" t="n">
        <v>46221</v>
      </c>
      <c r="F129" t="inlineStr">
        <is>
          <t>VÄRMLANDS LÄN</t>
        </is>
      </c>
      <c r="G129" t="inlineStr">
        <is>
          <t>KRISTINEHAMN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62517-2022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46221</v>
      </c>
      <c r="F130" t="inlineStr">
        <is>
          <t>VÄRMLANDS LÄN</t>
        </is>
      </c>
      <c r="G130" t="inlineStr">
        <is>
          <t>KRISTINEHAMN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26623-2025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46221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46221</v>
      </c>
      <c r="F132" t="inlineStr">
        <is>
          <t>VÄRMLANDS LÄN</t>
        </is>
      </c>
      <c r="G132" t="inlineStr">
        <is>
          <t>KRISTINEHAMN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27140-2025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46221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27139-2025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46221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9394-2024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46221</v>
      </c>
      <c r="F135" t="inlineStr">
        <is>
          <t>VÄRMLANDS LÄN</t>
        </is>
      </c>
      <c r="G135" t="inlineStr">
        <is>
          <t>KRISTINEHAMN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48416-2021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44452</v>
      </c>
      <c r="E136" s="1" t="n">
        <v>46221</v>
      </c>
      <c r="F136" t="inlineStr">
        <is>
          <t>VÄRMLANDS LÄN</t>
        </is>
      </c>
      <c r="G136" t="inlineStr">
        <is>
          <t>KRISTINEHAMN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46221</v>
      </c>
      <c r="F137" t="inlineStr">
        <is>
          <t>VÄRMLANDS LÄN</t>
        </is>
      </c>
      <c r="G137" t="inlineStr">
        <is>
          <t>KRISTINEHAMN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17110-2022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44677</v>
      </c>
      <c r="E138" s="1" t="n">
        <v>46221</v>
      </c>
      <c r="F138" t="inlineStr">
        <is>
          <t>VÄRMLANDS LÄN</t>
        </is>
      </c>
      <c r="G138" t="inlineStr">
        <is>
          <t>KRISTINEHAMN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8173-2023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44974</v>
      </c>
      <c r="E139" s="1" t="n">
        <v>46221</v>
      </c>
      <c r="F139" t="inlineStr">
        <is>
          <t>VÄRMLANDS LÄN</t>
        </is>
      </c>
      <c r="G139" t="inlineStr">
        <is>
          <t>KRISTINEHAMN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28731-2025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46221</v>
      </c>
      <c r="F140" t="inlineStr">
        <is>
          <t>VÄRMLANDS LÄN</t>
        </is>
      </c>
      <c r="G140" t="inlineStr">
        <is>
          <t>KRISTINEHAMN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28485-2024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46221</v>
      </c>
      <c r="F141" t="inlineStr">
        <is>
          <t>VÄRMLANDS LÄN</t>
        </is>
      </c>
      <c r="G141" t="inlineStr">
        <is>
          <t>KRISTINEHAMN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10999-2024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45370</v>
      </c>
      <c r="E142" s="1" t="n">
        <v>46221</v>
      </c>
      <c r="F142" t="inlineStr">
        <is>
          <t>VÄRMLANDS LÄN</t>
        </is>
      </c>
      <c r="G142" t="inlineStr">
        <is>
          <t>KRISTINEHAMN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12467-2024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45379</v>
      </c>
      <c r="E143" s="1" t="n">
        <v>46221</v>
      </c>
      <c r="F143" t="inlineStr">
        <is>
          <t>VÄRMLANDS LÄN</t>
        </is>
      </c>
      <c r="G143" t="inlineStr">
        <is>
          <t>KRISTINEHAMN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10106-2024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46221</v>
      </c>
      <c r="F144" t="inlineStr">
        <is>
          <t>VÄRMLANDS LÄN</t>
        </is>
      </c>
      <c r="G144" t="inlineStr">
        <is>
          <t>KRISTINEHAMN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10124-2024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46221</v>
      </c>
      <c r="F145" t="inlineStr">
        <is>
          <t>VÄRMLANDS LÄN</t>
        </is>
      </c>
      <c r="G145" t="inlineStr">
        <is>
          <t>KRISTINEHAMN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12261-2024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46221</v>
      </c>
      <c r="F146" t="inlineStr">
        <is>
          <t>VÄRMLANDS LÄN</t>
        </is>
      </c>
      <c r="G146" t="inlineStr">
        <is>
          <t>KRISTINEHAMN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13032-2024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45385</v>
      </c>
      <c r="E147" s="1" t="n">
        <v>46221</v>
      </c>
      <c r="F147" t="inlineStr">
        <is>
          <t>VÄRMLANDS LÄN</t>
        </is>
      </c>
      <c r="G147" t="inlineStr">
        <is>
          <t>KRISTINEHAMN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10116-2024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46221</v>
      </c>
      <c r="F148" t="inlineStr">
        <is>
          <t>VÄRMLANDS LÄN</t>
        </is>
      </c>
      <c r="G148" t="inlineStr">
        <is>
          <t>KRISTINEHAMN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30221-2025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46221</v>
      </c>
      <c r="F149" t="inlineStr">
        <is>
          <t>VÄRMLANDS LÄN</t>
        </is>
      </c>
      <c r="G149" t="inlineStr">
        <is>
          <t>KRISTINEHAMN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46049</v>
      </c>
      <c r="E150" s="1" t="n">
        <v>46221</v>
      </c>
      <c r="F150" t="inlineStr">
        <is>
          <t>VÄRMLANDS LÄN</t>
        </is>
      </c>
      <c r="G150" t="inlineStr">
        <is>
          <t>KRISTINEHAMN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56572-2024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45625</v>
      </c>
      <c r="E151" s="1" t="n">
        <v>46221</v>
      </c>
      <c r="F151" t="inlineStr">
        <is>
          <t>VÄRMLANDS LÄN</t>
        </is>
      </c>
      <c r="G151" t="inlineStr">
        <is>
          <t>KRISTINEHAMN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23948-2022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44722</v>
      </c>
      <c r="E152" s="1" t="n">
        <v>46221</v>
      </c>
      <c r="F152" t="inlineStr">
        <is>
          <t>VÄRMLANDS LÄN</t>
        </is>
      </c>
      <c r="G152" t="inlineStr">
        <is>
          <t>KRISTINEHAMN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45902</v>
      </c>
      <c r="E153" s="1" t="n">
        <v>46221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31449-2025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46221</v>
      </c>
      <c r="F154" t="inlineStr">
        <is>
          <t>VÄRMLANDS LÄN</t>
        </is>
      </c>
      <c r="G154" t="inlineStr">
        <is>
          <t>KRISTINEHAMN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31327-2025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46221</v>
      </c>
      <c r="F155" t="inlineStr">
        <is>
          <t>VÄRMLANDS LÄN</t>
        </is>
      </c>
      <c r="G155" t="inlineStr">
        <is>
          <t>KRISTINEHAMN</t>
        </is>
      </c>
      <c r="I155" t="n">
        <v>20.1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42178-2025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46221</v>
      </c>
      <c r="F156" t="inlineStr">
        <is>
          <t>VÄRMLANDS LÄN</t>
        </is>
      </c>
      <c r="G156" t="inlineStr">
        <is>
          <t>KRISTINEHAMN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31250-2025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46221</v>
      </c>
      <c r="F157" t="inlineStr">
        <is>
          <t>VÄRMLANDS LÄN</t>
        </is>
      </c>
      <c r="G157" t="inlineStr">
        <is>
          <t>KRISTINEHAMN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31528-2025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46221</v>
      </c>
      <c r="F158" t="inlineStr">
        <is>
          <t>VÄRMLANDS LÄN</t>
        </is>
      </c>
      <c r="G158" t="inlineStr">
        <is>
          <t>KRISTINEHAMN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12319-2022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44637</v>
      </c>
      <c r="E159" s="1" t="n">
        <v>46221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42577-2025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46221</v>
      </c>
      <c r="F160" t="inlineStr">
        <is>
          <t>VÄRMLANDS LÄN</t>
        </is>
      </c>
      <c r="G160" t="inlineStr">
        <is>
          <t>KRISTINEHAMN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23332-2024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45453</v>
      </c>
      <c r="E161" s="1" t="n">
        <v>46221</v>
      </c>
      <c r="F161" t="inlineStr">
        <is>
          <t>VÄRMLANDS LÄN</t>
        </is>
      </c>
      <c r="G161" t="inlineStr">
        <is>
          <t>KRISTINEHAMN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46221</v>
      </c>
      <c r="F162" t="inlineStr">
        <is>
          <t>VÄRMLANDS LÄN</t>
        </is>
      </c>
      <c r="G162" t="inlineStr">
        <is>
          <t>KRISTINEHAMN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46221</v>
      </c>
      <c r="F163" t="inlineStr">
        <is>
          <t>VÄRMLANDS LÄN</t>
        </is>
      </c>
      <c r="G163" t="inlineStr">
        <is>
          <t>KRISTINEHAMN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6259-2026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46051</v>
      </c>
      <c r="E164" s="1" t="n">
        <v>46221</v>
      </c>
      <c r="F164" t="inlineStr">
        <is>
          <t>VÄRMLANDS LÄN</t>
        </is>
      </c>
      <c r="G164" t="inlineStr">
        <is>
          <t>KRISTINEHAMN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55890-2023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45239</v>
      </c>
      <c r="E165" s="1" t="n">
        <v>46221</v>
      </c>
      <c r="F165" t="inlineStr">
        <is>
          <t>VÄRMLANDS LÄN</t>
        </is>
      </c>
      <c r="G165" t="inlineStr">
        <is>
          <t>KRISTINEHAMN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23705-2022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44722</v>
      </c>
      <c r="E166" s="1" t="n">
        <v>46221</v>
      </c>
      <c r="F166" t="inlineStr">
        <is>
          <t>VÄRMLANDS LÄN</t>
        </is>
      </c>
      <c r="G166" t="inlineStr">
        <is>
          <t>KRISTINEHAMN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23707-2022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44722</v>
      </c>
      <c r="E167" s="1" t="n">
        <v>46221</v>
      </c>
      <c r="F167" t="inlineStr">
        <is>
          <t>VÄRMLANDS LÄN</t>
        </is>
      </c>
      <c r="G167" t="inlineStr">
        <is>
          <t>KRISTINEHAMN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25628-2025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46221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Naturvårdsverket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18319-2023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45041</v>
      </c>
      <c r="E169" s="1" t="n">
        <v>46221</v>
      </c>
      <c r="F169" t="inlineStr">
        <is>
          <t>VÄRMLANDS LÄN</t>
        </is>
      </c>
      <c r="G169" t="inlineStr">
        <is>
          <t>KRISTINEHAMN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52750-2021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44466</v>
      </c>
      <c r="E170" s="1" t="n">
        <v>46221</v>
      </c>
      <c r="F170" t="inlineStr">
        <is>
          <t>VÄRMLANDS LÄN</t>
        </is>
      </c>
      <c r="G170" t="inlineStr">
        <is>
          <t>KRISTINEHAMN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62623-2023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45267</v>
      </c>
      <c r="E171" s="1" t="n">
        <v>46221</v>
      </c>
      <c r="F171" t="inlineStr">
        <is>
          <t>VÄRMLANDS LÄN</t>
        </is>
      </c>
      <c r="G171" t="inlineStr">
        <is>
          <t>KRISTINEHAMN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45782</v>
      </c>
      <c r="E172" s="1" t="n">
        <v>46221</v>
      </c>
      <c r="F172" t="inlineStr">
        <is>
          <t>VÄRMLANDS LÄN</t>
        </is>
      </c>
      <c r="G172" t="inlineStr">
        <is>
          <t>KRISTINEHAMN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29526-2022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44753</v>
      </c>
      <c r="E173" s="1" t="n">
        <v>46221</v>
      </c>
      <c r="F173" t="inlineStr">
        <is>
          <t>VÄRMLANDS LÄN</t>
        </is>
      </c>
      <c r="G173" t="inlineStr">
        <is>
          <t>KRISTINEHAMN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9606-2024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45361</v>
      </c>
      <c r="E174" s="1" t="n">
        <v>46221</v>
      </c>
      <c r="F174" t="inlineStr">
        <is>
          <t>VÄRMLANDS LÄN</t>
        </is>
      </c>
      <c r="G174" t="inlineStr">
        <is>
          <t>KRISTINEHAMN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50174-2024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46221</v>
      </c>
      <c r="F175" t="inlineStr">
        <is>
          <t>VÄRMLANDS LÄN</t>
        </is>
      </c>
      <c r="G175" t="inlineStr">
        <is>
          <t>KRISTINEHAMN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46221</v>
      </c>
      <c r="F176" t="inlineStr">
        <is>
          <t>VÄRMLANDS LÄN</t>
        </is>
      </c>
      <c r="G176" t="inlineStr">
        <is>
          <t>KRISTINEHAMN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45690-2021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44441</v>
      </c>
      <c r="E177" s="1" t="n">
        <v>46221</v>
      </c>
      <c r="F177" t="inlineStr">
        <is>
          <t>VÄRMLANDS LÄN</t>
        </is>
      </c>
      <c r="G177" t="inlineStr">
        <is>
          <t>KRISTINEHAMN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44424</v>
      </c>
      <c r="E178" s="1" t="n">
        <v>46221</v>
      </c>
      <c r="F178" t="inlineStr">
        <is>
          <t>VÄRMLANDS LÄN</t>
        </is>
      </c>
      <c r="G178" t="inlineStr">
        <is>
          <t>KRISTINEHAMN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33464-2023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45118</v>
      </c>
      <c r="E179" s="1" t="n">
        <v>46221</v>
      </c>
      <c r="F179" t="inlineStr">
        <is>
          <t>VÄRMLANDS LÄN</t>
        </is>
      </c>
      <c r="G179" t="inlineStr">
        <is>
          <t>KRISTINEHAMN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20696-2023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45058</v>
      </c>
      <c r="E180" s="1" t="n">
        <v>46221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Kommuner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22201-2022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44712</v>
      </c>
      <c r="E181" s="1" t="n">
        <v>46221</v>
      </c>
      <c r="F181" t="inlineStr">
        <is>
          <t>VÄRMLANDS LÄN</t>
        </is>
      </c>
      <c r="G181" t="inlineStr">
        <is>
          <t>KRISTINEHAMN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46221</v>
      </c>
      <c r="F182" t="inlineStr">
        <is>
          <t>VÄRMLANDS LÄN</t>
        </is>
      </c>
      <c r="G182" t="inlineStr">
        <is>
          <t>KRISTINEHAMN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45662</v>
      </c>
      <c r="E183" s="1" t="n">
        <v>46221</v>
      </c>
      <c r="F183" t="inlineStr">
        <is>
          <t>VÄRMLANDS LÄN</t>
        </is>
      </c>
      <c r="G183" t="inlineStr">
        <is>
          <t>KRISTINEHAMN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62453-2022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46221</v>
      </c>
      <c r="F184" t="inlineStr">
        <is>
          <t>VÄRMLANDS LÄN</t>
        </is>
      </c>
      <c r="G184" t="inlineStr">
        <is>
          <t>KRISTINEHAMN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32161-2023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46221</v>
      </c>
      <c r="F185" t="inlineStr">
        <is>
          <t>VÄRMLANDS LÄN</t>
        </is>
      </c>
      <c r="G185" t="inlineStr">
        <is>
          <t>KRISTINEHAMN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37266-2025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45876</v>
      </c>
      <c r="E186" s="1" t="n">
        <v>46221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34893-2023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45141</v>
      </c>
      <c r="E187" s="1" t="n">
        <v>46221</v>
      </c>
      <c r="F187" t="inlineStr">
        <is>
          <t>VÄRMLANDS LÄN</t>
        </is>
      </c>
      <c r="G187" t="inlineStr">
        <is>
          <t>KRISTINEHAMN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37267-2025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45876</v>
      </c>
      <c r="E188" s="1" t="n">
        <v>46221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50420-2025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45944</v>
      </c>
      <c r="E189" s="1" t="n">
        <v>46221</v>
      </c>
      <c r="F189" t="inlineStr">
        <is>
          <t>VÄRMLANDS LÄN</t>
        </is>
      </c>
      <c r="G189" t="inlineStr">
        <is>
          <t>KRISTINEHAMN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15942-2025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46221</v>
      </c>
      <c r="F190" t="inlineStr">
        <is>
          <t>VÄRMLANDS LÄN</t>
        </is>
      </c>
      <c r="G190" t="inlineStr">
        <is>
          <t>KRISTINEHAMN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61034-2021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44497</v>
      </c>
      <c r="E191" s="1" t="n">
        <v>46221</v>
      </c>
      <c r="F191" t="inlineStr">
        <is>
          <t>VÄRMLANDS LÄN</t>
        </is>
      </c>
      <c r="G191" t="inlineStr">
        <is>
          <t>KRISTINEHAMN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47398-2023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46221</v>
      </c>
      <c r="F192" t="inlineStr">
        <is>
          <t>VÄRMLANDS LÄN</t>
        </is>
      </c>
      <c r="G192" t="inlineStr">
        <is>
          <t>KRISTINEHAMN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6933-2025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45701</v>
      </c>
      <c r="E193" s="1" t="n">
        <v>46221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52088-2025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46221</v>
      </c>
      <c r="F194" t="inlineStr">
        <is>
          <t>VÄRMLANDS LÄN</t>
        </is>
      </c>
      <c r="G194" t="inlineStr">
        <is>
          <t>KRISTINEHAMN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52404-2025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46221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45666</v>
      </c>
      <c r="E196" s="1" t="n">
        <v>46221</v>
      </c>
      <c r="F196" t="inlineStr">
        <is>
          <t>VÄRMLANDS LÄN</t>
        </is>
      </c>
      <c r="G196" t="inlineStr">
        <is>
          <t>KRISTINEHAMN</t>
        </is>
      </c>
      <c r="I196" t="n">
        <v>9.300000000000001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46221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62032-2024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45656</v>
      </c>
      <c r="E198" s="1" t="n">
        <v>46221</v>
      </c>
      <c r="F198" t="inlineStr">
        <is>
          <t>VÄRMLANDS LÄN</t>
        </is>
      </c>
      <c r="G198" t="inlineStr">
        <is>
          <t>KRISTINEHAMN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21688-2024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45442</v>
      </c>
      <c r="E199" s="1" t="n">
        <v>46221</v>
      </c>
      <c r="F199" t="inlineStr">
        <is>
          <t>VÄRMLANDS LÄN</t>
        </is>
      </c>
      <c r="G199" t="inlineStr">
        <is>
          <t>KRISTINEHAMN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53405-2025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46221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Naturvårdsverket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53819-2025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45961</v>
      </c>
      <c r="E201" s="1" t="n">
        <v>46221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53909-2025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45961</v>
      </c>
      <c r="E202" s="1" t="n">
        <v>46221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10501-2023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46221</v>
      </c>
      <c r="F203" t="inlineStr">
        <is>
          <t>VÄRMLANDS LÄN</t>
        </is>
      </c>
      <c r="G203" t="inlineStr">
        <is>
          <t>KRISTINEHAMN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61675-2024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45647</v>
      </c>
      <c r="E204" s="1" t="n">
        <v>46221</v>
      </c>
      <c r="F204" t="inlineStr">
        <is>
          <t>VÄRMLANDS LÄN</t>
        </is>
      </c>
      <c r="G204" t="inlineStr">
        <is>
          <t>KRISTINEHAMN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54606-2021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46221</v>
      </c>
      <c r="F205" t="inlineStr">
        <is>
          <t>VÄRMLANDS LÄN</t>
        </is>
      </c>
      <c r="G205" t="inlineStr">
        <is>
          <t>KRISTINEHAMN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13021-2023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45002</v>
      </c>
      <c r="E206" s="1" t="n">
        <v>46221</v>
      </c>
      <c r="F206" t="inlineStr">
        <is>
          <t>VÄRMLANDS LÄN</t>
        </is>
      </c>
      <c r="G206" t="inlineStr">
        <is>
          <t>KRISTINEHAMN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41857-2023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45176</v>
      </c>
      <c r="E207" s="1" t="n">
        <v>46221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45686</v>
      </c>
      <c r="E208" s="1" t="n">
        <v>46221</v>
      </c>
      <c r="F208" t="inlineStr">
        <is>
          <t>VÄRMLANDS LÄN</t>
        </is>
      </c>
      <c r="G208" t="inlineStr">
        <is>
          <t>KRISTINEHAMN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56875-2022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44894</v>
      </c>
      <c r="E209" s="1" t="n">
        <v>46221</v>
      </c>
      <c r="F209" t="inlineStr">
        <is>
          <t>VÄRMLANDS LÄN</t>
        </is>
      </c>
      <c r="G209" t="inlineStr">
        <is>
          <t>KRISTINEHAMN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56315-2025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45974</v>
      </c>
      <c r="E210" s="1" t="n">
        <v>46221</v>
      </c>
      <c r="F210" t="inlineStr">
        <is>
          <t>VÄRMLANDS LÄN</t>
        </is>
      </c>
      <c r="G210" t="inlineStr">
        <is>
          <t>KRISTINEHAMN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70126-2021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44533</v>
      </c>
      <c r="E211" s="1" t="n">
        <v>46221</v>
      </c>
      <c r="F211" t="inlineStr">
        <is>
          <t>VÄRMLANDS LÄN</t>
        </is>
      </c>
      <c r="G211" t="inlineStr">
        <is>
          <t>KRISTINEHAMN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11463-2026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46083</v>
      </c>
      <c r="E212" s="1" t="n">
        <v>46221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62495-2022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44917</v>
      </c>
      <c r="E213" s="1" t="n">
        <v>46221</v>
      </c>
      <c r="F213" t="inlineStr">
        <is>
          <t>VÄRMLANDS LÄN</t>
        </is>
      </c>
      <c r="G213" t="inlineStr">
        <is>
          <t>KRISTINEHAMN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60738-2023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46221</v>
      </c>
      <c r="F214" t="inlineStr">
        <is>
          <t>VÄRMLANDS LÄN</t>
        </is>
      </c>
      <c r="G214" t="inlineStr">
        <is>
          <t>KRISTINEHAMN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59854-2023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46221</v>
      </c>
      <c r="F215" t="inlineStr">
        <is>
          <t>VÄRMLANDS LÄN</t>
        </is>
      </c>
      <c r="G215" t="inlineStr">
        <is>
          <t>KRISTINEHAMN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46526-2022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44847</v>
      </c>
      <c r="E216" s="1" t="n">
        <v>46221</v>
      </c>
      <c r="F216" t="inlineStr">
        <is>
          <t>VÄRMLANDS LÄN</t>
        </is>
      </c>
      <c r="G216" t="inlineStr">
        <is>
          <t>KRISTINEHAMN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49335-2021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44454</v>
      </c>
      <c r="E217" s="1" t="n">
        <v>46221</v>
      </c>
      <c r="F217" t="inlineStr">
        <is>
          <t>VÄRMLANDS LÄN</t>
        </is>
      </c>
      <c r="G217" t="inlineStr">
        <is>
          <t>KRISTINEHAMN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54548-2023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45226</v>
      </c>
      <c r="E218" s="1" t="n">
        <v>46221</v>
      </c>
      <c r="F218" t="inlineStr">
        <is>
          <t>VÄRMLANDS LÄN</t>
        </is>
      </c>
      <c r="G218" t="inlineStr">
        <is>
          <t>KRISTINEHAMN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54552-2023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46221</v>
      </c>
      <c r="F219" t="inlineStr">
        <is>
          <t>VÄRMLANDS LÄN</t>
        </is>
      </c>
      <c r="G219" t="inlineStr">
        <is>
          <t>KRISTINEHAMN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54603-2021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46221</v>
      </c>
      <c r="F220" t="inlineStr">
        <is>
          <t>VÄRMLANDS LÄN</t>
        </is>
      </c>
      <c r="G220" t="inlineStr">
        <is>
          <t>KRISTINEHAMN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46221</v>
      </c>
      <c r="F221" t="inlineStr">
        <is>
          <t>VÄRMLANDS LÄN</t>
        </is>
      </c>
      <c r="G221" t="inlineStr">
        <is>
          <t>KRISTINEHAMN</t>
        </is>
      </c>
      <c r="I221" t="n">
        <v>15.9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12932-2026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46221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68505-2021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44525</v>
      </c>
      <c r="E223" s="1" t="n">
        <v>46221</v>
      </c>
      <c r="F223" t="inlineStr">
        <is>
          <t>VÄRMLANDS LÄN</t>
        </is>
      </c>
      <c r="G223" t="inlineStr">
        <is>
          <t>KRISTINEHAMN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12934-2026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46221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12930-2026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46221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10522-2024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45366</v>
      </c>
      <c r="E226" s="1" t="n">
        <v>46221</v>
      </c>
      <c r="F226" t="inlineStr">
        <is>
          <t>VÄRMLANDS LÄN</t>
        </is>
      </c>
      <c r="G226" t="inlineStr">
        <is>
          <t>KRISTINEHAMN</t>
        </is>
      </c>
      <c r="I226" t="n">
        <v>19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13464-2026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46221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Sveaskog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45995</v>
      </c>
      <c r="E228" s="1" t="n">
        <v>46221</v>
      </c>
      <c r="F228" t="inlineStr">
        <is>
          <t>VÄRMLANDS LÄN</t>
        </is>
      </c>
      <c r="G228" t="inlineStr">
        <is>
          <t>KRISTINEHAMN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13461-2026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46221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13462-2026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46221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60363-2025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46221</v>
      </c>
      <c r="F231" t="inlineStr">
        <is>
          <t>VÄRMLANDS LÄN</t>
        </is>
      </c>
      <c r="G231" t="inlineStr">
        <is>
          <t>KRISTINEHAMN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61048-2025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46000</v>
      </c>
      <c r="E232" s="1" t="n">
        <v>46221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Bergvik skog väst AB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60791-2025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46221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Naturvårdsverket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61081-2025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46221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44923</v>
      </c>
      <c r="E235" s="1" t="n">
        <v>46221</v>
      </c>
      <c r="F235" t="inlineStr">
        <is>
          <t>VÄRMLANDS LÄN</t>
        </is>
      </c>
      <c r="G235" t="inlineStr">
        <is>
          <t>KRISTINEHAMN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62864-2023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45272</v>
      </c>
      <c r="E236" s="1" t="n">
        <v>46221</v>
      </c>
      <c r="F236" t="inlineStr">
        <is>
          <t>VÄRMLANDS LÄN</t>
        </is>
      </c>
      <c r="G236" t="inlineStr">
        <is>
          <t>KRISTINEHAMN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60942-2025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46221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60902-2025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46221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46221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Bergvik skog väst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61479-2025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46221</v>
      </c>
      <c r="F240" t="inlineStr">
        <is>
          <t>VÄRMLANDS LÄN</t>
        </is>
      </c>
      <c r="G240" t="inlineStr">
        <is>
          <t>KRISTINEHAMN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39781-2023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46221</v>
      </c>
      <c r="F241" t="inlineStr">
        <is>
          <t>VÄRMLANDS LÄN</t>
        </is>
      </c>
      <c r="G241" t="inlineStr">
        <is>
          <t>KRISTINEHAMN</t>
        </is>
      </c>
      <c r="I241" t="n">
        <v>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25494-2023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45081</v>
      </c>
      <c r="E242" s="1" t="n">
        <v>46221</v>
      </c>
      <c r="F242" t="inlineStr">
        <is>
          <t>VÄRMLANDS LÄN</t>
        </is>
      </c>
      <c r="G242" t="inlineStr">
        <is>
          <t>KRISTINEHAMN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46221</v>
      </c>
      <c r="F243" t="inlineStr">
        <is>
          <t>VÄRMLANDS LÄN</t>
        </is>
      </c>
      <c r="G243" t="inlineStr">
        <is>
          <t>KRISTINEHAMN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61891-2025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46221</v>
      </c>
      <c r="F244" t="inlineStr">
        <is>
          <t>VÄRMLANDS LÄN</t>
        </is>
      </c>
      <c r="G244" t="inlineStr">
        <is>
          <t>KRISTINEHAMN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14757-2026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46101</v>
      </c>
      <c r="E245" s="1" t="n">
        <v>46221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62349-2025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46221</v>
      </c>
      <c r="F246" t="inlineStr">
        <is>
          <t>VÄRMLANDS LÄN</t>
        </is>
      </c>
      <c r="G246" t="inlineStr">
        <is>
          <t>KRISTINEHAMN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14759-2026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46221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63016-2025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46221</v>
      </c>
      <c r="F248" t="inlineStr">
        <is>
          <t>VÄRMLANDS LÄN</t>
        </is>
      </c>
      <c r="G248" t="inlineStr">
        <is>
          <t>KRISTINEHAMN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45313</v>
      </c>
      <c r="E249" s="1" t="n">
        <v>46221</v>
      </c>
      <c r="F249" t="inlineStr">
        <is>
          <t>VÄRMLANDS LÄN</t>
        </is>
      </c>
      <c r="G249" t="inlineStr">
        <is>
          <t>KRISTINEHAMN</t>
        </is>
      </c>
      <c r="I249" t="n">
        <v>11.2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45679</v>
      </c>
      <c r="E250" s="1" t="n">
        <v>46221</v>
      </c>
      <c r="F250" t="inlineStr">
        <is>
          <t>VÄRMLANDS LÄN</t>
        </is>
      </c>
      <c r="G250" t="inlineStr">
        <is>
          <t>KRISTINEHAMN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63018-2025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46221</v>
      </c>
      <c r="F251" t="inlineStr">
        <is>
          <t>VÄRMLANDS LÄN</t>
        </is>
      </c>
      <c r="G251" t="inlineStr">
        <is>
          <t>KRISTINEHAMN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11784-2023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44994</v>
      </c>
      <c r="E252" s="1" t="n">
        <v>46221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32404-2023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46221</v>
      </c>
      <c r="F253" t="inlineStr">
        <is>
          <t>VÄRMLANDS LÄN</t>
        </is>
      </c>
      <c r="G253" t="inlineStr">
        <is>
          <t>KRISTINEHAMN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15064-2026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46221</v>
      </c>
      <c r="F254" t="inlineStr">
        <is>
          <t>VÄRMLANDS LÄN</t>
        </is>
      </c>
      <c r="G254" t="inlineStr">
        <is>
          <t>KRISTINEHAMN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25454-2023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45081</v>
      </c>
      <c r="E255" s="1" t="n">
        <v>46221</v>
      </c>
      <c r="F255" t="inlineStr">
        <is>
          <t>VÄRMLANDS LÄN</t>
        </is>
      </c>
      <c r="G255" t="inlineStr">
        <is>
          <t>KRISTINEHAMN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58893-2023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46221</v>
      </c>
      <c r="F256" t="inlineStr">
        <is>
          <t>VÄRMLANDS LÄN</t>
        </is>
      </c>
      <c r="G256" t="inlineStr">
        <is>
          <t>KRISTINEHAMN</t>
        </is>
      </c>
      <c r="I256" t="n">
        <v>19.4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12520-2024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45379</v>
      </c>
      <c r="E257" s="1" t="n">
        <v>46221</v>
      </c>
      <c r="F257" t="inlineStr">
        <is>
          <t>VÄRMLANDS LÄN</t>
        </is>
      </c>
      <c r="G257" t="inlineStr">
        <is>
          <t>KRISTINEHAMN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55363-2023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45238</v>
      </c>
      <c r="E258" s="1" t="n">
        <v>46221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Kommuner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12416-2024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45379</v>
      </c>
      <c r="E259" s="1" t="n">
        <v>46221</v>
      </c>
      <c r="F259" t="inlineStr">
        <is>
          <t>VÄRMLANDS LÄN</t>
        </is>
      </c>
      <c r="G259" t="inlineStr">
        <is>
          <t>KRISTINEHAMN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12423-2024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45379</v>
      </c>
      <c r="E260" s="1" t="n">
        <v>46221</v>
      </c>
      <c r="F260" t="inlineStr">
        <is>
          <t>VÄRMLANDS LÄN</t>
        </is>
      </c>
      <c r="G260" t="inlineStr">
        <is>
          <t>KRISTINEHAMN</t>
        </is>
      </c>
      <c r="I260" t="n">
        <v>12.6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15646-2026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46106</v>
      </c>
      <c r="E261" s="1" t="n">
        <v>46221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10030-2023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46221</v>
      </c>
      <c r="F262" t="inlineStr">
        <is>
          <t>VÄRMLANDS LÄN</t>
        </is>
      </c>
      <c r="G262" t="inlineStr">
        <is>
          <t>KRISTINEHAMN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13459-2024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45387</v>
      </c>
      <c r="E263" s="1" t="n">
        <v>46221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Naturvårdsverket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46221</v>
      </c>
      <c r="F264" t="inlineStr">
        <is>
          <t>VÄRMLANDS LÄN</t>
        </is>
      </c>
      <c r="G264" t="inlineStr">
        <is>
          <t>KRISTINEHAMN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15827-2026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46221</v>
      </c>
      <c r="F265" t="inlineStr">
        <is>
          <t>VÄRMLANDS LÄN</t>
        </is>
      </c>
      <c r="G265" t="inlineStr">
        <is>
          <t>KRISTINEHAMN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46221</v>
      </c>
      <c r="F266" t="inlineStr">
        <is>
          <t>VÄRMLANDS LÄN</t>
        </is>
      </c>
      <c r="G266" t="inlineStr">
        <is>
          <t>KRISTINEHAMN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46221</v>
      </c>
      <c r="F267" t="inlineStr">
        <is>
          <t>VÄRMLANDS LÄN</t>
        </is>
      </c>
      <c r="G267" t="inlineStr">
        <is>
          <t>KRISTINEHAMN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46221</v>
      </c>
      <c r="F268" t="inlineStr">
        <is>
          <t>VÄRMLANDS LÄN</t>
        </is>
      </c>
      <c r="G268" t="inlineStr">
        <is>
          <t>KRISTINEHAMN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3030-2026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46038</v>
      </c>
      <c r="E269" s="1" t="n">
        <v>46221</v>
      </c>
      <c r="F269" t="inlineStr">
        <is>
          <t>VÄRMLANDS LÄN</t>
        </is>
      </c>
      <c r="G269" t="inlineStr">
        <is>
          <t>KRISTINEHAMN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3038-2026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46221</v>
      </c>
      <c r="F270" t="inlineStr">
        <is>
          <t>VÄRMLANDS LÄN</t>
        </is>
      </c>
      <c r="G270" t="inlineStr">
        <is>
          <t>KRISTINEHAMN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46221</v>
      </c>
      <c r="F271" t="inlineStr">
        <is>
          <t>VÄRMLANDS LÄN</t>
        </is>
      </c>
      <c r="G271" t="inlineStr">
        <is>
          <t>KRISTINEHAMN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5250-2023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44959</v>
      </c>
      <c r="E272" s="1" t="n">
        <v>46221</v>
      </c>
      <c r="F272" t="inlineStr">
        <is>
          <t>VÄRMLANDS LÄN</t>
        </is>
      </c>
      <c r="G272" t="inlineStr">
        <is>
          <t>KRISTINEHAMN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47091-2022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44851</v>
      </c>
      <c r="E273" s="1" t="n">
        <v>46221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Kommuner</t>
        </is>
      </c>
      <c r="I273" t="n">
        <v>8.6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14014-2024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45392</v>
      </c>
      <c r="E274" s="1" t="n">
        <v>46221</v>
      </c>
      <c r="F274" t="inlineStr">
        <is>
          <t>VÄRMLANDS LÄN</t>
        </is>
      </c>
      <c r="G274" t="inlineStr">
        <is>
          <t>KRISTINEHAMN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12568-2023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45000</v>
      </c>
      <c r="E275" s="1" t="n">
        <v>46221</v>
      </c>
      <c r="F275" t="inlineStr">
        <is>
          <t>VÄRMLANDS LÄN</t>
        </is>
      </c>
      <c r="G275" t="inlineStr">
        <is>
          <t>KRISTINEHAMN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32409-2023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46221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24883-2024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46221</v>
      </c>
      <c r="F277" t="inlineStr">
        <is>
          <t>VÄRMLANDS LÄN</t>
        </is>
      </c>
      <c r="G277" t="inlineStr">
        <is>
          <t>KRISTINEHAMN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45698</v>
      </c>
      <c r="E278" s="1" t="n">
        <v>46221</v>
      </c>
      <c r="F278" t="inlineStr">
        <is>
          <t>VÄRMLANDS LÄN</t>
        </is>
      </c>
      <c r="G278" t="inlineStr">
        <is>
          <t>KRISTINEHAMN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24118-2024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45456</v>
      </c>
      <c r="E279" s="1" t="n">
        <v>46221</v>
      </c>
      <c r="F279" t="inlineStr">
        <is>
          <t>VÄRMLANDS LÄN</t>
        </is>
      </c>
      <c r="G279" t="inlineStr">
        <is>
          <t>KRISTINEHAMN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24146-2023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45079</v>
      </c>
      <c r="E280" s="1" t="n">
        <v>46221</v>
      </c>
      <c r="F280" t="inlineStr">
        <is>
          <t>VÄRMLANDS LÄN</t>
        </is>
      </c>
      <c r="G280" t="inlineStr">
        <is>
          <t>KRISTINEHAMN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32821-2023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45112</v>
      </c>
      <c r="E281" s="1" t="n">
        <v>46221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44085-2023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45188</v>
      </c>
      <c r="E282" s="1" t="n">
        <v>46221</v>
      </c>
      <c r="F282" t="inlineStr">
        <is>
          <t>VÄRMLANDS LÄN</t>
        </is>
      </c>
      <c r="G282" t="inlineStr">
        <is>
          <t>KRISTINEHAMN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18902-2026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46221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18909-2026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46129</v>
      </c>
      <c r="E284" s="1" t="n">
        <v>46221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32821-2023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45112</v>
      </c>
      <c r="E285" s="1" t="n">
        <v>46221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21702-2024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45442</v>
      </c>
      <c r="E286" s="1" t="n">
        <v>46221</v>
      </c>
      <c r="F286" t="inlineStr">
        <is>
          <t>VÄRMLANDS LÄN</t>
        </is>
      </c>
      <c r="G286" t="inlineStr">
        <is>
          <t>KRISTINEHAMN</t>
        </is>
      </c>
      <c r="I286" t="n">
        <v>14.9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49245-2024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45595</v>
      </c>
      <c r="E287" s="1" t="n">
        <v>46221</v>
      </c>
      <c r="F287" t="inlineStr">
        <is>
          <t>VÄRMLANDS LÄN</t>
        </is>
      </c>
      <c r="G287" t="inlineStr">
        <is>
          <t>KRISTINEHAMN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19226-2026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46221</v>
      </c>
      <c r="F288" t="inlineStr">
        <is>
          <t>VÄRMLANDS LÄN</t>
        </is>
      </c>
      <c r="G288" t="inlineStr">
        <is>
          <t>KRISTINEHAMN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55719-2024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45622</v>
      </c>
      <c r="E289" s="1" t="n">
        <v>46221</v>
      </c>
      <c r="F289" t="inlineStr">
        <is>
          <t>VÄRMLANDS LÄN</t>
        </is>
      </c>
      <c r="G289" t="inlineStr">
        <is>
          <t>KRISTINEHAMN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4284-2022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44588</v>
      </c>
      <c r="E290" s="1" t="n">
        <v>46221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4304-2022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44588</v>
      </c>
      <c r="E291" s="1" t="n">
        <v>46221</v>
      </c>
      <c r="F291" t="inlineStr">
        <is>
          <t>VÄRMLANDS LÄN</t>
        </is>
      </c>
      <c r="G291" t="inlineStr">
        <is>
          <t>KRISTINEHAMN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50159-2024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45600</v>
      </c>
      <c r="E292" s="1" t="n">
        <v>46221</v>
      </c>
      <c r="F292" t="inlineStr">
        <is>
          <t>VÄRMLANDS LÄN</t>
        </is>
      </c>
      <c r="G292" t="inlineStr">
        <is>
          <t>KRISTINEHAMN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25570-2023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45082</v>
      </c>
      <c r="E293" s="1" t="n">
        <v>46221</v>
      </c>
      <c r="F293" t="inlineStr">
        <is>
          <t>VÄRMLANDS LÄN</t>
        </is>
      </c>
      <c r="G293" t="inlineStr">
        <is>
          <t>KRISTINEHAMN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62767-2023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45268</v>
      </c>
      <c r="E294" s="1" t="n">
        <v>46221</v>
      </c>
      <c r="F294" t="inlineStr">
        <is>
          <t>VÄRMLANDS LÄN</t>
        </is>
      </c>
      <c r="G294" t="inlineStr">
        <is>
          <t>KRISTINEHAMN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28834-2024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45478</v>
      </c>
      <c r="E295" s="1" t="n">
        <v>46221</v>
      </c>
      <c r="F295" t="inlineStr">
        <is>
          <t>VÄRMLANDS LÄN</t>
        </is>
      </c>
      <c r="G295" t="inlineStr">
        <is>
          <t>KRISTINEHAMN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23270-2024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45450</v>
      </c>
      <c r="E296" s="1" t="n">
        <v>46221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Kommuner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13505-2022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44648</v>
      </c>
      <c r="E297" s="1" t="n">
        <v>46221</v>
      </c>
      <c r="F297" t="inlineStr">
        <is>
          <t>VÄRMLANDS LÄN</t>
        </is>
      </c>
      <c r="G297" t="inlineStr">
        <is>
          <t>KRISTINEHAMN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47648-2023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46221</v>
      </c>
      <c r="F298" t="inlineStr">
        <is>
          <t>VÄRMLANDS LÄN</t>
        </is>
      </c>
      <c r="G298" t="inlineStr">
        <is>
          <t>KRISTINEHAMN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38946-2025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45887</v>
      </c>
      <c r="E299" s="1" t="n">
        <v>46221</v>
      </c>
      <c r="F299" t="inlineStr">
        <is>
          <t>VÄRMLANDS LÄN</t>
        </is>
      </c>
      <c r="G299" t="inlineStr">
        <is>
          <t>KRISTINEHAMN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42177-2025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45904</v>
      </c>
      <c r="E300" s="1" t="n">
        <v>46221</v>
      </c>
      <c r="F300" t="inlineStr">
        <is>
          <t>VÄRMLANDS LÄN</t>
        </is>
      </c>
      <c r="G300" t="inlineStr">
        <is>
          <t>KRISTINEHAMN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39157-2025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46221</v>
      </c>
      <c r="F301" t="inlineStr">
        <is>
          <t>VÄRMLANDS LÄN</t>
        </is>
      </c>
      <c r="G301" t="inlineStr">
        <is>
          <t>KRISTINEHAMN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20569-2026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46221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27077-2025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45811</v>
      </c>
      <c r="E303" s="1" t="n">
        <v>46221</v>
      </c>
      <c r="F303" t="inlineStr">
        <is>
          <t>VÄRMLANDS LÄN</t>
        </is>
      </c>
      <c r="G303" t="inlineStr">
        <is>
          <t>KRISTINEHAMN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39159-2025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46221</v>
      </c>
      <c r="F304" t="inlineStr">
        <is>
          <t>VÄRMLANDS LÄN</t>
        </is>
      </c>
      <c r="G304" t="inlineStr">
        <is>
          <t>KRISTINEHAMN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18954-2023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45044</v>
      </c>
      <c r="E305" s="1" t="n">
        <v>46221</v>
      </c>
      <c r="F305" t="inlineStr">
        <is>
          <t>VÄRMLANDS LÄN</t>
        </is>
      </c>
      <c r="G305" t="inlineStr">
        <is>
          <t>KRISTINEHAMN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20484-2026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46221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Bergvik skog väst AB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45313</v>
      </c>
      <c r="E307" s="1" t="n">
        <v>46221</v>
      </c>
      <c r="F307" t="inlineStr">
        <is>
          <t>VÄRMLANDS LÄN</t>
        </is>
      </c>
      <c r="G307" t="inlineStr">
        <is>
          <t>KRISTINEHAMN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20168-2026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46139</v>
      </c>
      <c r="E308" s="1" t="n">
        <v>46221</v>
      </c>
      <c r="F308" t="inlineStr">
        <is>
          <t>VÄRMLANDS LÄN</t>
        </is>
      </c>
      <c r="G308" t="inlineStr">
        <is>
          <t>KRISTINEHAMN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48128-2025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46221</v>
      </c>
      <c r="F309" t="inlineStr">
        <is>
          <t>VÄRMLANDS LÄN</t>
        </is>
      </c>
      <c r="G309" t="inlineStr">
        <is>
          <t>KRISTINEHAMN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24117-2024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45456</v>
      </c>
      <c r="E310" s="1" t="n">
        <v>46221</v>
      </c>
      <c r="F310" t="inlineStr">
        <is>
          <t>VÄRMLANDS LÄN</t>
        </is>
      </c>
      <c r="G310" t="inlineStr">
        <is>
          <t>KRISTINEHAMN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38404-2022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44812</v>
      </c>
      <c r="E311" s="1" t="n">
        <v>46221</v>
      </c>
      <c r="F311" t="inlineStr">
        <is>
          <t>VÄRMLANDS LÄN</t>
        </is>
      </c>
      <c r="G311" t="inlineStr">
        <is>
          <t>KRISTINEHAMN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26042-2022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44734</v>
      </c>
      <c r="E312" s="1" t="n">
        <v>46221</v>
      </c>
      <c r="F312" t="inlineStr">
        <is>
          <t>VÄRMLANDS LÄN</t>
        </is>
      </c>
      <c r="G312" t="inlineStr">
        <is>
          <t>KRISTINEHAMN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23704-2022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46221</v>
      </c>
      <c r="F313" t="inlineStr">
        <is>
          <t>VÄRMLANDS LÄN</t>
        </is>
      </c>
      <c r="G313" t="inlineStr">
        <is>
          <t>KRISTINEHAMN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23706-2022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46221</v>
      </c>
      <c r="F314" t="inlineStr">
        <is>
          <t>VÄRMLANDS LÄN</t>
        </is>
      </c>
      <c r="G314" t="inlineStr">
        <is>
          <t>KRISTINEHAMN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26028-2025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46221</v>
      </c>
      <c r="F315" t="inlineStr">
        <is>
          <t>VÄRMLANDS LÄN</t>
        </is>
      </c>
      <c r="G315" t="inlineStr">
        <is>
          <t>KRISTINEHAMN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20102-2026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46136</v>
      </c>
      <c r="E316" s="1" t="n">
        <v>46221</v>
      </c>
      <c r="F316" t="inlineStr">
        <is>
          <t>VÄRMLANDS LÄN</t>
        </is>
      </c>
      <c r="G316" t="inlineStr">
        <is>
          <t>KRISTINEHAMN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20570-2026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46221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14.2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17245-2025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46221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60805-2025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46221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Naturvårdsverket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45666</v>
      </c>
      <c r="E320" s="1" t="n">
        <v>46221</v>
      </c>
      <c r="F320" t="inlineStr">
        <is>
          <t>VÄRMLANDS LÄN</t>
        </is>
      </c>
      <c r="G320" t="inlineStr">
        <is>
          <t>KRISTINEHAMN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34230-2023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45127</v>
      </c>
      <c r="E321" s="1" t="n">
        <v>46221</v>
      </c>
      <c r="F321" t="inlineStr">
        <is>
          <t>VÄRMLANDS LÄN</t>
        </is>
      </c>
      <c r="G321" t="inlineStr">
        <is>
          <t>KRISTINEHAMN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42597-2023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46221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Sveaskog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47371-2023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46221</v>
      </c>
      <c r="F323" t="inlineStr">
        <is>
          <t>VÄRMLANDS LÄN</t>
        </is>
      </c>
      <c r="G323" t="inlineStr">
        <is>
          <t>KRISTINEHAMN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20672-2026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46221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19292-2025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45769</v>
      </c>
      <c r="E325" s="1" t="n">
        <v>46221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Kyrkan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56671-2023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46221</v>
      </c>
      <c r="F326" t="inlineStr">
        <is>
          <t>VÄRMLANDS LÄN</t>
        </is>
      </c>
      <c r="G326" t="inlineStr">
        <is>
          <t>KRISTINEHAMN</t>
        </is>
      </c>
      <c r="I326" t="n">
        <v>8.699999999999999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20654-2026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46141</v>
      </c>
      <c r="E327" s="1" t="n">
        <v>46221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Naturvårdsverket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28759-2022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46221</v>
      </c>
      <c r="F328" t="inlineStr">
        <is>
          <t>VÄRMLANDS LÄN</t>
        </is>
      </c>
      <c r="G328" t="inlineStr">
        <is>
          <t>KRISTINEHAMN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6936-2025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46221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Naturvårdsverket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58319-2024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45631</v>
      </c>
      <c r="E330" s="1" t="n">
        <v>46221</v>
      </c>
      <c r="F330" t="inlineStr">
        <is>
          <t>VÄRMLANDS LÄN</t>
        </is>
      </c>
      <c r="G330" t="inlineStr">
        <is>
          <t>KRISTINEHAMN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46333-2023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46221</v>
      </c>
      <c r="F331" t="inlineStr">
        <is>
          <t>VÄRMLANDS LÄN</t>
        </is>
      </c>
      <c r="G331" t="inlineStr">
        <is>
          <t>KRISTINEHAMN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20982-2026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46221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48405-2023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45201</v>
      </c>
      <c r="E333" s="1" t="n">
        <v>46221</v>
      </c>
      <c r="F333" t="inlineStr">
        <is>
          <t>VÄRMLANDS LÄN</t>
        </is>
      </c>
      <c r="G333" t="inlineStr">
        <is>
          <t>KRISTINEHAMN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30218-2025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45827</v>
      </c>
      <c r="E334" s="1" t="n">
        <v>46221</v>
      </c>
      <c r="F334" t="inlineStr">
        <is>
          <t>VÄRMLANDS LÄN</t>
        </is>
      </c>
      <c r="G334" t="inlineStr">
        <is>
          <t>KRISTINEHAMN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20686-2026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46221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Naturvårdsverket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45302</v>
      </c>
      <c r="E336" s="1" t="n">
        <v>46221</v>
      </c>
      <c r="F336" t="inlineStr">
        <is>
          <t>VÄRMLANDS LÄN</t>
        </is>
      </c>
      <c r="G336" t="inlineStr">
        <is>
          <t>KRISTINEHAMN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37742-2023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46221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45315</v>
      </c>
      <c r="E338" s="1" t="n">
        <v>46221</v>
      </c>
      <c r="F338" t="inlineStr">
        <is>
          <t>VÄRMLANDS LÄN</t>
        </is>
      </c>
      <c r="G338" t="inlineStr">
        <is>
          <t>KRISTINEHAMN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19638-2025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45770</v>
      </c>
      <c r="E339" s="1" t="n">
        <v>46221</v>
      </c>
      <c r="F339" t="inlineStr">
        <is>
          <t>VÄRMLANDS LÄN</t>
        </is>
      </c>
      <c r="G339" t="inlineStr">
        <is>
          <t>KRISTINEHAMN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7222-2024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45344</v>
      </c>
      <c r="E340" s="1" t="n">
        <v>46221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Naturvårdsverket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42408-2022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44831</v>
      </c>
      <c r="E341" s="1" t="n">
        <v>46221</v>
      </c>
      <c r="F341" t="inlineStr">
        <is>
          <t>VÄRMLANDS LÄN</t>
        </is>
      </c>
      <c r="G341" t="inlineStr">
        <is>
          <t>KRISTINEHAMN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21039-2026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46221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Sveaskog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27563-2026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46221</v>
      </c>
      <c r="F343" t="inlineStr">
        <is>
          <t>VÄRMLANDS LÄN</t>
        </is>
      </c>
      <c r="G343" t="inlineStr">
        <is>
          <t>KRISTINEHAMN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27568-2026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46221</v>
      </c>
      <c r="F344" t="inlineStr">
        <is>
          <t>VÄRMLANDS LÄN</t>
        </is>
      </c>
      <c r="G344" t="inlineStr">
        <is>
          <t>KRISTINEHAMN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27515-2023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46221</v>
      </c>
      <c r="F345" t="inlineStr">
        <is>
          <t>VÄRMLANDS LÄN</t>
        </is>
      </c>
      <c r="G345" t="inlineStr">
        <is>
          <t>KRISTINEHAMN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47467-2023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45202</v>
      </c>
      <c r="E346" s="1" t="n">
        <v>46221</v>
      </c>
      <c r="F346" t="inlineStr">
        <is>
          <t>VÄRMLANDS LÄN</t>
        </is>
      </c>
      <c r="G346" t="inlineStr">
        <is>
          <t>KRISTINEHAMN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56522-2021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44480</v>
      </c>
      <c r="E347" s="1" t="n">
        <v>46221</v>
      </c>
      <c r="F347" t="inlineStr">
        <is>
          <t>VÄRMLANDS LÄN</t>
        </is>
      </c>
      <c r="G347" t="inlineStr">
        <is>
          <t>KRISTINEHAMN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1399-2024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45303</v>
      </c>
      <c r="E348" s="1" t="n">
        <v>46221</v>
      </c>
      <c r="F348" t="inlineStr">
        <is>
          <t>VÄRMLANDS LÄN</t>
        </is>
      </c>
      <c r="G348" t="inlineStr">
        <is>
          <t>KRISTINEHAMN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12395-2024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45379</v>
      </c>
      <c r="E349" s="1" t="n">
        <v>46221</v>
      </c>
      <c r="F349" t="inlineStr">
        <is>
          <t>VÄRMLANDS LÄN</t>
        </is>
      </c>
      <c r="G349" t="inlineStr">
        <is>
          <t>KRISTINEHAMN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21844-2026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46150</v>
      </c>
      <c r="E350" s="1" t="n">
        <v>46221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22060-2026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46149</v>
      </c>
      <c r="E351" s="1" t="n">
        <v>46221</v>
      </c>
      <c r="F351" t="inlineStr">
        <is>
          <t>VÄRMLANDS LÄN</t>
        </is>
      </c>
      <c r="G351" t="inlineStr">
        <is>
          <t>KRISTINEHAMN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21842-2026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46150</v>
      </c>
      <c r="E352" s="1" t="n">
        <v>46221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56930-2023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45244</v>
      </c>
      <c r="E353" s="1" t="n">
        <v>46221</v>
      </c>
      <c r="F353" t="inlineStr">
        <is>
          <t>VÄRMLANDS LÄN</t>
        </is>
      </c>
      <c r="G353" t="inlineStr">
        <is>
          <t>KRISTINEHAMN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45681</v>
      </c>
      <c r="E354" s="1" t="n">
        <v>46221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2927-2025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45678</v>
      </c>
      <c r="E355" s="1" t="n">
        <v>46221</v>
      </c>
      <c r="F355" t="inlineStr">
        <is>
          <t>VÄRMLANDS LÄN</t>
        </is>
      </c>
      <c r="G355" t="inlineStr">
        <is>
          <t>KRISTINEHAMN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22255-2026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46154</v>
      </c>
      <c r="E356" s="1" t="n">
        <v>46221</v>
      </c>
      <c r="F356" t="inlineStr">
        <is>
          <t>VÄRMLANDS LÄN</t>
        </is>
      </c>
      <c r="G356" t="inlineStr">
        <is>
          <t>KRISTINEHAMN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47951-2021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44448</v>
      </c>
      <c r="E357" s="1" t="n">
        <v>46221</v>
      </c>
      <c r="F357" t="inlineStr">
        <is>
          <t>VÄRMLANDS LÄN</t>
        </is>
      </c>
      <c r="G357" t="inlineStr">
        <is>
          <t>KRISTINEHAMN</t>
        </is>
      </c>
      <c r="I357" t="n">
        <v>8.300000000000001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13293-2024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45386</v>
      </c>
      <c r="E358" s="1" t="n">
        <v>46221</v>
      </c>
      <c r="F358" t="inlineStr">
        <is>
          <t>VÄRMLANDS LÄN</t>
        </is>
      </c>
      <c r="G358" t="inlineStr">
        <is>
          <t>KRISTINEHAMN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1266-2024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45302</v>
      </c>
      <c r="E359" s="1" t="n">
        <v>46221</v>
      </c>
      <c r="F359" t="inlineStr">
        <is>
          <t>VÄRMLANDS LÄN</t>
        </is>
      </c>
      <c r="G359" t="inlineStr">
        <is>
          <t>KRISTINEHAMN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3793-2025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45681</v>
      </c>
      <c r="E360" s="1" t="n">
        <v>46221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15860-2023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45022</v>
      </c>
      <c r="E361" s="1" t="n">
        <v>46221</v>
      </c>
      <c r="F361" t="inlineStr">
        <is>
          <t>VÄRMLANDS LÄN</t>
        </is>
      </c>
      <c r="G361" t="inlineStr">
        <is>
          <t>KRISTINEHAMN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6644-2024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45341</v>
      </c>
      <c r="E362" s="1" t="n">
        <v>46221</v>
      </c>
      <c r="F362" t="inlineStr">
        <is>
          <t>VÄRMLANDS LÄN</t>
        </is>
      </c>
      <c r="G362" t="inlineStr">
        <is>
          <t>KRISTINEHAMN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42947-2021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44431</v>
      </c>
      <c r="E363" s="1" t="n">
        <v>46221</v>
      </c>
      <c r="F363" t="inlineStr">
        <is>
          <t>VÄRMLANDS LÄN</t>
        </is>
      </c>
      <c r="G363" t="inlineStr">
        <is>
          <t>KRISTINEHAMN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6640-2024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45341</v>
      </c>
      <c r="E364" s="1" t="n">
        <v>46221</v>
      </c>
      <c r="F364" t="inlineStr">
        <is>
          <t>VÄRMLANDS LÄN</t>
        </is>
      </c>
      <c r="G364" t="inlineStr">
        <is>
          <t>KRISTINEHAMN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38490-2021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44407</v>
      </c>
      <c r="E365" s="1" t="n">
        <v>46221</v>
      </c>
      <c r="F365" t="inlineStr">
        <is>
          <t>VÄRMLANDS LÄN</t>
        </is>
      </c>
      <c r="G365" t="inlineStr">
        <is>
          <t>KRISTINEHAMN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43654-2024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45569</v>
      </c>
      <c r="E366" s="1" t="n">
        <v>46221</v>
      </c>
      <c r="F366" t="inlineStr">
        <is>
          <t>VÄRMLANDS LÄN</t>
        </is>
      </c>
      <c r="G366" t="inlineStr">
        <is>
          <t>KRISTINEHAMN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28472-2024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45477</v>
      </c>
      <c r="E367" s="1" t="n">
        <v>46221</v>
      </c>
      <c r="F367" t="inlineStr">
        <is>
          <t>VÄRMLANDS LÄN</t>
        </is>
      </c>
      <c r="G367" t="inlineStr">
        <is>
          <t>KRISTINEHAMN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62770-2023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46221</v>
      </c>
      <c r="F368" t="inlineStr">
        <is>
          <t>VÄRMLANDS LÄN</t>
        </is>
      </c>
      <c r="G368" t="inlineStr">
        <is>
          <t>KRISTINEHAMN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14183-2022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46221</v>
      </c>
      <c r="F369" t="inlineStr">
        <is>
          <t>VÄRMLANDS LÄN</t>
        </is>
      </c>
      <c r="G369" t="inlineStr">
        <is>
          <t>KRISTINEHAMN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45563-2022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44841</v>
      </c>
      <c r="E370" s="1" t="n">
        <v>46221</v>
      </c>
      <c r="F370" t="inlineStr">
        <is>
          <t>VÄRMLANDS LÄN</t>
        </is>
      </c>
      <c r="G370" t="inlineStr">
        <is>
          <t>KRISTINEHAMN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2522-2026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46037</v>
      </c>
      <c r="E371" s="1" t="n">
        <v>46221</v>
      </c>
      <c r="F371" t="inlineStr">
        <is>
          <t>VÄRMLANDS LÄN</t>
        </is>
      </c>
      <c r="G371" t="inlineStr">
        <is>
          <t>KRISTINEHAMN</t>
        </is>
      </c>
      <c r="I371" t="n">
        <v>11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27210-2022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44741</v>
      </c>
      <c r="E372" s="1" t="n">
        <v>46221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46221</v>
      </c>
      <c r="F373" t="inlineStr">
        <is>
          <t>VÄRMLANDS LÄN</t>
        </is>
      </c>
      <c r="G373" t="inlineStr">
        <is>
          <t>KRISTINEHAMN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40988-2021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44421</v>
      </c>
      <c r="E374" s="1" t="n">
        <v>46221</v>
      </c>
      <c r="F374" t="inlineStr">
        <is>
          <t>VÄRMLANDS LÄN</t>
        </is>
      </c>
      <c r="G374" t="inlineStr">
        <is>
          <t>KRISTINEHAMN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23147-2026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46221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47770-2023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46221</v>
      </c>
      <c r="F376" t="inlineStr">
        <is>
          <t>VÄRMLANDS LÄN</t>
        </is>
      </c>
      <c r="G376" t="inlineStr">
        <is>
          <t>KRISTINEHAMN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24710-2024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45460</v>
      </c>
      <c r="E377" s="1" t="n">
        <v>46221</v>
      </c>
      <c r="F377" t="inlineStr">
        <is>
          <t>VÄRMLANDS LÄN</t>
        </is>
      </c>
      <c r="G377" t="inlineStr">
        <is>
          <t>KRISTINEHAMN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23294-2026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46221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Sveaskog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51616-2023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45222</v>
      </c>
      <c r="E379" s="1" t="n">
        <v>46221</v>
      </c>
      <c r="F379" t="inlineStr">
        <is>
          <t>VÄRMLANDS LÄN</t>
        </is>
      </c>
      <c r="G379" t="inlineStr">
        <is>
          <t>KRISTINEHAMN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58616-2021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44489</v>
      </c>
      <c r="E380" s="1" t="n">
        <v>46221</v>
      </c>
      <c r="F380" t="inlineStr">
        <is>
          <t>VÄRMLANDS LÄN</t>
        </is>
      </c>
      <c r="G380" t="inlineStr">
        <is>
          <t>KRISTINEHAMN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28827-2024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45478</v>
      </c>
      <c r="E381" s="1" t="n">
        <v>46221</v>
      </c>
      <c r="F381" t="inlineStr">
        <is>
          <t>VÄRMLANDS LÄN</t>
        </is>
      </c>
      <c r="G381" t="inlineStr">
        <is>
          <t>KRISTINEHAMN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28836-2024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45478</v>
      </c>
      <c r="E382" s="1" t="n">
        <v>46221</v>
      </c>
      <c r="F382" t="inlineStr">
        <is>
          <t>VÄRMLANDS LÄN</t>
        </is>
      </c>
      <c r="G382" t="inlineStr">
        <is>
          <t>KRISTINEHAMN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36792-2023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46221</v>
      </c>
      <c r="F383" t="inlineStr">
        <is>
          <t>VÄRMLANDS LÄN</t>
        </is>
      </c>
      <c r="G383" t="inlineStr">
        <is>
          <t>KRISTINEHAMN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27939-2023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45098</v>
      </c>
      <c r="E384" s="1" t="n">
        <v>46221</v>
      </c>
      <c r="F384" t="inlineStr">
        <is>
          <t>VÄRMLANDS LÄN</t>
        </is>
      </c>
      <c r="G384" t="inlineStr">
        <is>
          <t>KRISTINEHAMN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27961-2023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45098</v>
      </c>
      <c r="E385" s="1" t="n">
        <v>46221</v>
      </c>
      <c r="F385" t="inlineStr">
        <is>
          <t>VÄRMLANDS LÄN</t>
        </is>
      </c>
      <c r="G385" t="inlineStr">
        <is>
          <t>KRISTINEHAMN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6927-2025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45701</v>
      </c>
      <c r="E386" s="1" t="n">
        <v>46221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68526-2021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44526</v>
      </c>
      <c r="E387" s="1" t="n">
        <v>46221</v>
      </c>
      <c r="F387" t="inlineStr">
        <is>
          <t>VÄRMLANDS LÄN</t>
        </is>
      </c>
      <c r="G387" t="inlineStr">
        <is>
          <t>KRISTINEHAMN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68530-2021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44526</v>
      </c>
      <c r="E388" s="1" t="n">
        <v>46221</v>
      </c>
      <c r="F388" t="inlineStr">
        <is>
          <t>VÄRMLANDS LÄN</t>
        </is>
      </c>
      <c r="G388" t="inlineStr">
        <is>
          <t>KRISTINEHAMN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29017-2023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45104</v>
      </c>
      <c r="E389" s="1" t="n">
        <v>46221</v>
      </c>
      <c r="F389" t="inlineStr">
        <is>
          <t>VÄRMLANDS LÄN</t>
        </is>
      </c>
      <c r="G389" t="inlineStr">
        <is>
          <t>KRISTINEHAMN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5505-2022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44595</v>
      </c>
      <c r="E390" s="1" t="n">
        <v>46221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5507-2022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44595</v>
      </c>
      <c r="E391" s="1" t="n">
        <v>46221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Kommuner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29871-2026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46221</v>
      </c>
      <c r="F392" t="inlineStr">
        <is>
          <t>VÄRMLANDS LÄN</t>
        </is>
      </c>
      <c r="G392" t="inlineStr">
        <is>
          <t>KRISTINEHAMN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29874-2026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46221</v>
      </c>
      <c r="F393" t="inlineStr">
        <is>
          <t>VÄRMLANDS LÄN</t>
        </is>
      </c>
      <c r="G393" t="inlineStr">
        <is>
          <t>KRISTINEHAMN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56662-2023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46221</v>
      </c>
      <c r="F394" t="inlineStr">
        <is>
          <t>VÄRMLANDS LÄN</t>
        </is>
      </c>
      <c r="G394" t="inlineStr">
        <is>
          <t>KRISTINEHAMN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56666-2023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46221</v>
      </c>
      <c r="F395" t="inlineStr">
        <is>
          <t>VÄRMLANDS LÄN</t>
        </is>
      </c>
      <c r="G395" t="inlineStr">
        <is>
          <t>KRISTINEHAMN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56667-2023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46221</v>
      </c>
      <c r="F396" t="inlineStr">
        <is>
          <t>VÄRMLANDS LÄN</t>
        </is>
      </c>
      <c r="G396" t="inlineStr">
        <is>
          <t>KRISTINEHAMN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45322</v>
      </c>
      <c r="E397" s="1" t="n">
        <v>46221</v>
      </c>
      <c r="F397" t="inlineStr">
        <is>
          <t>VÄRMLANDS LÄN</t>
        </is>
      </c>
      <c r="G397" t="inlineStr">
        <is>
          <t>KRISTINEHAMN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61988-2023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45266</v>
      </c>
      <c r="E398" s="1" t="n">
        <v>46221</v>
      </c>
      <c r="F398" t="inlineStr">
        <is>
          <t>VÄRMLANDS LÄN</t>
        </is>
      </c>
      <c r="G398" t="inlineStr">
        <is>
          <t>KRISTINEHAMN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8758-2023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44978</v>
      </c>
      <c r="E399" s="1" t="n">
        <v>46221</v>
      </c>
      <c r="F399" t="inlineStr">
        <is>
          <t>VÄRMLANDS LÄN</t>
        </is>
      </c>
      <c r="G399" t="inlineStr">
        <is>
          <t>KRISTINEHAMN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28152-2022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44746</v>
      </c>
      <c r="E400" s="1" t="n">
        <v>46221</v>
      </c>
      <c r="F400" t="inlineStr">
        <is>
          <t>VÄRMLANDS LÄN</t>
        </is>
      </c>
      <c r="G400" t="inlineStr">
        <is>
          <t>KRISTINEHAMN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59862-2024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45639</v>
      </c>
      <c r="E401" s="1" t="n">
        <v>46221</v>
      </c>
      <c r="F401" t="inlineStr">
        <is>
          <t>VÄRMLANDS LÄN</t>
        </is>
      </c>
      <c r="G401" t="inlineStr">
        <is>
          <t>KRISTINEHAMN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23246-2024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45450</v>
      </c>
      <c r="E402" s="1" t="n">
        <v>46221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Kommuner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22896-2023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45072</v>
      </c>
      <c r="E403" s="1" t="n">
        <v>46221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39779-2023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46221</v>
      </c>
      <c r="F404" t="inlineStr">
        <is>
          <t>VÄRMLANDS LÄN</t>
        </is>
      </c>
      <c r="G404" t="inlineStr">
        <is>
          <t>KRISTINEHAMN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8557-2023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44972</v>
      </c>
      <c r="E405" s="1" t="n">
        <v>46221</v>
      </c>
      <c r="F405" t="inlineStr">
        <is>
          <t>VÄRMLANDS LÄN</t>
        </is>
      </c>
      <c r="G405" t="inlineStr">
        <is>
          <t>KRISTINEHAMN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24379-2026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46221</v>
      </c>
      <c r="F406" t="inlineStr">
        <is>
          <t>VÄRMLANDS LÄN</t>
        </is>
      </c>
      <c r="G406" t="inlineStr">
        <is>
          <t>KRISTINEHAMN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24570-2026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46170</v>
      </c>
      <c r="E407" s="1" t="n">
        <v>46221</v>
      </c>
      <c r="F407" t="inlineStr">
        <is>
          <t>VÄRMLANDS LÄN</t>
        </is>
      </c>
      <c r="G407" t="inlineStr">
        <is>
          <t>KRISTINEHAMN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21861-2023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45068</v>
      </c>
      <c r="E408" s="1" t="n">
        <v>46221</v>
      </c>
      <c r="F408" t="inlineStr">
        <is>
          <t>VÄRMLANDS LÄN</t>
        </is>
      </c>
      <c r="G408" t="inlineStr">
        <is>
          <t>KRISTINEHAMN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47466-2023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45202</v>
      </c>
      <c r="E409" s="1" t="n">
        <v>46221</v>
      </c>
      <c r="F409" t="inlineStr">
        <is>
          <t>VÄRMLANDS LÄN</t>
        </is>
      </c>
      <c r="G409" t="inlineStr">
        <is>
          <t>KRISTINEHAMN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15406-2024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45401</v>
      </c>
      <c r="E410" s="1" t="n">
        <v>46221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34891-2023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45141</v>
      </c>
      <c r="E411" s="1" t="n">
        <v>46221</v>
      </c>
      <c r="F411" t="inlineStr">
        <is>
          <t>VÄRMLANDS LÄN</t>
        </is>
      </c>
      <c r="G411" t="inlineStr">
        <is>
          <t>KRISTINEHAMN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24634-2026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46221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56661-2023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46221</v>
      </c>
      <c r="F413" t="inlineStr">
        <is>
          <t>VÄRMLANDS LÄN</t>
        </is>
      </c>
      <c r="G413" t="inlineStr">
        <is>
          <t>KRISTINEHAMN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56664-2023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46221</v>
      </c>
      <c r="F414" t="inlineStr">
        <is>
          <t>VÄRMLANDS LÄN</t>
        </is>
      </c>
      <c r="G414" t="inlineStr">
        <is>
          <t>KRISTINEHAMN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25258-2026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46175</v>
      </c>
      <c r="E415" s="1" t="n">
        <v>46221</v>
      </c>
      <c r="F415" t="inlineStr">
        <is>
          <t>VÄRMLANDS LÄN</t>
        </is>
      </c>
      <c r="G415" t="inlineStr">
        <is>
          <t>KRISTINEHAMN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45315</v>
      </c>
      <c r="E416" s="1" t="n">
        <v>46221</v>
      </c>
      <c r="F416" t="inlineStr">
        <is>
          <t>VÄRMLANDS LÄN</t>
        </is>
      </c>
      <c r="G416" t="inlineStr">
        <is>
          <t>KRISTINEHAMN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56668-2023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46221</v>
      </c>
      <c r="F417" t="inlineStr">
        <is>
          <t>VÄRMLANDS LÄN</t>
        </is>
      </c>
      <c r="G417" t="inlineStr">
        <is>
          <t>KRISTINEHAMN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39778-2023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45167</v>
      </c>
      <c r="E418" s="1" t="n">
        <v>46221</v>
      </c>
      <c r="F418" t="inlineStr">
        <is>
          <t>VÄRMLANDS LÄN</t>
        </is>
      </c>
      <c r="G418" t="inlineStr">
        <is>
          <t>KRISTINEHAMN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4180-2024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45323</v>
      </c>
      <c r="E419" s="1" t="n">
        <v>46221</v>
      </c>
      <c r="F419" t="inlineStr">
        <is>
          <t>VÄRMLANDS LÄN</t>
        </is>
      </c>
      <c r="G419" t="inlineStr">
        <is>
          <t>KRISTINEHAMN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10032-2023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44985</v>
      </c>
      <c r="E420" s="1" t="n">
        <v>46221</v>
      </c>
      <c r="F420" t="inlineStr">
        <is>
          <t>VÄRMLANDS LÄN</t>
        </is>
      </c>
      <c r="G420" t="inlineStr">
        <is>
          <t>KRISTINEHAMN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11020-2023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44991</v>
      </c>
      <c r="E421" s="1" t="n">
        <v>46221</v>
      </c>
      <c r="F421" t="inlineStr">
        <is>
          <t>VÄRMLANDS LÄN</t>
        </is>
      </c>
      <c r="G421" t="inlineStr">
        <is>
          <t>KRISTINEHAMN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58284-2024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45631</v>
      </c>
      <c r="E422" s="1" t="n">
        <v>46221</v>
      </c>
      <c r="F422" t="inlineStr">
        <is>
          <t>VÄRMLANDS LÄN</t>
        </is>
      </c>
      <c r="G422" t="inlineStr">
        <is>
          <t>KRISTINEHAMN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27531-2022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44742</v>
      </c>
      <c r="E423" s="1" t="n">
        <v>46221</v>
      </c>
      <c r="F423" t="inlineStr">
        <is>
          <t>VÄRMLANDS LÄN</t>
        </is>
      </c>
      <c r="G423" t="inlineStr">
        <is>
          <t>KRISTINEHAMN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7695-2025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45705</v>
      </c>
      <c r="E424" s="1" t="n">
        <v>46221</v>
      </c>
      <c r="F424" t="inlineStr">
        <is>
          <t>VÄRMLANDS LÄN</t>
        </is>
      </c>
      <c r="G424" t="inlineStr">
        <is>
          <t>KRISTINEHAMN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13118-2025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46221</v>
      </c>
      <c r="F425" t="inlineStr">
        <is>
          <t>VÄRMLANDS LÄN</t>
        </is>
      </c>
      <c r="G425" t="inlineStr">
        <is>
          <t>KRISTINEHAMN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47465-2023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45202</v>
      </c>
      <c r="E426" s="1" t="n">
        <v>46221</v>
      </c>
      <c r="F426" t="inlineStr">
        <is>
          <t>VÄRMLANDS LÄN</t>
        </is>
      </c>
      <c r="G426" t="inlineStr">
        <is>
          <t>KRISTINEHAMN</t>
        </is>
      </c>
      <c r="I426" t="n">
        <v>10.4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51700-2023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45222</v>
      </c>
      <c r="E427" s="1" t="n">
        <v>46221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Bergvik skog väst AB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12458-2024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45379</v>
      </c>
      <c r="E428" s="1" t="n">
        <v>46221</v>
      </c>
      <c r="F428" t="inlineStr">
        <is>
          <t>VÄRMLANDS LÄN</t>
        </is>
      </c>
      <c r="G428" t="inlineStr">
        <is>
          <t>KRISTINEHAMN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59203-2024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46221</v>
      </c>
      <c r="F429" t="inlineStr">
        <is>
          <t>VÄRMLANDS LÄN</t>
        </is>
      </c>
      <c r="G429" t="inlineStr">
        <is>
          <t>KRISTINEHAMN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45679</v>
      </c>
      <c r="E430" s="1" t="n">
        <v>46221</v>
      </c>
      <c r="F430" t="inlineStr">
        <is>
          <t>VÄRMLANDS LÄN</t>
        </is>
      </c>
      <c r="G430" t="inlineStr">
        <is>
          <t>KRISTINEHAMN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5494-2025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45693</v>
      </c>
      <c r="E431" s="1" t="n">
        <v>46221</v>
      </c>
      <c r="F431" t="inlineStr">
        <is>
          <t>VÄRMLANDS LÄN</t>
        </is>
      </c>
      <c r="G431" t="inlineStr">
        <is>
          <t>KRISTINEHAMN</t>
        </is>
      </c>
      <c r="I431" t="n">
        <v>8.699999999999999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4335-2025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45685</v>
      </c>
      <c r="E432" s="1" t="n">
        <v>46221</v>
      </c>
      <c r="F432" t="inlineStr">
        <is>
          <t>VÄRMLANDS LÄN</t>
        </is>
      </c>
      <c r="G432" t="inlineStr">
        <is>
          <t>KRISTINEHAMN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21602-2025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45783</v>
      </c>
      <c r="E433" s="1" t="n">
        <v>46221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59190-2024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45636</v>
      </c>
      <c r="E434" s="1" t="n">
        <v>46221</v>
      </c>
      <c r="F434" t="inlineStr">
        <is>
          <t>VÄRMLANDS LÄN</t>
        </is>
      </c>
      <c r="G434" t="inlineStr">
        <is>
          <t>KRISTINEHAMN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23502-2025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45792</v>
      </c>
      <c r="E435" s="1" t="n">
        <v>46221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23498-2025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46221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23501-2025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45792</v>
      </c>
      <c r="E437" s="1" t="n">
        <v>46221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23511-2025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45792</v>
      </c>
      <c r="E438" s="1" t="n">
        <v>46221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36774-2022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44805</v>
      </c>
      <c r="E439" s="1" t="n">
        <v>46221</v>
      </c>
      <c r="F439" t="inlineStr">
        <is>
          <t>VÄRMLANDS LÄN</t>
        </is>
      </c>
      <c r="G439" t="inlineStr">
        <is>
          <t>KRISTINEHAMN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23510-2025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45792</v>
      </c>
      <c r="E440" s="1" t="n">
        <v>46221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45686</v>
      </c>
      <c r="E441" s="1" t="n">
        <v>46221</v>
      </c>
      <c r="F441" t="inlineStr">
        <is>
          <t>VÄRMLANDS LÄN</t>
        </is>
      </c>
      <c r="G441" t="inlineStr">
        <is>
          <t>KRISTINEHAMN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65055-2023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45282</v>
      </c>
      <c r="E442" s="1" t="n">
        <v>46221</v>
      </c>
      <c r="F442" t="inlineStr">
        <is>
          <t>VÄRMLANDS LÄN</t>
        </is>
      </c>
      <c r="G442" t="inlineStr">
        <is>
          <t>KRISTINEHAMN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16427-2024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45407</v>
      </c>
      <c r="E443" s="1" t="n">
        <v>46221</v>
      </c>
      <c r="F443" t="inlineStr">
        <is>
          <t>VÄRMLANDS LÄN</t>
        </is>
      </c>
      <c r="G443" t="inlineStr">
        <is>
          <t>KRISTINEHAMN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45674</v>
      </c>
      <c r="E444" s="1" t="n">
        <v>46221</v>
      </c>
      <c r="F444" t="inlineStr">
        <is>
          <t>VÄRMLANDS LÄN</t>
        </is>
      </c>
      <c r="G444" t="inlineStr">
        <is>
          <t>KRISTINEHAMN</t>
        </is>
      </c>
      <c r="I444" t="n">
        <v>9.699999999999999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6609-2025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45700</v>
      </c>
      <c r="E445" s="1" t="n">
        <v>46221</v>
      </c>
      <c r="F445" t="inlineStr">
        <is>
          <t>VÄRMLANDS LÄN</t>
        </is>
      </c>
      <c r="G445" t="inlineStr">
        <is>
          <t>KRISTINEHAMN</t>
        </is>
      </c>
      <c r="I445" t="n">
        <v>11.2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39997-2024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45553</v>
      </c>
      <c r="E446" s="1" t="n">
        <v>46221</v>
      </c>
      <c r="F446" t="inlineStr">
        <is>
          <t>VÄRMLANDS LÄN</t>
        </is>
      </c>
      <c r="G446" t="inlineStr">
        <is>
          <t>KRISTINEHAMN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45012-2024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45575</v>
      </c>
      <c r="E447" s="1" t="n">
        <v>46221</v>
      </c>
      <c r="F447" t="inlineStr">
        <is>
          <t>VÄRMLANDS LÄN</t>
        </is>
      </c>
      <c r="G447" t="inlineStr">
        <is>
          <t>KRISTINEHAMN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24655-2025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45798</v>
      </c>
      <c r="E448" s="1" t="n">
        <v>46221</v>
      </c>
      <c r="F448" t="inlineStr">
        <is>
          <t>VÄRMLANDS LÄN</t>
        </is>
      </c>
      <c r="G448" t="inlineStr">
        <is>
          <t>KRISTINEHAMN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24970-2025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45799</v>
      </c>
      <c r="E449" s="1" t="n">
        <v>46221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25484-2025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45802</v>
      </c>
      <c r="E450" s="1" t="n">
        <v>46221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Naturvårdsverket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46221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1815-2022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44657</v>
      </c>
      <c r="E452" s="1" t="n">
        <v>46221</v>
      </c>
      <c r="F452" t="inlineStr">
        <is>
          <t>VÄRMLANDS LÄN</t>
        </is>
      </c>
      <c r="G452" t="inlineStr">
        <is>
          <t>KRISTINEHAMN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2879-2022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44711</v>
      </c>
      <c r="E453" s="1" t="n">
        <v>46221</v>
      </c>
      <c r="F453" t="inlineStr">
        <is>
          <t>VÄRMLANDS LÄN</t>
        </is>
      </c>
      <c r="G453" t="inlineStr">
        <is>
          <t>KRISTINEHAMN</t>
        </is>
      </c>
      <c r="I453" t="n">
        <v>25.9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2393-2022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44690</v>
      </c>
      <c r="E454" s="1" t="n">
        <v>46221</v>
      </c>
      <c r="F454" t="inlineStr">
        <is>
          <t>VÄRMLANDS LÄN</t>
        </is>
      </c>
      <c r="G454" t="inlineStr">
        <is>
          <t>KRISTINEHAMN</t>
        </is>
      </c>
      <c r="I454" t="n">
        <v>51.7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4147-2023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46221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Naturvårdsverket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4149-2023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46221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9.5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2254-2023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45103</v>
      </c>
      <c r="E457" s="1" t="n">
        <v>46221</v>
      </c>
      <c r="F457" t="inlineStr">
        <is>
          <t>VÄRMLANDS LÄN</t>
        </is>
      </c>
      <c r="G457" t="inlineStr">
        <is>
          <t>KRISTINEHAMN</t>
        </is>
      </c>
      <c r="I457" t="n">
        <v>51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1899-2024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46221</v>
      </c>
      <c r="F458" t="inlineStr">
        <is>
          <t>VÄRMLANDS LÄN</t>
        </is>
      </c>
      <c r="G458" t="inlineStr">
        <is>
          <t>KRISTINEHAMN</t>
        </is>
      </c>
      <c r="I458" t="n">
        <v>21.4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2301-2024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45463</v>
      </c>
      <c r="E459" s="1" t="n">
        <v>46221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28.1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2553-2024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46221</v>
      </c>
      <c r="F460" t="inlineStr">
        <is>
          <t>VÄRMLANDS LÄN</t>
        </is>
      </c>
      <c r="G460" t="inlineStr">
        <is>
          <t>KRISTINEHAMN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3378-2024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46221</v>
      </c>
      <c r="F461" t="inlineStr">
        <is>
          <t>VÄRMLANDS LÄN</t>
        </is>
      </c>
      <c r="G461" t="inlineStr">
        <is>
          <t>KRISTINEHAMN</t>
        </is>
      </c>
      <c r="I461" t="n">
        <v>53.7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46221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46221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46221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46221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46221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46221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46221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46221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46221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46221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46221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46221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46221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46221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2026-07-18T01:24:37Z</dcterms:created>
  <dcterms:modified xmlns:dcterms="http://purl.org/dc/terms/" xmlns:xsi="http://www.w3.org/2001/XMLSchema-instance" xsi:type="dcterms:W3CDTF">2026-07-18T01:24:37Z</dcterms:modified>
</cp:coreProperties>
</file>