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46263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46263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46263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46263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46263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58021-2025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46263</v>
      </c>
      <c r="F22" t="inlineStr">
        <is>
          <t>VÄRMLANDS LÄN</t>
        </is>
      </c>
      <c r="G22" t="inlineStr">
        <is>
          <t>KRISTINEHAMN</t>
        </is>
      </c>
      <c r="I22" t="n">
        <v>4.2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Slåttergubbe</t>
        </is>
      </c>
      <c r="W22">
        <f>HYPERLINK("https://klasma.github.io/Logging_1781/artfynd/A 58021-2025 artfynd.xlsx", "A 58021-2025")</f>
        <v/>
      </c>
      <c r="X22">
        <f>HYPERLINK("https://klasma.github.io/Logging_1781/kartor/A 58021-2025 karta.png", "A 58021-2025")</f>
        <v/>
      </c>
      <c r="Y22">
        <f>HYPERLINK("https://klasma.github.io/Logging_1781/kartor_geotiff/A 58021-2025 georefererad karta.tif", "A 58021-2025")</f>
        <v/>
      </c>
      <c r="AA22">
        <f>HYPERLINK("https://klasma.github.io/Logging_1781/klagomål/A 58021-2025 FSC-klagomål.docx", "A 58021-2025")</f>
        <v/>
      </c>
      <c r="AB22">
        <f>HYPERLINK("https://klasma.github.io/Logging_1781/klagomålsmail/A 58021-2025 FSC-klagomål mail.docx", "A 58021-2025")</f>
        <v/>
      </c>
      <c r="AC22">
        <f>HYPERLINK("https://klasma.github.io/Logging_1781/tillsyn/A 58021-2025 tillsynsbegäran.docx", "A 58021-2025")</f>
        <v/>
      </c>
      <c r="AD22">
        <f>HYPERLINK("https://klasma.github.io/Logging_1781/tillsynsmail/A 58021-2025 tillsynsbegäran mail.docx", "A 58021-2025")</f>
        <v/>
      </c>
    </row>
    <row r="23" ht="15" customHeight="1">
      <c r="A23" t="inlineStr">
        <is>
          <t>A 3302-2022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44584</v>
      </c>
      <c r="E23" s="1" t="n">
        <v>46263</v>
      </c>
      <c r="F23" t="inlineStr">
        <is>
          <t>VÄRMLANDS LÄN</t>
        </is>
      </c>
      <c r="G23" t="inlineStr">
        <is>
          <t>KRISTINEHAMN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3302-2022 artfynd.xlsx", "A 3302-2022")</f>
        <v/>
      </c>
      <c r="X23">
        <f>HYPERLINK("https://klasma.github.io/Logging_1781/kartor/A 3302-2022 karta.png", "A 3302-2022")</f>
        <v/>
      </c>
      <c r="Y23">
        <f>HYPERLINK("https://klasma.github.io/Logging_1781/kartor_geotiff/A 3302-2022 georefererad karta.tif", "A 3302-2022")</f>
        <v/>
      </c>
      <c r="AA23">
        <f>HYPERLINK("https://klasma.github.io/Logging_1781/klagomål/A 3302-2022 FSC-klagomål.docx", "A 3302-2022")</f>
        <v/>
      </c>
      <c r="AB23">
        <f>HYPERLINK("https://klasma.github.io/Logging_1781/klagomålsmail/A 3302-2022 FSC-klagomål mail.docx", "A 3302-2022")</f>
        <v/>
      </c>
      <c r="AC23">
        <f>HYPERLINK("https://klasma.github.io/Logging_1781/tillsyn/A 3302-2022 tillsynsbegäran.docx", "A 3302-2022")</f>
        <v/>
      </c>
      <c r="AD23">
        <f>HYPERLINK("https://klasma.github.io/Logging_1781/tillsynsmail/A 3302-2022 tillsynsbegäran mail.docx", "A 3302-2022")</f>
        <v/>
      </c>
    </row>
    <row r="24" ht="15" customHeight="1">
      <c r="A24" t="inlineStr">
        <is>
          <t>A 28394-2025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46263</v>
      </c>
      <c r="F24" t="inlineStr">
        <is>
          <t>VÄRMLANDS LÄN</t>
        </is>
      </c>
      <c r="G24" t="inlineStr">
        <is>
          <t>KRISTINEHAMN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vårtrattskivling</t>
        </is>
      </c>
      <c r="W24">
        <f>HYPERLINK("https://klasma.github.io/Logging_1781/artfynd/A 28394-2025 artfynd.xlsx", "A 28394-2025")</f>
        <v/>
      </c>
      <c r="X24">
        <f>HYPERLINK("https://klasma.github.io/Logging_1781/kartor/A 28394-2025 karta.png", "A 28394-2025")</f>
        <v/>
      </c>
      <c r="Y24">
        <f>HYPERLINK("https://klasma.github.io/Logging_1781/kartor_geotiff/A 28394-2025 georefererad karta.tif", "A 28394-2025")</f>
        <v/>
      </c>
      <c r="AA24">
        <f>HYPERLINK("https://klasma.github.io/Logging_1781/klagomål/A 28394-2025 FSC-klagomål.docx", "A 28394-2025")</f>
        <v/>
      </c>
      <c r="AB24">
        <f>HYPERLINK("https://klasma.github.io/Logging_1781/klagomålsmail/A 28394-2025 FSC-klagomål mail.docx", "A 28394-2025")</f>
        <v/>
      </c>
      <c r="AC24">
        <f>HYPERLINK("https://klasma.github.io/Logging_1781/tillsyn/A 28394-2025 tillsynsbegäran.docx", "A 28394-2025")</f>
        <v/>
      </c>
      <c r="AD24">
        <f>HYPERLINK("https://klasma.github.io/Logging_1781/tillsynsmail/A 28394-2025 tillsynsbegäran mail.docx", "A 28394-2025")</f>
        <v/>
      </c>
    </row>
    <row r="25" ht="15" customHeight="1">
      <c r="A25" t="inlineStr">
        <is>
          <t>A 61238-2025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46000</v>
      </c>
      <c r="E25" s="1" t="n">
        <v>46263</v>
      </c>
      <c r="F25" t="inlineStr">
        <is>
          <t>VÄRMLANDS LÄN</t>
        </is>
      </c>
      <c r="G25" t="inlineStr">
        <is>
          <t>KRISTINEHAMN</t>
        </is>
      </c>
      <c r="I25" t="n">
        <v>5.8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HYPERLINK("https://klasma.github.io/Logging_1781/artfynd/A 61238-2025 artfynd.xlsx", "A 61238-2025")</f>
        <v/>
      </c>
      <c r="X25">
        <f>HYPERLINK("https://klasma.github.io/Logging_1781/kartor/A 61238-2025 karta.png", "A 61238-2025")</f>
        <v/>
      </c>
      <c r="Y25">
        <f>HYPERLINK("https://klasma.github.io/Logging_1781/kartor_geotiff/A 61238-2025 georefererad karta.tif", "A 61238-2025")</f>
        <v/>
      </c>
      <c r="AA25">
        <f>HYPERLINK("https://klasma.github.io/Logging_1781/klagomål/A 61238-2025 FSC-klagomål.docx", "A 61238-2025")</f>
        <v/>
      </c>
      <c r="AB25">
        <f>HYPERLINK("https://klasma.github.io/Logging_1781/klagomålsmail/A 61238-2025 FSC-klagomål mail.docx", "A 61238-2025")</f>
        <v/>
      </c>
      <c r="AC25">
        <f>HYPERLINK("https://klasma.github.io/Logging_1781/tillsyn/A 61238-2025 tillsynsbegäran.docx", "A 61238-2025")</f>
        <v/>
      </c>
      <c r="AD25">
        <f>HYPERLINK("https://klasma.github.io/Logging_1781/tillsynsmail/A 61238-2025 tillsynsbegäran mail.docx", "A 61238-2025")</f>
        <v/>
      </c>
      <c r="AE25">
        <f>HYPERLINK("https://klasma.github.io/Logging_1781/fåglar/A 61238-2025 prioriterade fågelarter.docx", "A 61238-2025")</f>
        <v/>
      </c>
    </row>
    <row r="26" ht="15" customHeight="1">
      <c r="A26" t="inlineStr">
        <is>
          <t>A 59096-2024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46263</v>
      </c>
      <c r="F26" t="inlineStr">
        <is>
          <t>VÄRMLANDS LÄN</t>
        </is>
      </c>
      <c r="G26" t="inlineStr">
        <is>
          <t>KRISTINEHAMN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Bombmurkla</t>
        </is>
      </c>
      <c r="W26">
        <f>HYPERLINK("https://klasma.github.io/Logging_1781/artfynd/A 59096-2024 artfynd.xlsx", "A 59096-2024")</f>
        <v/>
      </c>
      <c r="X26">
        <f>HYPERLINK("https://klasma.github.io/Logging_1781/kartor/A 59096-2024 karta.png", "A 59096-2024")</f>
        <v/>
      </c>
      <c r="Y26">
        <f>HYPERLINK("https://klasma.github.io/Logging_1781/kartor_geotiff/A 59096-2024 georefererad karta.tif", "A 59096-2024")</f>
        <v/>
      </c>
      <c r="AA26">
        <f>HYPERLINK("https://klasma.github.io/Logging_1781/klagomål/A 59096-2024 FSC-klagomål.docx", "A 59096-2024")</f>
        <v/>
      </c>
      <c r="AB26">
        <f>HYPERLINK("https://klasma.github.io/Logging_1781/klagomålsmail/A 59096-2024 FSC-klagomål mail.docx", "A 59096-2024")</f>
        <v/>
      </c>
      <c r="AC26">
        <f>HYPERLINK("https://klasma.github.io/Logging_1781/tillsyn/A 59096-2024 tillsynsbegäran.docx", "A 59096-2024")</f>
        <v/>
      </c>
      <c r="AD26">
        <f>HYPERLINK("https://klasma.github.io/Logging_1781/tillsynsmail/A 59096-2024 tillsynsbegäran mail.docx", "A 59096-2024")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46263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46263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13025-2023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46263</v>
      </c>
      <c r="F29" t="inlineStr">
        <is>
          <t>VÄRMLANDS LÄN</t>
        </is>
      </c>
      <c r="G29" t="inlineStr">
        <is>
          <t>KRISTINEHAMN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Kamjordstjärna</t>
        </is>
      </c>
      <c r="W29">
        <f>HYPERLINK("https://klasma.github.io/Logging_1781/artfynd/A 13025-2023 artfynd.xlsx", "A 13025-2023")</f>
        <v/>
      </c>
      <c r="X29">
        <f>HYPERLINK("https://klasma.github.io/Logging_1781/kartor/A 13025-2023 karta.png", "A 13025-2023")</f>
        <v/>
      </c>
      <c r="Y29">
        <f>HYPERLINK("https://klasma.github.io/Logging_1781/kartor_geotiff/A 13025-2023 georefererad karta.tif", "A 13025-2023")</f>
        <v/>
      </c>
      <c r="AA29">
        <f>HYPERLINK("https://klasma.github.io/Logging_1781/klagomål/A 13025-2023 FSC-klagomål.docx", "A 13025-2023")</f>
        <v/>
      </c>
      <c r="AB29">
        <f>HYPERLINK("https://klasma.github.io/Logging_1781/klagomålsmail/A 13025-2023 FSC-klagomål mail.docx", "A 13025-2023")</f>
        <v/>
      </c>
      <c r="AC29">
        <f>HYPERLINK("https://klasma.github.io/Logging_1781/tillsyn/A 13025-2023 tillsynsbegäran.docx", "A 13025-2023")</f>
        <v/>
      </c>
      <c r="AD29">
        <f>HYPERLINK("https://klasma.github.io/Logging_1781/tillsynsmail/A 13025-2023 tillsynsbegäran mail.docx", "A 13025-2023")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46263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46263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8714-2024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46263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Bombmurkla</t>
        </is>
      </c>
      <c r="W32">
        <f>HYPERLINK("https://klasma.github.io/Logging_1781/artfynd/A 8714-2024 artfynd.xlsx", "A 8714-2024")</f>
        <v/>
      </c>
      <c r="X32">
        <f>HYPERLINK("https://klasma.github.io/Logging_1781/kartor/A 8714-2024 karta.png", "A 8714-2024")</f>
        <v/>
      </c>
      <c r="Y32">
        <f>HYPERLINK("https://klasma.github.io/Logging_1781/kartor_geotiff/A 8714-2024 georefererad karta.tif", "A 8714-2024")</f>
        <v/>
      </c>
      <c r="AA32">
        <f>HYPERLINK("https://klasma.github.io/Logging_1781/klagomål/A 8714-2024 FSC-klagomål.docx", "A 8714-2024")</f>
        <v/>
      </c>
      <c r="AB32">
        <f>HYPERLINK("https://klasma.github.io/Logging_1781/klagomålsmail/A 8714-2024 FSC-klagomål mail.docx", "A 8714-2024")</f>
        <v/>
      </c>
      <c r="AC32">
        <f>HYPERLINK("https://klasma.github.io/Logging_1781/tillsyn/A 8714-2024 tillsynsbegäran.docx", "A 8714-2024")</f>
        <v/>
      </c>
      <c r="AD32">
        <f>HYPERLINK("https://klasma.github.io/Logging_1781/tillsynsmail/A 8714-2024 tillsynsbegäran mail.docx", "A 8714-2024")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46263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46263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46263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46263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46263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46263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46263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46263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46263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46263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46263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46263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46263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46263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46263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46263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46263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46263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46263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46263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46263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46263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46263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46263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46263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46263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46263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46263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46263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46263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46263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46263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46263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46263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46263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46263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46263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46263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46263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46263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46263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46263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46263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46263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46263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46263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46263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46263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46263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46263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46263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46263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46263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46263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46263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46263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46263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46263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46263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46263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46263</v>
      </c>
      <c r="F93" t="inlineStr">
        <is>
          <t>VÄRMLANDS LÄN</t>
        </is>
      </c>
      <c r="G93" t="inlineStr">
        <is>
          <t>KRISTINEHAMN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44742</v>
      </c>
      <c r="E94" s="1" t="n">
        <v>46263</v>
      </c>
      <c r="F94" t="inlineStr">
        <is>
          <t>VÄRMLANDS LÄN</t>
        </is>
      </c>
      <c r="G94" t="inlineStr">
        <is>
          <t>KRISTINEHAMN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45202</v>
      </c>
      <c r="E95" s="1" t="n">
        <v>46263</v>
      </c>
      <c r="F95" t="inlineStr">
        <is>
          <t>VÄRMLANDS LÄN</t>
        </is>
      </c>
      <c r="G95" t="inlineStr">
        <is>
          <t>KRISTINEHAMN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46263</v>
      </c>
      <c r="F96" t="inlineStr">
        <is>
          <t>VÄRMLANDS LÄN</t>
        </is>
      </c>
      <c r="G96" t="inlineStr">
        <is>
          <t>KRISTINEHAMN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46263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46263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44770</v>
      </c>
      <c r="E99" s="1" t="n">
        <v>46263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46263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Naturvårdsverket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45095</v>
      </c>
      <c r="E101" s="1" t="n">
        <v>46263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46263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46263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21602-2025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45783</v>
      </c>
      <c r="E104" s="1" t="n">
        <v>46263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46263</v>
      </c>
      <c r="F105" t="inlineStr">
        <is>
          <t>VÄRMLANDS LÄN</t>
        </is>
      </c>
      <c r="G105" t="inlineStr">
        <is>
          <t>KRISTINEHAMN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65050-2023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46263</v>
      </c>
      <c r="F106" t="inlineStr">
        <is>
          <t>VÄRMLANDS LÄN</t>
        </is>
      </c>
      <c r="G106" t="inlineStr">
        <is>
          <t>KRISTINEHAMN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46263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45959</v>
      </c>
      <c r="E108" s="1" t="n">
        <v>46263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Naturvårdsverket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45959</v>
      </c>
      <c r="E109" s="1" t="n">
        <v>46263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Naturvårdsverket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45961</v>
      </c>
      <c r="E110" s="1" t="n">
        <v>46263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Naturvårdsverket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46263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46263</v>
      </c>
      <c r="F112" t="inlineStr">
        <is>
          <t>VÄRMLANDS LÄN</t>
        </is>
      </c>
      <c r="G112" t="inlineStr">
        <is>
          <t>KRISTINEHAMN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46263</v>
      </c>
      <c r="F113" t="inlineStr">
        <is>
          <t>VÄRMLANDS LÄN</t>
        </is>
      </c>
      <c r="G113" t="inlineStr">
        <is>
          <t>KRISTINEHAMN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46263</v>
      </c>
      <c r="F114" t="inlineStr">
        <is>
          <t>VÄRMLANDS LÄN</t>
        </is>
      </c>
      <c r="G114" t="inlineStr">
        <is>
          <t>KRISTINEHAMN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55003-2021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44474</v>
      </c>
      <c r="E115" s="1" t="n">
        <v>46263</v>
      </c>
      <c r="F115" t="inlineStr">
        <is>
          <t>VÄRMLANDS LÄN</t>
        </is>
      </c>
      <c r="G115" t="inlineStr">
        <is>
          <t>KRISTINEHAMN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45477</v>
      </c>
      <c r="E116" s="1" t="n">
        <v>46263</v>
      </c>
      <c r="F116" t="inlineStr">
        <is>
          <t>VÄRMLANDS LÄN</t>
        </is>
      </c>
      <c r="G116" t="inlineStr">
        <is>
          <t>KRISTINEHAMN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46263</v>
      </c>
      <c r="F117" t="inlineStr">
        <is>
          <t>VÄRMLANDS LÄN</t>
        </is>
      </c>
      <c r="G117" t="inlineStr">
        <is>
          <t>KRISTINEHAMN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45792</v>
      </c>
      <c r="E118" s="1" t="n">
        <v>46263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46263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45792</v>
      </c>
      <c r="E120" s="1" t="n">
        <v>46263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46263</v>
      </c>
      <c r="F121" t="inlineStr">
        <is>
          <t>VÄRMLANDS LÄN</t>
        </is>
      </c>
      <c r="G121" t="inlineStr">
        <is>
          <t>KRISTINEHAMN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44883</v>
      </c>
      <c r="E122" s="1" t="n">
        <v>46263</v>
      </c>
      <c r="F122" t="inlineStr">
        <is>
          <t>VÄRMLANDS LÄN</t>
        </is>
      </c>
      <c r="G122" t="inlineStr">
        <is>
          <t>KRISTINEHAMN</t>
        </is>
      </c>
      <c r="I122" t="n">
        <v>11.1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45792</v>
      </c>
      <c r="E123" s="1" t="n">
        <v>46263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46263</v>
      </c>
      <c r="F124" t="inlineStr">
        <is>
          <t>VÄRMLANDS LÄN</t>
        </is>
      </c>
      <c r="G124" t="inlineStr">
        <is>
          <t>KRISTINEHAMN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56315-2025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45974</v>
      </c>
      <c r="E125" s="1" t="n">
        <v>46263</v>
      </c>
      <c r="F125" t="inlineStr">
        <is>
          <t>VÄRMLANDS LÄN</t>
        </is>
      </c>
      <c r="G125" t="inlineStr">
        <is>
          <t>KRISTINEHAMN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45902</v>
      </c>
      <c r="E126" s="1" t="n">
        <v>46263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44941</v>
      </c>
      <c r="E127" s="1" t="n">
        <v>46263</v>
      </c>
      <c r="F127" t="inlineStr">
        <is>
          <t>VÄRMLANDS LÄN</t>
        </is>
      </c>
      <c r="G127" t="inlineStr">
        <is>
          <t>KRISTINEHAMN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46263</v>
      </c>
      <c r="F128" t="inlineStr">
        <is>
          <t>VÄRMLANDS LÄN</t>
        </is>
      </c>
      <c r="G128" t="inlineStr">
        <is>
          <t>KRISTINEHAMN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46263</v>
      </c>
      <c r="F129" t="inlineStr">
        <is>
          <t>VÄRMLANDS LÄN</t>
        </is>
      </c>
      <c r="G129" t="inlineStr">
        <is>
          <t>KRISTINEHAMN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46263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46263</v>
      </c>
      <c r="F131" t="inlineStr">
        <is>
          <t>VÄRMLANDS LÄN</t>
        </is>
      </c>
      <c r="G131" t="inlineStr">
        <is>
          <t>KRISTINEHAMN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45513</v>
      </c>
      <c r="E132" s="1" t="n">
        <v>46263</v>
      </c>
      <c r="F132" t="inlineStr">
        <is>
          <t>VÄRMLANDS LÄN</t>
        </is>
      </c>
      <c r="G132" t="inlineStr">
        <is>
          <t>KRISTINEHAMN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46263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46263</v>
      </c>
      <c r="F134" t="inlineStr">
        <is>
          <t>VÄRMLANDS LÄN</t>
        </is>
      </c>
      <c r="G134" t="inlineStr">
        <is>
          <t>KRISTINEHAMN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46263</v>
      </c>
      <c r="F135" t="inlineStr">
        <is>
          <t>VÄRMLANDS LÄN</t>
        </is>
      </c>
      <c r="G135" t="inlineStr">
        <is>
          <t>KRISTINEHAMN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45674</v>
      </c>
      <c r="E136" s="1" t="n">
        <v>46263</v>
      </c>
      <c r="F136" t="inlineStr">
        <is>
          <t>VÄRMLANDS LÄN</t>
        </is>
      </c>
      <c r="G136" t="inlineStr">
        <is>
          <t>KRISTINEHAMN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46263</v>
      </c>
      <c r="F137" t="inlineStr">
        <is>
          <t>VÄRMLANDS LÄN</t>
        </is>
      </c>
      <c r="G137" t="inlineStr">
        <is>
          <t>KRISTINEHAMN</t>
        </is>
      </c>
      <c r="I137" t="n">
        <v>11.2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46263</v>
      </c>
      <c r="F138" t="inlineStr">
        <is>
          <t>VÄRMLANDS LÄN</t>
        </is>
      </c>
      <c r="G138" t="inlineStr">
        <is>
          <t>KRISTINEHAMN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46263</v>
      </c>
      <c r="F139" t="inlineStr">
        <is>
          <t>VÄRMLANDS LÄN</t>
        </is>
      </c>
      <c r="G139" t="inlineStr">
        <is>
          <t>KRISTINEHAMN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46263</v>
      </c>
      <c r="F140" t="inlineStr">
        <is>
          <t>VÄRMLANDS LÄN</t>
        </is>
      </c>
      <c r="G140" t="inlineStr">
        <is>
          <t>KRISTINEHAMN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46263</v>
      </c>
      <c r="F141" t="inlineStr">
        <is>
          <t>VÄRMLANDS LÄN</t>
        </is>
      </c>
      <c r="G141" t="inlineStr">
        <is>
          <t>KRISTINEHAMN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46263</v>
      </c>
      <c r="F142" t="inlineStr">
        <is>
          <t>VÄRMLANDS LÄN</t>
        </is>
      </c>
      <c r="G142" t="inlineStr">
        <is>
          <t>KRISTINEHAMN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46263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44918</v>
      </c>
      <c r="E144" s="1" t="n">
        <v>46263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Kommuner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46263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Naturvårdsverket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46263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46263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46263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46263</v>
      </c>
      <c r="F149" t="inlineStr">
        <is>
          <t>VÄRMLANDS LÄN</t>
        </is>
      </c>
      <c r="G149" t="inlineStr">
        <is>
          <t>KRISTINEHAMN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46263</v>
      </c>
      <c r="F150" t="inlineStr">
        <is>
          <t>VÄRMLANDS LÄN</t>
        </is>
      </c>
      <c r="G150" t="inlineStr">
        <is>
          <t>KRISTINEHAMN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45366</v>
      </c>
      <c r="E151" s="1" t="n">
        <v>46263</v>
      </c>
      <c r="F151" t="inlineStr">
        <is>
          <t>VÄRMLANDS LÄN</t>
        </is>
      </c>
      <c r="G151" t="inlineStr">
        <is>
          <t>KRISTINEHAMN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46263</v>
      </c>
      <c r="F152" t="inlineStr">
        <is>
          <t>VÄRMLANDS LÄN</t>
        </is>
      </c>
      <c r="G152" t="inlineStr">
        <is>
          <t>KRISTINEHAMN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45121</v>
      </c>
      <c r="E153" s="1" t="n">
        <v>46263</v>
      </c>
      <c r="F153" t="inlineStr">
        <is>
          <t>VÄRMLANDS LÄN</t>
        </is>
      </c>
      <c r="G153" t="inlineStr">
        <is>
          <t>KRISTINEHAMN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46263</v>
      </c>
      <c r="F154" t="inlineStr">
        <is>
          <t>VÄRMLANDS LÄN</t>
        </is>
      </c>
      <c r="G154" t="inlineStr">
        <is>
          <t>KRISTINEHAMN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44490</v>
      </c>
      <c r="E155" s="1" t="n">
        <v>46263</v>
      </c>
      <c r="F155" t="inlineStr">
        <is>
          <t>VÄRMLANDS LÄN</t>
        </is>
      </c>
      <c r="G155" t="inlineStr">
        <is>
          <t>KRISTINEHAMN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46263</v>
      </c>
      <c r="F156" t="inlineStr">
        <is>
          <t>VÄRMLANDS LÄN</t>
        </is>
      </c>
      <c r="G156" t="inlineStr">
        <is>
          <t>KRISTINEHAMN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46263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46263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46263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46263</v>
      </c>
      <c r="F160" t="inlineStr">
        <is>
          <t>VÄRMLANDS LÄN</t>
        </is>
      </c>
      <c r="G160" t="inlineStr">
        <is>
          <t>KRISTINEHAMN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48416-2021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44452</v>
      </c>
      <c r="E161" s="1" t="n">
        <v>46263</v>
      </c>
      <c r="F161" t="inlineStr">
        <is>
          <t>VÄRMLANDS LÄN</t>
        </is>
      </c>
      <c r="G161" t="inlineStr">
        <is>
          <t>KRISTINEHAMN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46263</v>
      </c>
      <c r="F162" t="inlineStr">
        <is>
          <t>VÄRMLANDS LÄN</t>
        </is>
      </c>
      <c r="G162" t="inlineStr">
        <is>
          <t>KRISTINEHAMN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45944</v>
      </c>
      <c r="E163" s="1" t="n">
        <v>46263</v>
      </c>
      <c r="F163" t="inlineStr">
        <is>
          <t>VÄRMLANDS LÄN</t>
        </is>
      </c>
      <c r="G163" t="inlineStr">
        <is>
          <t>KRISTINEHAMN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45995</v>
      </c>
      <c r="E164" s="1" t="n">
        <v>46263</v>
      </c>
      <c r="F164" t="inlineStr">
        <is>
          <t>VÄRMLANDS LÄN</t>
        </is>
      </c>
      <c r="G164" t="inlineStr">
        <is>
          <t>KRISTINEHAMN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44677</v>
      </c>
      <c r="E165" s="1" t="n">
        <v>46263</v>
      </c>
      <c r="F165" t="inlineStr">
        <is>
          <t>VÄRMLANDS LÄN</t>
        </is>
      </c>
      <c r="G165" t="inlineStr">
        <is>
          <t>KRISTINEHAMN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46263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45995</v>
      </c>
      <c r="E167" s="1" t="n">
        <v>46263</v>
      </c>
      <c r="F167" t="inlineStr">
        <is>
          <t>VÄRMLANDS LÄN</t>
        </is>
      </c>
      <c r="G167" t="inlineStr">
        <is>
          <t>KRISTINEHAMN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46263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46263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46263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46263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Bergvik skog väst AB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46263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Bergvik skog väst AB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46263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45364</v>
      </c>
      <c r="E174" s="1" t="n">
        <v>46263</v>
      </c>
      <c r="F174" t="inlineStr">
        <is>
          <t>VÄRMLANDS LÄN</t>
        </is>
      </c>
      <c r="G174" t="inlineStr">
        <is>
          <t>KRISTINEHAMN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46263</v>
      </c>
      <c r="F175" t="inlineStr">
        <is>
          <t>VÄRMLANDS LÄN</t>
        </is>
      </c>
      <c r="G175" t="inlineStr">
        <is>
          <t>KRISTINEHAMN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46263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45385</v>
      </c>
      <c r="E177" s="1" t="n">
        <v>46263</v>
      </c>
      <c r="F177" t="inlineStr">
        <is>
          <t>VÄRMLANDS LÄN</t>
        </is>
      </c>
      <c r="G177" t="inlineStr">
        <is>
          <t>KRISTINEHAMN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46263</v>
      </c>
      <c r="F178" t="inlineStr">
        <is>
          <t>VÄRMLANDS LÄN</t>
        </is>
      </c>
      <c r="G178" t="inlineStr">
        <is>
          <t>KRISTINEHAMN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46263</v>
      </c>
      <c r="F179" t="inlineStr">
        <is>
          <t>VÄRMLANDS LÄN</t>
        </is>
      </c>
      <c r="G179" t="inlineStr">
        <is>
          <t>KRISTINEHAMN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45379</v>
      </c>
      <c r="E180" s="1" t="n">
        <v>46263</v>
      </c>
      <c r="F180" t="inlineStr">
        <is>
          <t>VÄRMLANDS LÄN</t>
        </is>
      </c>
      <c r="G180" t="inlineStr">
        <is>
          <t>KRISTINEHAMN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45364</v>
      </c>
      <c r="E181" s="1" t="n">
        <v>46263</v>
      </c>
      <c r="F181" t="inlineStr">
        <is>
          <t>VÄRMLANDS LÄN</t>
        </is>
      </c>
      <c r="G181" t="inlineStr">
        <is>
          <t>KRISTINEHAMN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46263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46263</v>
      </c>
      <c r="F183" t="inlineStr">
        <is>
          <t>VÄRMLANDS LÄN</t>
        </is>
      </c>
      <c r="G183" t="inlineStr">
        <is>
          <t>KRISTINEHAMN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46263</v>
      </c>
      <c r="F184" t="inlineStr">
        <is>
          <t>VÄRMLANDS LÄN</t>
        </is>
      </c>
      <c r="G184" t="inlineStr">
        <is>
          <t>KRISTINEHAMN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46263</v>
      </c>
      <c r="F185" t="inlineStr">
        <is>
          <t>VÄRMLANDS LÄN</t>
        </is>
      </c>
      <c r="G185" t="inlineStr">
        <is>
          <t>KRISTINEHAMN</t>
        </is>
      </c>
      <c r="I185" t="n">
        <v>20.1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46263</v>
      </c>
      <c r="F186" t="inlineStr">
        <is>
          <t>VÄRMLANDS LÄN</t>
        </is>
      </c>
      <c r="G186" t="inlineStr">
        <is>
          <t>KRISTINEHAMN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46263</v>
      </c>
      <c r="F187" t="inlineStr">
        <is>
          <t>VÄRMLANDS LÄN</t>
        </is>
      </c>
      <c r="G187" t="inlineStr">
        <is>
          <t>KRISTINEHAMN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45625</v>
      </c>
      <c r="E188" s="1" t="n">
        <v>46263</v>
      </c>
      <c r="F188" t="inlineStr">
        <is>
          <t>VÄRMLANDS LÄN</t>
        </is>
      </c>
      <c r="G188" t="inlineStr">
        <is>
          <t>KRISTINEHAMN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45664</v>
      </c>
      <c r="E189" s="1" t="n">
        <v>46263</v>
      </c>
      <c r="F189" t="inlineStr">
        <is>
          <t>VÄRMLANDS LÄN</t>
        </is>
      </c>
      <c r="G189" t="inlineStr">
        <is>
          <t>KRISTINEHAMN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46263</v>
      </c>
      <c r="F190" t="inlineStr">
        <is>
          <t>VÄRMLANDS LÄN</t>
        </is>
      </c>
      <c r="G190" t="inlineStr">
        <is>
          <t>KRISTINEHAMN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12319-2022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44637</v>
      </c>
      <c r="E191" s="1" t="n">
        <v>46263</v>
      </c>
      <c r="F191" t="inlineStr">
        <is>
          <t>VÄRMLANDS LÄN</t>
        </is>
      </c>
      <c r="G191" t="inlineStr">
        <is>
          <t>KRISTINEHAMN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46263</v>
      </c>
      <c r="F192" t="inlineStr">
        <is>
          <t>VÄRMLANDS LÄN</t>
        </is>
      </c>
      <c r="G192" t="inlineStr">
        <is>
          <t>KRISTINEHAMN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46263</v>
      </c>
      <c r="F193" t="inlineStr">
        <is>
          <t>VÄRMLANDS LÄN</t>
        </is>
      </c>
      <c r="G193" t="inlineStr">
        <is>
          <t>KRISTINEHAMN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46263</v>
      </c>
      <c r="F194" t="inlineStr">
        <is>
          <t>VÄRMLANDS LÄN</t>
        </is>
      </c>
      <c r="G194" t="inlineStr">
        <is>
          <t>KRISTINEHAMN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46263</v>
      </c>
      <c r="F195" t="inlineStr">
        <is>
          <t>VÄRMLANDS LÄN</t>
        </is>
      </c>
      <c r="G195" t="inlineStr">
        <is>
          <t>KRISTINEHAMN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46263</v>
      </c>
      <c r="F196" t="inlineStr">
        <is>
          <t>VÄRMLANDS LÄN</t>
        </is>
      </c>
      <c r="G196" t="inlineStr">
        <is>
          <t>KRISTINEHAMN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46263</v>
      </c>
      <c r="F197" t="inlineStr">
        <is>
          <t>VÄRMLANDS LÄN</t>
        </is>
      </c>
      <c r="G197" t="inlineStr">
        <is>
          <t>KRISTINEHAMN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46263</v>
      </c>
      <c r="F198" t="inlineStr">
        <is>
          <t>VÄRMLANDS LÄN</t>
        </is>
      </c>
      <c r="G198" t="inlineStr">
        <is>
          <t>KRISTINEHAMN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52750-2021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46263</v>
      </c>
      <c r="F199" t="inlineStr">
        <is>
          <t>VÄRMLANDS LÄN</t>
        </is>
      </c>
      <c r="G199" t="inlineStr">
        <is>
          <t>KRISTINEHAMN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46263</v>
      </c>
      <c r="F200" t="inlineStr">
        <is>
          <t>VÄRMLANDS LÄN</t>
        </is>
      </c>
      <c r="G200" t="inlineStr">
        <is>
          <t>KRISTINEHAMN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44753</v>
      </c>
      <c r="E201" s="1" t="n">
        <v>46263</v>
      </c>
      <c r="F201" t="inlineStr">
        <is>
          <t>VÄRMLANDS LÄN</t>
        </is>
      </c>
      <c r="G201" t="inlineStr">
        <is>
          <t>KRISTINEHAMN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45361</v>
      </c>
      <c r="E202" s="1" t="n">
        <v>46263</v>
      </c>
      <c r="F202" t="inlineStr">
        <is>
          <t>VÄRMLANDS LÄN</t>
        </is>
      </c>
      <c r="G202" t="inlineStr">
        <is>
          <t>KRISTINEHAMN</t>
        </is>
      </c>
      <c r="I202" t="n">
        <v>8.9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46263</v>
      </c>
      <c r="F203" t="inlineStr">
        <is>
          <t>VÄRMLANDS LÄN</t>
        </is>
      </c>
      <c r="G203" t="inlineStr">
        <is>
          <t>KRISTINEHAMN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46263</v>
      </c>
      <c r="F204" t="inlineStr">
        <is>
          <t>VÄRMLANDS LÄN</t>
        </is>
      </c>
      <c r="G204" t="inlineStr">
        <is>
          <t>KRISTINEHAMN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45876</v>
      </c>
      <c r="E205" s="1" t="n">
        <v>46263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45876</v>
      </c>
      <c r="E206" s="1" t="n">
        <v>46263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44441</v>
      </c>
      <c r="E207" s="1" t="n">
        <v>46263</v>
      </c>
      <c r="F207" t="inlineStr">
        <is>
          <t>VÄRMLANDS LÄN</t>
        </is>
      </c>
      <c r="G207" t="inlineStr">
        <is>
          <t>KRISTINEHAMN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45118</v>
      </c>
      <c r="E208" s="1" t="n">
        <v>46263</v>
      </c>
      <c r="F208" t="inlineStr">
        <is>
          <t>VÄRMLANDS LÄN</t>
        </is>
      </c>
      <c r="G208" t="inlineStr">
        <is>
          <t>KRISTINEHAMN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46263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44712</v>
      </c>
      <c r="E210" s="1" t="n">
        <v>46263</v>
      </c>
      <c r="F210" t="inlineStr">
        <is>
          <t>VÄRMLANDS LÄN</t>
        </is>
      </c>
      <c r="G210" t="inlineStr">
        <is>
          <t>KRISTINEHAMN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44497</v>
      </c>
      <c r="E211" s="1" t="n">
        <v>46263</v>
      </c>
      <c r="F211" t="inlineStr">
        <is>
          <t>VÄRMLANDS LÄN</t>
        </is>
      </c>
      <c r="G211" t="inlineStr">
        <is>
          <t>KRISTINEHAMN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45662</v>
      </c>
      <c r="E212" s="1" t="n">
        <v>46263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44924</v>
      </c>
      <c r="E213" s="1" t="n">
        <v>46263</v>
      </c>
      <c r="F213" t="inlineStr">
        <is>
          <t>VÄRMLANDS LÄN</t>
        </is>
      </c>
      <c r="G213" t="inlineStr">
        <is>
          <t>KRISTINEHAMN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46263</v>
      </c>
      <c r="F214" t="inlineStr">
        <is>
          <t>VÄRMLANDS LÄN</t>
        </is>
      </c>
      <c r="G214" t="inlineStr">
        <is>
          <t>KRISTINEHAMN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32161-2023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46263</v>
      </c>
      <c r="F215" t="inlineStr">
        <is>
          <t>VÄRMLANDS LÄN</t>
        </is>
      </c>
      <c r="G215" t="inlineStr">
        <is>
          <t>KRISTINEHAMN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46263</v>
      </c>
      <c r="F216" t="inlineStr">
        <is>
          <t>VÄRMLANDS LÄN</t>
        </is>
      </c>
      <c r="G216" t="inlineStr">
        <is>
          <t>KRISTINEHAMN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46263</v>
      </c>
      <c r="F217" t="inlineStr">
        <is>
          <t>VÄRMLANDS LÄN</t>
        </is>
      </c>
      <c r="G217" t="inlineStr">
        <is>
          <t>KRISTINEHAMN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46263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46263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63016-2025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46263</v>
      </c>
      <c r="F220" t="inlineStr">
        <is>
          <t>VÄRMLANDS LÄN</t>
        </is>
      </c>
      <c r="G220" t="inlineStr">
        <is>
          <t>KRISTINEHAMN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45666</v>
      </c>
      <c r="E221" s="1" t="n">
        <v>46263</v>
      </c>
      <c r="F221" t="inlineStr">
        <is>
          <t>VÄRMLANDS LÄN</t>
        </is>
      </c>
      <c r="G221" t="inlineStr">
        <is>
          <t>KRISTINEHAMN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46263</v>
      </c>
      <c r="F222" t="inlineStr">
        <is>
          <t>VÄRMLANDS LÄN</t>
        </is>
      </c>
      <c r="G222" t="inlineStr">
        <is>
          <t>KRISTINEHAMN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46263</v>
      </c>
      <c r="F223" t="inlineStr">
        <is>
          <t>VÄRMLANDS LÄN</t>
        </is>
      </c>
      <c r="G223" t="inlineStr">
        <is>
          <t>KRISTINEHAMN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46263</v>
      </c>
      <c r="F224" t="inlineStr">
        <is>
          <t>VÄRMLANDS LÄN</t>
        </is>
      </c>
      <c r="G224" t="inlineStr">
        <is>
          <t>KRISTINEHAMN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46009</v>
      </c>
      <c r="E225" s="1" t="n">
        <v>46263</v>
      </c>
      <c r="F225" t="inlineStr">
        <is>
          <t>VÄRMLANDS LÄN</t>
        </is>
      </c>
      <c r="G225" t="inlineStr">
        <is>
          <t>KRISTINEHAMN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45647</v>
      </c>
      <c r="E226" s="1" t="n">
        <v>46263</v>
      </c>
      <c r="F226" t="inlineStr">
        <is>
          <t>VÄRMLANDS LÄN</t>
        </is>
      </c>
      <c r="G226" t="inlineStr">
        <is>
          <t>KRISTINEHAMN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54606-2021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44473</v>
      </c>
      <c r="E227" s="1" t="n">
        <v>46263</v>
      </c>
      <c r="F227" t="inlineStr">
        <is>
          <t>VÄRMLANDS LÄN</t>
        </is>
      </c>
      <c r="G227" t="inlineStr">
        <is>
          <t>KRISTINEHAMN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13021-2023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46263</v>
      </c>
      <c r="F228" t="inlineStr">
        <is>
          <t>VÄRMLANDS LÄN</t>
        </is>
      </c>
      <c r="G228" t="inlineStr">
        <is>
          <t>KRISTINEHAMN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45176</v>
      </c>
      <c r="E229" s="1" t="n">
        <v>46263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45686</v>
      </c>
      <c r="E230" s="1" t="n">
        <v>46263</v>
      </c>
      <c r="F230" t="inlineStr">
        <is>
          <t>VÄRMLANDS LÄN</t>
        </is>
      </c>
      <c r="G230" t="inlineStr">
        <is>
          <t>KRISTINEHAMN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46263</v>
      </c>
      <c r="F231" t="inlineStr">
        <is>
          <t>VÄRMLANDS LÄN</t>
        </is>
      </c>
      <c r="G231" t="inlineStr">
        <is>
          <t>KRISTINEHAMN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70126-2021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44533</v>
      </c>
      <c r="E232" s="1" t="n">
        <v>46263</v>
      </c>
      <c r="F232" t="inlineStr">
        <is>
          <t>VÄRMLANDS LÄN</t>
        </is>
      </c>
      <c r="G232" t="inlineStr">
        <is>
          <t>KRISTINEHAMN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62495-2022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46263</v>
      </c>
      <c r="F233" t="inlineStr">
        <is>
          <t>VÄRMLANDS LÄN</t>
        </is>
      </c>
      <c r="G233" t="inlineStr">
        <is>
          <t>KRISTINEHAMN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46263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46263</v>
      </c>
      <c r="F235" t="inlineStr">
        <is>
          <t>VÄRMLANDS LÄN</t>
        </is>
      </c>
      <c r="G235" t="inlineStr">
        <is>
          <t>KRISTINEHAMN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46263</v>
      </c>
      <c r="F236" t="inlineStr">
        <is>
          <t>VÄRMLANDS LÄN</t>
        </is>
      </c>
      <c r="G236" t="inlineStr">
        <is>
          <t>KRISTINEHAMN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46263</v>
      </c>
      <c r="F237" t="inlineStr">
        <is>
          <t>VÄRMLANDS LÄN</t>
        </is>
      </c>
      <c r="G237" t="inlineStr">
        <is>
          <t>KRISTINEHAMN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49335-2021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44454</v>
      </c>
      <c r="E238" s="1" t="n">
        <v>46263</v>
      </c>
      <c r="F238" t="inlineStr">
        <is>
          <t>VÄRMLANDS LÄN</t>
        </is>
      </c>
      <c r="G238" t="inlineStr">
        <is>
          <t>KRISTINEHAMN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46263</v>
      </c>
      <c r="F239" t="inlineStr">
        <is>
          <t>VÄRMLANDS LÄN</t>
        </is>
      </c>
      <c r="G239" t="inlineStr">
        <is>
          <t>KRISTINEHAMN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54552-2023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46263</v>
      </c>
      <c r="F240" t="inlineStr">
        <is>
          <t>VÄRMLANDS LÄN</t>
        </is>
      </c>
      <c r="G240" t="inlineStr">
        <is>
          <t>KRISTINEHAMN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54603-2021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46263</v>
      </c>
      <c r="F241" t="inlineStr">
        <is>
          <t>VÄRMLANDS LÄN</t>
        </is>
      </c>
      <c r="G241" t="inlineStr">
        <is>
          <t>KRISTINEHAMN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45076</v>
      </c>
      <c r="E242" s="1" t="n">
        <v>46263</v>
      </c>
      <c r="F242" t="inlineStr">
        <is>
          <t>VÄRMLANDS LÄN</t>
        </is>
      </c>
      <c r="G242" t="inlineStr">
        <is>
          <t>KRISTINEHAMN</t>
        </is>
      </c>
      <c r="I242" t="n">
        <v>15.9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46034</v>
      </c>
      <c r="E243" s="1" t="n">
        <v>46263</v>
      </c>
      <c r="F243" t="inlineStr">
        <is>
          <t>VÄRMLANDS LÄN</t>
        </is>
      </c>
      <c r="G243" t="inlineStr">
        <is>
          <t>KRISTINEHAMN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46263</v>
      </c>
      <c r="F244" t="inlineStr">
        <is>
          <t>VÄRMLANDS LÄN</t>
        </is>
      </c>
      <c r="G244" t="inlineStr">
        <is>
          <t>KRISTINEHAMN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46263</v>
      </c>
      <c r="F245" t="inlineStr">
        <is>
          <t>VÄRMLANDS LÄN</t>
        </is>
      </c>
      <c r="G245" t="inlineStr">
        <is>
          <t>KRISTINEHAMN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46263</v>
      </c>
      <c r="F246" t="inlineStr">
        <is>
          <t>VÄRMLANDS LÄN</t>
        </is>
      </c>
      <c r="G246" t="inlineStr">
        <is>
          <t>KRISTINEHAMN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46263</v>
      </c>
      <c r="F247" t="inlineStr">
        <is>
          <t>VÄRMLANDS LÄN</t>
        </is>
      </c>
      <c r="G247" t="inlineStr">
        <is>
          <t>KRISTINEHAMN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46263</v>
      </c>
      <c r="F248" t="inlineStr">
        <is>
          <t>VÄRMLANDS LÄN</t>
        </is>
      </c>
      <c r="G248" t="inlineStr">
        <is>
          <t>KRISTINEHAMN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45366</v>
      </c>
      <c r="E249" s="1" t="n">
        <v>46263</v>
      </c>
      <c r="F249" t="inlineStr">
        <is>
          <t>VÄRMLANDS LÄN</t>
        </is>
      </c>
      <c r="G249" t="inlineStr">
        <is>
          <t>KRISTINEHAMN</t>
        </is>
      </c>
      <c r="I249" t="n">
        <v>19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44923</v>
      </c>
      <c r="E250" s="1" t="n">
        <v>46263</v>
      </c>
      <c r="F250" t="inlineStr">
        <is>
          <t>VÄRMLANDS LÄN</t>
        </is>
      </c>
      <c r="G250" t="inlineStr">
        <is>
          <t>KRISTINEHAMN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46263</v>
      </c>
      <c r="F251" t="inlineStr">
        <is>
          <t>VÄRMLANDS LÄN</t>
        </is>
      </c>
      <c r="G251" t="inlineStr">
        <is>
          <t>KRISTINEHAMN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46263</v>
      </c>
      <c r="F252" t="inlineStr">
        <is>
          <t>VÄRMLANDS LÄN</t>
        </is>
      </c>
      <c r="G252" t="inlineStr">
        <is>
          <t>KRISTINEHAMN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46263</v>
      </c>
      <c r="F253" t="inlineStr">
        <is>
          <t>VÄRMLANDS LÄN</t>
        </is>
      </c>
      <c r="G253" t="inlineStr">
        <is>
          <t>KRISTINEHAMN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45081</v>
      </c>
      <c r="E254" s="1" t="n">
        <v>46263</v>
      </c>
      <c r="F254" t="inlineStr">
        <is>
          <t>VÄRMLANDS LÄN</t>
        </is>
      </c>
      <c r="G254" t="inlineStr">
        <is>
          <t>KRISTINEHAMN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46263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6259-2026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46051</v>
      </c>
      <c r="E256" s="1" t="n">
        <v>46263</v>
      </c>
      <c r="F256" t="inlineStr">
        <is>
          <t>VÄRMLANDS LÄN</t>
        </is>
      </c>
      <c r="G256" t="inlineStr">
        <is>
          <t>KRISTINEHAMN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45313</v>
      </c>
      <c r="E257" s="1" t="n">
        <v>46263</v>
      </c>
      <c r="F257" t="inlineStr">
        <is>
          <t>VÄRMLANDS LÄN</t>
        </is>
      </c>
      <c r="G257" t="inlineStr">
        <is>
          <t>KRISTINEHAMN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45679</v>
      </c>
      <c r="E258" s="1" t="n">
        <v>46263</v>
      </c>
      <c r="F258" t="inlineStr">
        <is>
          <t>VÄRMLANDS LÄN</t>
        </is>
      </c>
      <c r="G258" t="inlineStr">
        <is>
          <t>KRISTINEHAMN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46263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46263</v>
      </c>
      <c r="F260" t="inlineStr">
        <is>
          <t>VÄRMLANDS LÄN</t>
        </is>
      </c>
      <c r="G260" t="inlineStr">
        <is>
          <t>KRISTINEHAMN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45081</v>
      </c>
      <c r="E261" s="1" t="n">
        <v>46263</v>
      </c>
      <c r="F261" t="inlineStr">
        <is>
          <t>VÄRMLANDS LÄN</t>
        </is>
      </c>
      <c r="G261" t="inlineStr">
        <is>
          <t>KRISTINEHAMN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46263</v>
      </c>
      <c r="F262" t="inlineStr">
        <is>
          <t>VÄRMLANDS LÄN</t>
        </is>
      </c>
      <c r="G262" t="inlineStr">
        <is>
          <t>KRISTINEHAMN</t>
        </is>
      </c>
      <c r="I262" t="n">
        <v>19.4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46263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46263</v>
      </c>
      <c r="F264" t="inlineStr">
        <is>
          <t>VÄRMLANDS LÄN</t>
        </is>
      </c>
      <c r="G264" t="inlineStr">
        <is>
          <t>KRISTINEHAMN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45379</v>
      </c>
      <c r="E265" s="1" t="n">
        <v>46263</v>
      </c>
      <c r="F265" t="inlineStr">
        <is>
          <t>VÄRMLANDS LÄN</t>
        </is>
      </c>
      <c r="G265" t="inlineStr">
        <is>
          <t>KRISTINEHAMN</t>
        </is>
      </c>
      <c r="I265" t="n">
        <v>12.6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46263</v>
      </c>
      <c r="F266" t="inlineStr">
        <is>
          <t>VÄRMLANDS LÄN</t>
        </is>
      </c>
      <c r="G266" t="inlineStr">
        <is>
          <t>KRISTINEHAMN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13459-2024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45387</v>
      </c>
      <c r="E267" s="1" t="n">
        <v>46263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46263</v>
      </c>
      <c r="F268" t="inlineStr">
        <is>
          <t>VÄRMLANDS LÄN</t>
        </is>
      </c>
      <c r="G268" t="inlineStr">
        <is>
          <t>KRISTINEHAMN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46263</v>
      </c>
      <c r="F269" t="inlineStr">
        <is>
          <t>VÄRMLANDS LÄN</t>
        </is>
      </c>
      <c r="G269" t="inlineStr">
        <is>
          <t>KRISTINEHAMN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46263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Kommuner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46263</v>
      </c>
      <c r="F271" t="inlineStr">
        <is>
          <t>VÄRMLANDS LÄN</t>
        </is>
      </c>
      <c r="G271" t="inlineStr">
        <is>
          <t>KRISTINEHAMN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46263</v>
      </c>
      <c r="F272" t="inlineStr">
        <is>
          <t>VÄRMLANDS LÄN</t>
        </is>
      </c>
      <c r="G272" t="inlineStr">
        <is>
          <t>KRISTINEHAMN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46263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46263</v>
      </c>
      <c r="F274" t="inlineStr">
        <is>
          <t>VÄRMLANDS LÄN</t>
        </is>
      </c>
      <c r="G274" t="inlineStr">
        <is>
          <t>KRISTINEHAMN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46263</v>
      </c>
      <c r="F275" t="inlineStr">
        <is>
          <t>VÄRMLANDS LÄN</t>
        </is>
      </c>
      <c r="G275" t="inlineStr">
        <is>
          <t>KRISTINEHAMN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45456</v>
      </c>
      <c r="E276" s="1" t="n">
        <v>46263</v>
      </c>
      <c r="F276" t="inlineStr">
        <is>
          <t>VÄRMLANDS LÄN</t>
        </is>
      </c>
      <c r="G276" t="inlineStr">
        <is>
          <t>KRISTINEHAMN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46263</v>
      </c>
      <c r="F277" t="inlineStr">
        <is>
          <t>VÄRMLANDS LÄN</t>
        </is>
      </c>
      <c r="G277" t="inlineStr">
        <is>
          <t>KRISTINEHAMN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45188</v>
      </c>
      <c r="E278" s="1" t="n">
        <v>46263</v>
      </c>
      <c r="F278" t="inlineStr">
        <is>
          <t>VÄRMLANDS LÄN</t>
        </is>
      </c>
      <c r="G278" t="inlineStr">
        <is>
          <t>KRISTINEHAMN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45442</v>
      </c>
      <c r="E279" s="1" t="n">
        <v>46263</v>
      </c>
      <c r="F279" t="inlineStr">
        <is>
          <t>VÄRMLANDS LÄN</t>
        </is>
      </c>
      <c r="G279" t="inlineStr">
        <is>
          <t>KRISTINEHAMN</t>
        </is>
      </c>
      <c r="I279" t="n">
        <v>14.9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46263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45595</v>
      </c>
      <c r="E281" s="1" t="n">
        <v>46263</v>
      </c>
      <c r="F281" t="inlineStr">
        <is>
          <t>VÄRMLANDS LÄN</t>
        </is>
      </c>
      <c r="G281" t="inlineStr">
        <is>
          <t>KRISTINEHAMN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45622</v>
      </c>
      <c r="E282" s="1" t="n">
        <v>46263</v>
      </c>
      <c r="F282" t="inlineStr">
        <is>
          <t>VÄRMLANDS LÄN</t>
        </is>
      </c>
      <c r="G282" t="inlineStr">
        <is>
          <t>KRISTINEHAMN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44588</v>
      </c>
      <c r="E283" s="1" t="n">
        <v>46263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Sveaskog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46263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46263</v>
      </c>
      <c r="F285" t="inlineStr">
        <is>
          <t>VÄRMLANDS LÄN</t>
        </is>
      </c>
      <c r="G285" t="inlineStr">
        <is>
          <t>KRISTINEHAMN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25570-2023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46263</v>
      </c>
      <c r="F286" t="inlineStr">
        <is>
          <t>VÄRMLANDS LÄN</t>
        </is>
      </c>
      <c r="G286" t="inlineStr">
        <is>
          <t>KRISTINEHAMN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46263</v>
      </c>
      <c r="F287" t="inlineStr">
        <is>
          <t>VÄRMLANDS LÄN</t>
        </is>
      </c>
      <c r="G287" t="inlineStr">
        <is>
          <t>KRISTINEHAMN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28834-2024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45478</v>
      </c>
      <c r="E288" s="1" t="n">
        <v>46263</v>
      </c>
      <c r="F288" t="inlineStr">
        <is>
          <t>VÄRMLANDS LÄN</t>
        </is>
      </c>
      <c r="G288" t="inlineStr">
        <is>
          <t>KRISTINEHAMN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45450</v>
      </c>
      <c r="E289" s="1" t="n">
        <v>46263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46263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44648</v>
      </c>
      <c r="E291" s="1" t="n">
        <v>46263</v>
      </c>
      <c r="F291" t="inlineStr">
        <is>
          <t>VÄRMLANDS LÄN</t>
        </is>
      </c>
      <c r="G291" t="inlineStr">
        <is>
          <t>KRISTINEHAMN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46263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46263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46263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46263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46263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46263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46263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46263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46263</v>
      </c>
      <c r="F300" t="inlineStr">
        <is>
          <t>VÄRMLANDS LÄN</t>
        </is>
      </c>
      <c r="G300" t="inlineStr">
        <is>
          <t>KRISTINEHAMN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15646-2026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46106</v>
      </c>
      <c r="E301" s="1" t="n">
        <v>46263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45044</v>
      </c>
      <c r="E302" s="1" t="n">
        <v>46263</v>
      </c>
      <c r="F302" t="inlineStr">
        <is>
          <t>VÄRMLANDS LÄN</t>
        </is>
      </c>
      <c r="G302" t="inlineStr">
        <is>
          <t>KRISTINEHAMN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46107</v>
      </c>
      <c r="E303" s="1" t="n">
        <v>46263</v>
      </c>
      <c r="F303" t="inlineStr">
        <is>
          <t>VÄRMLANDS LÄN</t>
        </is>
      </c>
      <c r="G303" t="inlineStr">
        <is>
          <t>KRISTINEHAMN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45313</v>
      </c>
      <c r="E304" s="1" t="n">
        <v>46263</v>
      </c>
      <c r="F304" t="inlineStr">
        <is>
          <t>VÄRMLANDS LÄN</t>
        </is>
      </c>
      <c r="G304" t="inlineStr">
        <is>
          <t>KRISTINEHAMN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45456</v>
      </c>
      <c r="E305" s="1" t="n">
        <v>46263</v>
      </c>
      <c r="F305" t="inlineStr">
        <is>
          <t>VÄRMLANDS LÄN</t>
        </is>
      </c>
      <c r="G305" t="inlineStr">
        <is>
          <t>KRISTINEHAMN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46263</v>
      </c>
      <c r="F306" t="inlineStr">
        <is>
          <t>VÄRMLANDS LÄN</t>
        </is>
      </c>
      <c r="G306" t="inlineStr">
        <is>
          <t>KRISTINEHAMN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26042-2022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44734</v>
      </c>
      <c r="E307" s="1" t="n">
        <v>46263</v>
      </c>
      <c r="F307" t="inlineStr">
        <is>
          <t>VÄRMLANDS LÄN</t>
        </is>
      </c>
      <c r="G307" t="inlineStr">
        <is>
          <t>KRISTINEHAMN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46263</v>
      </c>
      <c r="F308" t="inlineStr">
        <is>
          <t>VÄRMLANDS LÄN</t>
        </is>
      </c>
      <c r="G308" t="inlineStr">
        <is>
          <t>KRISTINEHAMN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46263</v>
      </c>
      <c r="F309" t="inlineStr">
        <is>
          <t>VÄRMLANDS LÄN</t>
        </is>
      </c>
      <c r="G309" t="inlineStr">
        <is>
          <t>KRISTINEHAMN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32821-2023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45112</v>
      </c>
      <c r="E310" s="1" t="n">
        <v>46263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Kommuner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46129</v>
      </c>
      <c r="E311" s="1" t="n">
        <v>46263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46263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45112</v>
      </c>
      <c r="E313" s="1" t="n">
        <v>46263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46263</v>
      </c>
      <c r="F314" t="inlineStr">
        <is>
          <t>VÄRMLANDS LÄN</t>
        </is>
      </c>
      <c r="G314" t="inlineStr">
        <is>
          <t>KRISTINEHAMN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45666</v>
      </c>
      <c r="E315" s="1" t="n">
        <v>46263</v>
      </c>
      <c r="F315" t="inlineStr">
        <is>
          <t>VÄRMLANDS LÄN</t>
        </is>
      </c>
      <c r="G315" t="inlineStr">
        <is>
          <t>KRISTINEHAMN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46263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45202</v>
      </c>
      <c r="E317" s="1" t="n">
        <v>46263</v>
      </c>
      <c r="F317" t="inlineStr">
        <is>
          <t>VÄRMLANDS LÄN</t>
        </is>
      </c>
      <c r="G317" t="inlineStr">
        <is>
          <t>KRISTINEHAMN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45769</v>
      </c>
      <c r="E318" s="1" t="n">
        <v>46263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Kyrkan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45243</v>
      </c>
      <c r="E319" s="1" t="n">
        <v>46263</v>
      </c>
      <c r="F319" t="inlineStr">
        <is>
          <t>VÄRMLANDS LÄN</t>
        </is>
      </c>
      <c r="G319" t="inlineStr">
        <is>
          <t>KRISTINEHAMN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46263</v>
      </c>
      <c r="F320" t="inlineStr">
        <is>
          <t>VÄRMLANDS LÄN</t>
        </is>
      </c>
      <c r="G320" t="inlineStr">
        <is>
          <t>KRISTINEHAMN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46263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45631</v>
      </c>
      <c r="E322" s="1" t="n">
        <v>46263</v>
      </c>
      <c r="F322" t="inlineStr">
        <is>
          <t>VÄRMLANDS LÄN</t>
        </is>
      </c>
      <c r="G322" t="inlineStr">
        <is>
          <t>KRISTINEHAMN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46263</v>
      </c>
      <c r="F323" t="inlineStr">
        <is>
          <t>VÄRMLANDS LÄN</t>
        </is>
      </c>
      <c r="G323" t="inlineStr">
        <is>
          <t>KRISTINEHAMN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45887</v>
      </c>
      <c r="E324" s="1" t="n">
        <v>46263</v>
      </c>
      <c r="F324" t="inlineStr">
        <is>
          <t>VÄRMLANDS LÄN</t>
        </is>
      </c>
      <c r="G324" t="inlineStr">
        <is>
          <t>KRISTINEHAMN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46263</v>
      </c>
      <c r="F325" t="inlineStr">
        <is>
          <t>VÄRMLANDS LÄN</t>
        </is>
      </c>
      <c r="G325" t="inlineStr">
        <is>
          <t>KRISTINEHAMN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48405-2023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45201</v>
      </c>
      <c r="E326" s="1" t="n">
        <v>46263</v>
      </c>
      <c r="F326" t="inlineStr">
        <is>
          <t>VÄRMLANDS LÄN</t>
        </is>
      </c>
      <c r="G326" t="inlineStr">
        <is>
          <t>KRISTINEHAMN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46263</v>
      </c>
      <c r="F327" t="inlineStr">
        <is>
          <t>VÄRMLANDS LÄN</t>
        </is>
      </c>
      <c r="G327" t="inlineStr">
        <is>
          <t>KRISTINEHAMN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46263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46263</v>
      </c>
      <c r="F329" t="inlineStr">
        <is>
          <t>VÄRMLANDS LÄN</t>
        </is>
      </c>
      <c r="G329" t="inlineStr">
        <is>
          <t>KRISTINEHAMN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46263</v>
      </c>
      <c r="F330" t="inlineStr">
        <is>
          <t>VÄRMLANDS LÄN</t>
        </is>
      </c>
      <c r="G330" t="inlineStr">
        <is>
          <t>KRISTINEHAMN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45344</v>
      </c>
      <c r="E331" s="1" t="n">
        <v>46263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44831</v>
      </c>
      <c r="E332" s="1" t="n">
        <v>46263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39157-2025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46263</v>
      </c>
      <c r="F333" t="inlineStr">
        <is>
          <t>VÄRMLANDS LÄN</t>
        </is>
      </c>
      <c r="G333" t="inlineStr">
        <is>
          <t>KRISTINEHAMN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46263</v>
      </c>
      <c r="F334" t="inlineStr">
        <is>
          <t>VÄRMLANDS LÄN</t>
        </is>
      </c>
      <c r="G334" t="inlineStr">
        <is>
          <t>KRISTINEHAMN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46263</v>
      </c>
      <c r="F335" t="inlineStr">
        <is>
          <t>VÄRMLANDS LÄN</t>
        </is>
      </c>
      <c r="G335" t="inlineStr">
        <is>
          <t>KRISTINEHAMN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56522-2021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44480</v>
      </c>
      <c r="E336" s="1" t="n">
        <v>46263</v>
      </c>
      <c r="F336" t="inlineStr">
        <is>
          <t>VÄRMLANDS LÄN</t>
        </is>
      </c>
      <c r="G336" t="inlineStr">
        <is>
          <t>KRISTINEHAMN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45303</v>
      </c>
      <c r="E337" s="1" t="n">
        <v>46263</v>
      </c>
      <c r="F337" t="inlineStr">
        <is>
          <t>VÄRMLANDS LÄN</t>
        </is>
      </c>
      <c r="G337" t="inlineStr">
        <is>
          <t>KRISTINEHAMN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45379</v>
      </c>
      <c r="E338" s="1" t="n">
        <v>46263</v>
      </c>
      <c r="F338" t="inlineStr">
        <is>
          <t>VÄRMLANDS LÄN</t>
        </is>
      </c>
      <c r="G338" t="inlineStr">
        <is>
          <t>KRISTINEHAMN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46263</v>
      </c>
      <c r="F339" t="inlineStr">
        <is>
          <t>VÄRMLANDS LÄN</t>
        </is>
      </c>
      <c r="G339" t="inlineStr">
        <is>
          <t>KRISTINEHAMN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46263</v>
      </c>
      <c r="F340" t="inlineStr">
        <is>
          <t>VÄRMLANDS LÄN</t>
        </is>
      </c>
      <c r="G340" t="inlineStr">
        <is>
          <t>KRISTINEHAMN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46263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Bergvik skog väst AB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46263</v>
      </c>
      <c r="F342" t="inlineStr">
        <is>
          <t>VÄRMLANDS LÄN</t>
        </is>
      </c>
      <c r="G342" t="inlineStr">
        <is>
          <t>KRISTINEHAMN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46263</v>
      </c>
      <c r="F343" t="inlineStr">
        <is>
          <t>VÄRMLANDS LÄN</t>
        </is>
      </c>
      <c r="G343" t="inlineStr">
        <is>
          <t>KRISTINEHAMN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45244</v>
      </c>
      <c r="E344" s="1" t="n">
        <v>46263</v>
      </c>
      <c r="F344" t="inlineStr">
        <is>
          <t>VÄRMLANDS LÄN</t>
        </is>
      </c>
      <c r="G344" t="inlineStr">
        <is>
          <t>KRISTINEHAMN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46263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Kommuner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45678</v>
      </c>
      <c r="E346" s="1" t="n">
        <v>46263</v>
      </c>
      <c r="F346" t="inlineStr">
        <is>
          <t>VÄRMLANDS LÄN</t>
        </is>
      </c>
      <c r="G346" t="inlineStr">
        <is>
          <t>KRISTINEHAMN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47951-2021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44448</v>
      </c>
      <c r="E347" s="1" t="n">
        <v>46263</v>
      </c>
      <c r="F347" t="inlineStr">
        <is>
          <t>VÄRMLANDS LÄN</t>
        </is>
      </c>
      <c r="G347" t="inlineStr">
        <is>
          <t>KRISTINEHAMN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46263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46263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46263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46263</v>
      </c>
      <c r="F351" t="inlineStr">
        <is>
          <t>VÄRMLANDS LÄN</t>
        </is>
      </c>
      <c r="G351" t="inlineStr">
        <is>
          <t>KRISTINEHAMN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46263</v>
      </c>
      <c r="F352" t="inlineStr">
        <is>
          <t>VÄRMLANDS LÄN</t>
        </is>
      </c>
      <c r="G352" t="inlineStr">
        <is>
          <t>KRISTINEHAMN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44651</v>
      </c>
      <c r="E353" s="1" t="n">
        <v>46263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46263</v>
      </c>
      <c r="F354" t="inlineStr">
        <is>
          <t>VÄRMLANDS LÄN</t>
        </is>
      </c>
      <c r="G354" t="inlineStr">
        <is>
          <t>KRISTINEHAMN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46263</v>
      </c>
      <c r="F355" t="inlineStr">
        <is>
          <t>VÄRMLANDS LÄN</t>
        </is>
      </c>
      <c r="G355" t="inlineStr">
        <is>
          <t>KRISTINEHAMN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27210-2022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44741</v>
      </c>
      <c r="E356" s="1" t="n">
        <v>46263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46263</v>
      </c>
      <c r="F357" t="inlineStr">
        <is>
          <t>VÄRMLANDS LÄN</t>
        </is>
      </c>
      <c r="G357" t="inlineStr">
        <is>
          <t>KRISTINEHAMN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46263</v>
      </c>
      <c r="F358" t="inlineStr">
        <is>
          <t>VÄRMLANDS LÄN</t>
        </is>
      </c>
      <c r="G358" t="inlineStr">
        <is>
          <t>KRISTINEHAMN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46263</v>
      </c>
      <c r="F359" t="inlineStr">
        <is>
          <t>VÄRMLANDS LÄN</t>
        </is>
      </c>
      <c r="G359" t="inlineStr">
        <is>
          <t>KRISTINEHAMN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46263</v>
      </c>
      <c r="F360" t="inlineStr">
        <is>
          <t>VÄRMLANDS LÄN</t>
        </is>
      </c>
      <c r="G360" t="inlineStr">
        <is>
          <t>KRISTINEHAMN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46263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46263</v>
      </c>
      <c r="F362" t="inlineStr">
        <is>
          <t>VÄRMLANDS LÄN</t>
        </is>
      </c>
      <c r="G362" t="inlineStr">
        <is>
          <t>KRISTINEHAMN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46263</v>
      </c>
      <c r="F363" t="inlineStr">
        <is>
          <t>VÄRMLANDS LÄN</t>
        </is>
      </c>
      <c r="G363" t="inlineStr">
        <is>
          <t>KRISTINEHAMN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46263</v>
      </c>
      <c r="F364" t="inlineStr">
        <is>
          <t>VÄRMLANDS LÄN</t>
        </is>
      </c>
      <c r="G364" t="inlineStr">
        <is>
          <t>KRISTINEHAMN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45478</v>
      </c>
      <c r="E365" s="1" t="n">
        <v>46263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46263</v>
      </c>
      <c r="F366" t="inlineStr">
        <is>
          <t>VÄRMLANDS LÄN</t>
        </is>
      </c>
      <c r="G366" t="inlineStr">
        <is>
          <t>KRISTINEHAMN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46263</v>
      </c>
      <c r="F367" t="inlineStr">
        <is>
          <t>VÄRMLANDS LÄN</t>
        </is>
      </c>
      <c r="G367" t="inlineStr">
        <is>
          <t>KRISTINEHAMN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46263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46263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Naturvårdsverket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68526-2021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46263</v>
      </c>
      <c r="F370" t="inlineStr">
        <is>
          <t>VÄRMLANDS LÄN</t>
        </is>
      </c>
      <c r="G370" t="inlineStr">
        <is>
          <t>KRISTINEHAMN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68530-2021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44526</v>
      </c>
      <c r="E371" s="1" t="n">
        <v>46263</v>
      </c>
      <c r="F371" t="inlineStr">
        <is>
          <t>VÄRMLANDS LÄN</t>
        </is>
      </c>
      <c r="G371" t="inlineStr">
        <is>
          <t>KRISTINEHAMN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46263</v>
      </c>
      <c r="F372" t="inlineStr">
        <is>
          <t>VÄRMLANDS LÄN</t>
        </is>
      </c>
      <c r="G372" t="inlineStr">
        <is>
          <t>KRISTINEHAMN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46263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46263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Kommuner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46263</v>
      </c>
      <c r="F375" t="inlineStr">
        <is>
          <t>VÄRMLANDS LÄN</t>
        </is>
      </c>
      <c r="G375" t="inlineStr">
        <is>
          <t>KRISTINEHAMN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46263</v>
      </c>
      <c r="F376" t="inlineStr">
        <is>
          <t>VÄRMLANDS LÄN</t>
        </is>
      </c>
      <c r="G376" t="inlineStr">
        <is>
          <t>KRISTINEHAMN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46263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45322</v>
      </c>
      <c r="E378" s="1" t="n">
        <v>46263</v>
      </c>
      <c r="F378" t="inlineStr">
        <is>
          <t>VÄRMLANDS LÄN</t>
        </is>
      </c>
      <c r="G378" t="inlineStr">
        <is>
          <t>KRISTINEHAMN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45266</v>
      </c>
      <c r="E379" s="1" t="n">
        <v>46263</v>
      </c>
      <c r="F379" t="inlineStr">
        <is>
          <t>VÄRMLANDS LÄN</t>
        </is>
      </c>
      <c r="G379" t="inlineStr">
        <is>
          <t>KRISTINEHAMN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44978</v>
      </c>
      <c r="E380" s="1" t="n">
        <v>46263</v>
      </c>
      <c r="F380" t="inlineStr">
        <is>
          <t>VÄRMLANDS LÄN</t>
        </is>
      </c>
      <c r="G380" t="inlineStr">
        <is>
          <t>KRISTINEHAMN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28152-2022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44746</v>
      </c>
      <c r="E381" s="1" t="n">
        <v>46263</v>
      </c>
      <c r="F381" t="inlineStr">
        <is>
          <t>VÄRMLANDS LÄN</t>
        </is>
      </c>
      <c r="G381" t="inlineStr">
        <is>
          <t>KRISTINEHAMN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45639</v>
      </c>
      <c r="E382" s="1" t="n">
        <v>46263</v>
      </c>
      <c r="F382" t="inlineStr">
        <is>
          <t>VÄRMLANDS LÄN</t>
        </is>
      </c>
      <c r="G382" t="inlineStr">
        <is>
          <t>KRISTINEHAMN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46263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46263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Kommuner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22896-2023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45072</v>
      </c>
      <c r="E385" s="1" t="n">
        <v>46263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46263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45127</v>
      </c>
      <c r="E387" s="1" t="n">
        <v>46263</v>
      </c>
      <c r="F387" t="inlineStr">
        <is>
          <t>VÄRMLANDS LÄN</t>
        </is>
      </c>
      <c r="G387" t="inlineStr">
        <is>
          <t>KRISTINEHAMN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45167</v>
      </c>
      <c r="E388" s="1" t="n">
        <v>46263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46263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Naturvårdsverket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46263</v>
      </c>
      <c r="F390" t="inlineStr">
        <is>
          <t>VÄRMLANDS LÄN</t>
        </is>
      </c>
      <c r="G390" t="inlineStr">
        <is>
          <t>KRISTINEHAMN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46263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46263</v>
      </c>
      <c r="F392" t="inlineStr">
        <is>
          <t>VÄRMLANDS LÄN</t>
        </is>
      </c>
      <c r="G392" t="inlineStr">
        <is>
          <t>KRISTINEHAMN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46263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15406-2024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45401</v>
      </c>
      <c r="E394" s="1" t="n">
        <v>46263</v>
      </c>
      <c r="F394" t="inlineStr">
        <is>
          <t>VÄRMLANDS LÄN</t>
        </is>
      </c>
      <c r="G394" t="inlineStr">
        <is>
          <t>KRISTINEHAMN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45141</v>
      </c>
      <c r="E395" s="1" t="n">
        <v>46263</v>
      </c>
      <c r="F395" t="inlineStr">
        <is>
          <t>VÄRMLANDS LÄN</t>
        </is>
      </c>
      <c r="G395" t="inlineStr">
        <is>
          <t>KRISTINEHAMN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46263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46263</v>
      </c>
      <c r="F397" t="inlineStr">
        <is>
          <t>VÄRMLANDS LÄN</t>
        </is>
      </c>
      <c r="G397" t="inlineStr">
        <is>
          <t>KRISTINEHAMN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45315</v>
      </c>
      <c r="E398" s="1" t="n">
        <v>46263</v>
      </c>
      <c r="F398" t="inlineStr">
        <is>
          <t>VÄRMLANDS LÄN</t>
        </is>
      </c>
      <c r="G398" t="inlineStr">
        <is>
          <t>KRISTINEHAMN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46263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45167</v>
      </c>
      <c r="E400" s="1" t="n">
        <v>46263</v>
      </c>
      <c r="F400" t="inlineStr">
        <is>
          <t>VÄRMLANDS LÄN</t>
        </is>
      </c>
      <c r="G400" t="inlineStr">
        <is>
          <t>KRISTINEHAMN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45323</v>
      </c>
      <c r="E401" s="1" t="n">
        <v>46263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46263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46263</v>
      </c>
      <c r="F403" t="inlineStr">
        <is>
          <t>VÄRMLANDS LÄN</t>
        </is>
      </c>
      <c r="G403" t="inlineStr">
        <is>
          <t>KRISTINEHAMN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46263</v>
      </c>
      <c r="F404" t="inlineStr">
        <is>
          <t>VÄRMLANDS LÄN</t>
        </is>
      </c>
      <c r="G404" t="inlineStr">
        <is>
          <t>KRISTINEHAMN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46263</v>
      </c>
      <c r="F405" t="inlineStr">
        <is>
          <t>VÄRMLANDS LÄN</t>
        </is>
      </c>
      <c r="G405" t="inlineStr">
        <is>
          <t>KRISTINEHAMN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46263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46263</v>
      </c>
      <c r="F407" t="inlineStr">
        <is>
          <t>VÄRMLANDS LÄN</t>
        </is>
      </c>
      <c r="G407" t="inlineStr">
        <is>
          <t>KRISTINEHAMN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46146</v>
      </c>
      <c r="E408" s="1" t="n">
        <v>46263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46263</v>
      </c>
      <c r="F409" t="inlineStr">
        <is>
          <t>VÄRMLANDS LÄN</t>
        </is>
      </c>
      <c r="G409" t="inlineStr">
        <is>
          <t>KRISTINEHAMN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46263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22060-2026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46149</v>
      </c>
      <c r="E411" s="1" t="n">
        <v>46263</v>
      </c>
      <c r="F411" t="inlineStr">
        <is>
          <t>VÄRMLANDS LÄN</t>
        </is>
      </c>
      <c r="G411" t="inlineStr">
        <is>
          <t>KRISTINEHAMN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46263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45705</v>
      </c>
      <c r="E413" s="1" t="n">
        <v>46263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45734</v>
      </c>
      <c r="E414" s="1" t="n">
        <v>46263</v>
      </c>
      <c r="F414" t="inlineStr">
        <is>
          <t>VÄRMLANDS LÄN</t>
        </is>
      </c>
      <c r="G414" t="inlineStr">
        <is>
          <t>KRISTINEHAMN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47465-2023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45202</v>
      </c>
      <c r="E415" s="1" t="n">
        <v>46263</v>
      </c>
      <c r="F415" t="inlineStr">
        <is>
          <t>VÄRMLANDS LÄN</t>
        </is>
      </c>
      <c r="G415" t="inlineStr">
        <is>
          <t>KRISTINEHAMN</t>
        </is>
      </c>
      <c r="I415" t="n">
        <v>10.4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46154</v>
      </c>
      <c r="E416" s="1" t="n">
        <v>46263</v>
      </c>
      <c r="F416" t="inlineStr">
        <is>
          <t>VÄRMLANDS LÄN</t>
        </is>
      </c>
      <c r="G416" t="inlineStr">
        <is>
          <t>KRISTINEHAMN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51700-2023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45222</v>
      </c>
      <c r="E417" s="1" t="n">
        <v>46263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Bergvik skog väst AB</t>
        </is>
      </c>
      <c r="I417" t="n">
        <v>6.8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45379</v>
      </c>
      <c r="E418" s="1" t="n">
        <v>46263</v>
      </c>
      <c r="F418" t="inlineStr">
        <is>
          <t>VÄRMLANDS LÄN</t>
        </is>
      </c>
      <c r="G418" t="inlineStr">
        <is>
          <t>KRISTINEHAMN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45022</v>
      </c>
      <c r="E419" s="1" t="n">
        <v>46263</v>
      </c>
      <c r="F419" t="inlineStr">
        <is>
          <t>VÄRMLANDS LÄN</t>
        </is>
      </c>
      <c r="G419" t="inlineStr">
        <is>
          <t>KRISTINEHAMN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45341</v>
      </c>
      <c r="E420" s="1" t="n">
        <v>46263</v>
      </c>
      <c r="F420" t="inlineStr">
        <is>
          <t>VÄRMLANDS LÄN</t>
        </is>
      </c>
      <c r="G420" t="inlineStr">
        <is>
          <t>KRISTINEHAMN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59203-2024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46263</v>
      </c>
      <c r="F421" t="inlineStr">
        <is>
          <t>VÄRMLANDS LÄN</t>
        </is>
      </c>
      <c r="G421" t="inlineStr">
        <is>
          <t>KRISTINEHAMN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45341</v>
      </c>
      <c r="E422" s="1" t="n">
        <v>46263</v>
      </c>
      <c r="F422" t="inlineStr">
        <is>
          <t>VÄRMLANDS LÄN</t>
        </is>
      </c>
      <c r="G422" t="inlineStr">
        <is>
          <t>KRISTINEHAMN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45569</v>
      </c>
      <c r="E423" s="1" t="n">
        <v>46263</v>
      </c>
      <c r="F423" t="inlineStr">
        <is>
          <t>VÄRMLANDS LÄN</t>
        </is>
      </c>
      <c r="G423" t="inlineStr">
        <is>
          <t>KRISTINEHAMN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45679</v>
      </c>
      <c r="E424" s="1" t="n">
        <v>46263</v>
      </c>
      <c r="F424" t="inlineStr">
        <is>
          <t>VÄRMLANDS LÄN</t>
        </is>
      </c>
      <c r="G424" t="inlineStr">
        <is>
          <t>KRISTINEHAMN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46263</v>
      </c>
      <c r="F425" t="inlineStr">
        <is>
          <t>VÄRMLANDS LÄN</t>
        </is>
      </c>
      <c r="G425" t="inlineStr">
        <is>
          <t>KRISTINEHAMN</t>
        </is>
      </c>
      <c r="I425" t="n">
        <v>8.699999999999999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46263</v>
      </c>
      <c r="F426" t="inlineStr">
        <is>
          <t>VÄRMLANDS LÄN</t>
        </is>
      </c>
      <c r="G426" t="inlineStr">
        <is>
          <t>KRISTINEHAMN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46263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46263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24570-2026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46170</v>
      </c>
      <c r="E429" s="1" t="n">
        <v>46263</v>
      </c>
      <c r="F429" t="inlineStr">
        <is>
          <t>VÄRMLANDS LÄN</t>
        </is>
      </c>
      <c r="G429" t="inlineStr">
        <is>
          <t>KRISTINEHAMN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46263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25258-2026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46175</v>
      </c>
      <c r="E431" s="1" t="n">
        <v>46263</v>
      </c>
      <c r="F431" t="inlineStr">
        <is>
          <t>VÄRMLANDS LÄN</t>
        </is>
      </c>
      <c r="G431" t="inlineStr">
        <is>
          <t>KRISTINEHAMN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2522-2026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46037</v>
      </c>
      <c r="E432" s="1" t="n">
        <v>46263</v>
      </c>
      <c r="F432" t="inlineStr">
        <is>
          <t>VÄRMLANDS LÄN</t>
        </is>
      </c>
      <c r="G432" t="inlineStr">
        <is>
          <t>KRISTINEHAMN</t>
        </is>
      </c>
      <c r="I432" t="n">
        <v>11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31829-2026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46230</v>
      </c>
      <c r="E433" s="1" t="n">
        <v>46263</v>
      </c>
      <c r="F433" t="inlineStr">
        <is>
          <t>VÄRMLANDS LÄN</t>
        </is>
      </c>
      <c r="G433" t="inlineStr">
        <is>
          <t>KRISTINEHAMN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46263</v>
      </c>
      <c r="F434" t="inlineStr">
        <is>
          <t>VÄRMLANDS LÄN</t>
        </is>
      </c>
      <c r="G434" t="inlineStr">
        <is>
          <t>KRISTINEHAMN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46190</v>
      </c>
      <c r="E435" s="1" t="n">
        <v>46263</v>
      </c>
      <c r="F435" t="inlineStr">
        <is>
          <t>VÄRMLANDS LÄN</t>
        </is>
      </c>
      <c r="G435" t="inlineStr">
        <is>
          <t>KRISTINEHAMN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46263</v>
      </c>
      <c r="F436" t="inlineStr">
        <is>
          <t>VÄRMLANDS LÄN</t>
        </is>
      </c>
      <c r="G436" t="inlineStr">
        <is>
          <t>KRISTINEHAMN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46263</v>
      </c>
      <c r="F437" t="inlineStr">
        <is>
          <t>VÄRMLANDS LÄN</t>
        </is>
      </c>
      <c r="G437" t="inlineStr">
        <is>
          <t>KRISTINEHAMN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46263</v>
      </c>
      <c r="F438" t="inlineStr">
        <is>
          <t>VÄRMLANDS LÄN</t>
        </is>
      </c>
      <c r="G438" t="inlineStr">
        <is>
          <t>KRISTINEHAMN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46263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1815-2022</t>
        </is>
      </c>
      <c r="B440" t="inlineStr">
        <is>
          <t>samrådsanmälan</t>
        </is>
      </c>
      <c r="C440" t="inlineStr">
        <is>
          <t>Åtgärd i nyckelbiotop</t>
        </is>
      </c>
      <c r="D440" s="1" t="n">
        <v>44657</v>
      </c>
      <c r="E440" s="1" t="n">
        <v>46263</v>
      </c>
      <c r="F440" t="inlineStr">
        <is>
          <t>VÄRMLANDS LÄN</t>
        </is>
      </c>
      <c r="G440" t="inlineStr">
        <is>
          <t>KRISTINEHAMN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46263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46263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4147-2023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46263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4149-2023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46263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46263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46263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46263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46263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46263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46263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46263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46263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46263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46263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46263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46263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46263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46263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46263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46263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46263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46263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46263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2026-08-29T01:50:50Z</dcterms:created>
  <dcterms:modified xmlns:dcterms="http://purl.org/dc/terms/" xmlns:xsi="http://www.w3.org/2001/XMLSchema-instance" xsi:type="dcterms:W3CDTF">2026-08-29T01:50:50Z</dcterms:modified>
</cp:coreProperties>
</file>