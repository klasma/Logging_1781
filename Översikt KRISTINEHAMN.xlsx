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46317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46317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46317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46317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46317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46317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46317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46317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46317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46317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46317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46317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46317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46317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46317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46317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2406-2025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45674</v>
      </c>
      <c r="E18" s="1" t="n">
        <v>46317</v>
      </c>
      <c r="F18" t="inlineStr">
        <is>
          <t>VÄRMLANDS LÄN</t>
        </is>
      </c>
      <c r="G18" t="inlineStr">
        <is>
          <t>KRISTINEHAMN</t>
        </is>
      </c>
      <c r="I18" t="n">
        <v>9.699999999999999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2406-2025 artfynd.xlsx", "A 2406-2025")</f>
        <v/>
      </c>
      <c r="X18">
        <f>HYPERLINK("https://klasma.github.io/Logging_1781/kartor/A 2406-2025 karta.png", "A 2406-2025")</f>
        <v/>
      </c>
      <c r="Y18">
        <f>HYPERLINK("https://klasma.github.io/Logging_1781/kartor_geotiff/A 2406-2025 georefererad karta.tif", "A 2406-2025")</f>
        <v/>
      </c>
      <c r="AA18">
        <f>HYPERLINK("https://klasma.github.io/Logging_1781/klagomål/A 2406-2025 FSC-klagomål.docx", "A 2406-2025")</f>
        <v/>
      </c>
      <c r="AB18">
        <f>HYPERLINK("https://klasma.github.io/Logging_1781/klagomålsmail/A 2406-2025 FSC-klagomål mail.docx", "A 2406-2025")</f>
        <v/>
      </c>
      <c r="AC18">
        <f>HYPERLINK("https://klasma.github.io/Logging_1781/tillsyn/A 2406-2025 tillsynsbegäran.docx", "A 2406-2025")</f>
        <v/>
      </c>
      <c r="AD18">
        <f>HYPERLINK("https://klasma.github.io/Logging_1781/tillsynsmail/A 2406-2025 tillsynsbegäran mail.docx", "A 2406-2025")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46317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28394-2025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45819</v>
      </c>
      <c r="E20" s="1" t="n">
        <v>46317</v>
      </c>
      <c r="F20" t="inlineStr">
        <is>
          <t>VÄRMLANDS LÄN</t>
        </is>
      </c>
      <c r="G20" t="inlineStr">
        <is>
          <t>KRISTINEHAMN</t>
        </is>
      </c>
      <c r="I20" t="n">
        <v>1.4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vårtrattskivling</t>
        </is>
      </c>
      <c r="W20">
        <f>HYPERLINK("https://klasma.github.io/Logging_1781/artfynd/A 28394-2025 artfynd.xlsx", "A 28394-2025")</f>
        <v/>
      </c>
      <c r="X20">
        <f>HYPERLINK("https://klasma.github.io/Logging_1781/kartor/A 28394-2025 karta.png", "A 28394-2025")</f>
        <v/>
      </c>
      <c r="Y20">
        <f>HYPERLINK("https://klasma.github.io/Logging_1781/kartor_geotiff/A 28394-2025 georefererad karta.tif", "A 28394-2025")</f>
        <v/>
      </c>
      <c r="AA20">
        <f>HYPERLINK("https://klasma.github.io/Logging_1781/klagomål/A 28394-2025 FSC-klagomål.docx", "A 28394-2025")</f>
        <v/>
      </c>
      <c r="AB20">
        <f>HYPERLINK("https://klasma.github.io/Logging_1781/klagomålsmail/A 28394-2025 FSC-klagomål mail.docx", "A 28394-2025")</f>
        <v/>
      </c>
      <c r="AC20">
        <f>HYPERLINK("https://klasma.github.io/Logging_1781/tillsyn/A 28394-2025 tillsynsbegäran.docx", "A 28394-2025")</f>
        <v/>
      </c>
      <c r="AD20">
        <f>HYPERLINK("https://klasma.github.io/Logging_1781/tillsynsmail/A 28394-2025 tillsynsbegäran mail.docx", "A 28394-2025")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46317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59096-2024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46317</v>
      </c>
      <c r="F22" t="inlineStr">
        <is>
          <t>VÄRMLANDS LÄN</t>
        </is>
      </c>
      <c r="G22" t="inlineStr">
        <is>
          <t>KRISTINEHAMN</t>
        </is>
      </c>
      <c r="I22" t="n">
        <v>4.4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3</v>
      </c>
      <c r="U22" t="n">
        <v>0</v>
      </c>
      <c r="V22" s="2" t="inlineStr">
        <is>
          <t>Bombmurkla</t>
        </is>
      </c>
      <c r="W22">
        <f>HYPERLINK("https://klasma.github.io/Logging_1781/artfynd/A 59096-2024 artfynd.xlsx", "A 59096-2024")</f>
        <v/>
      </c>
      <c r="X22">
        <f>HYPERLINK("https://klasma.github.io/Logging_1781/kartor/A 59096-2024 karta.png", "A 59096-2024")</f>
        <v/>
      </c>
      <c r="Y22">
        <f>HYPERLINK("https://klasma.github.io/Logging_1781/kartor_geotiff/A 59096-2024 georefererad karta.tif", "A 59096-2024")</f>
        <v/>
      </c>
      <c r="AA22">
        <f>HYPERLINK("https://klasma.github.io/Logging_1781/klagomål/A 59096-2024 FSC-klagomål.docx", "A 59096-2024")</f>
        <v/>
      </c>
      <c r="AB22">
        <f>HYPERLINK("https://klasma.github.io/Logging_1781/klagomålsmail/A 59096-2024 FSC-klagomål mail.docx", "A 59096-2024")</f>
        <v/>
      </c>
      <c r="AC22">
        <f>HYPERLINK("https://klasma.github.io/Logging_1781/tillsyn/A 59096-2024 tillsynsbegäran.docx", "A 59096-2024")</f>
        <v/>
      </c>
      <c r="AD22">
        <f>HYPERLINK("https://klasma.github.io/Logging_1781/tillsynsmail/A 59096-2024 tillsynsbegäran mail.docx", "A 59096-2024")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46317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46317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46317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61238-2025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46000</v>
      </c>
      <c r="E26" s="1" t="n">
        <v>46317</v>
      </c>
      <c r="F26" t="inlineStr">
        <is>
          <t>VÄRMLANDS LÄN</t>
        </is>
      </c>
      <c r="G26" t="inlineStr">
        <is>
          <t>KRISTINEHAMN</t>
        </is>
      </c>
      <c r="I26" t="n">
        <v>5.8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HYPERLINK("https://klasma.github.io/Logging_1781/artfynd/A 61238-2025 artfynd.xlsx", "A 61238-2025")</f>
        <v/>
      </c>
      <c r="X26">
        <f>HYPERLINK("https://klasma.github.io/Logging_1781/kartor/A 61238-2025 karta.png", "A 61238-2025")</f>
        <v/>
      </c>
      <c r="Y26">
        <f>HYPERLINK("https://klasma.github.io/Logging_1781/kartor_geotiff/A 61238-2025 georefererad karta.tif", "A 61238-2025")</f>
        <v/>
      </c>
      <c r="AA26">
        <f>HYPERLINK("https://klasma.github.io/Logging_1781/klagomål/A 61238-2025 FSC-klagomål.docx", "A 61238-2025")</f>
        <v/>
      </c>
      <c r="AB26">
        <f>HYPERLINK("https://klasma.github.io/Logging_1781/klagomålsmail/A 61238-2025 FSC-klagomål mail.docx", "A 61238-2025")</f>
        <v/>
      </c>
      <c r="AC26">
        <f>HYPERLINK("https://klasma.github.io/Logging_1781/tillsyn/A 61238-2025 tillsynsbegäran.docx", "A 61238-2025")</f>
        <v/>
      </c>
      <c r="AD26">
        <f>HYPERLINK("https://klasma.github.io/Logging_1781/tillsynsmail/A 61238-2025 tillsynsbegäran mail.docx", "A 61238-2025")</f>
        <v/>
      </c>
      <c r="AE26">
        <f>HYPERLINK("https://klasma.github.io/Logging_1781/fåglar/A 61238-2025 prioriterade fågelarter.docx", "A 61238-2025")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46317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45122-2022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44843</v>
      </c>
      <c r="E28" s="1" t="n">
        <v>46317</v>
      </c>
      <c r="F28" t="inlineStr">
        <is>
          <t>VÄRMLANDS LÄN</t>
        </is>
      </c>
      <c r="G28" t="inlineStr">
        <is>
          <t>KRISTINEHAMN</t>
        </is>
      </c>
      <c r="I28" t="n">
        <v>3.3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Dvärglin</t>
        </is>
      </c>
      <c r="W28">
        <f>HYPERLINK("https://klasma.github.io/Logging_1781/artfynd/A 45122-2022 artfynd.xlsx", "A 45122-2022")</f>
        <v/>
      </c>
      <c r="X28">
        <f>HYPERLINK("https://klasma.github.io/Logging_1781/kartor/A 45122-2022 karta.png", "A 45122-2022")</f>
        <v/>
      </c>
      <c r="Y28">
        <f>HYPERLINK("https://klasma.github.io/Logging_1781/kartor_geotiff/A 45122-2022 georefererad karta.tif", "A 45122-2022")</f>
        <v/>
      </c>
      <c r="AA28">
        <f>HYPERLINK("https://klasma.github.io/Logging_1781/klagomål/A 45122-2022 FSC-klagomål.docx", "A 45122-2022")</f>
        <v/>
      </c>
      <c r="AB28">
        <f>HYPERLINK("https://klasma.github.io/Logging_1781/klagomålsmail/A 45122-2022 FSC-klagomål mail.docx", "A 45122-2022")</f>
        <v/>
      </c>
      <c r="AC28">
        <f>HYPERLINK("https://klasma.github.io/Logging_1781/tillsyn/A 45122-2022 tillsynsbegäran.docx", "A 45122-2022")</f>
        <v/>
      </c>
      <c r="AD28">
        <f>HYPERLINK("https://klasma.github.io/Logging_1781/tillsynsmail/A 45122-2022 tillsynsbegäran mail.docx", "A 45122-2022")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46317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14762-2026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46317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14762-2026 artfynd.xlsx", "A 14762-2026")</f>
        <v/>
      </c>
      <c r="X30">
        <f>HYPERLINK("https://klasma.github.io/Logging_1781/kartor/A 14762-2026 karta.png", "A 14762-2026")</f>
        <v/>
      </c>
      <c r="Y30">
        <f>HYPERLINK("https://klasma.github.io/Logging_1781/kartor_geotiff/A 14762-2026 georefererad karta.tif", "A 14762-2026")</f>
        <v/>
      </c>
      <c r="AA30">
        <f>HYPERLINK("https://klasma.github.io/Logging_1781/klagomål/A 14762-2026 FSC-klagomål.docx", "A 14762-2026")</f>
        <v/>
      </c>
      <c r="AB30">
        <f>HYPERLINK("https://klasma.github.io/Logging_1781/klagomålsmail/A 14762-2026 FSC-klagomål mail.docx", "A 14762-2026")</f>
        <v/>
      </c>
      <c r="AC30">
        <f>HYPERLINK("https://klasma.github.io/Logging_1781/tillsyn/A 14762-2026 tillsynsbegäran.docx", "A 14762-2026")</f>
        <v/>
      </c>
      <c r="AD30">
        <f>HYPERLINK("https://klasma.github.io/Logging_1781/tillsynsmail/A 14762-2026 tillsynsbegäran mail.docx", "A 14762-2026")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46317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13025-2023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45002</v>
      </c>
      <c r="E32" s="1" t="n">
        <v>46317</v>
      </c>
      <c r="F32" t="inlineStr">
        <is>
          <t>VÄRMLANDS LÄN</t>
        </is>
      </c>
      <c r="G32" t="inlineStr">
        <is>
          <t>KRISTINEHAMN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Kamjordstjärna</t>
        </is>
      </c>
      <c r="W32">
        <f>HYPERLINK("https://klasma.github.io/Logging_1781/artfynd/A 13025-2023 artfynd.xlsx", "A 13025-2023")</f>
        <v/>
      </c>
      <c r="X32">
        <f>HYPERLINK("https://klasma.github.io/Logging_1781/kartor/A 13025-2023 karta.png", "A 13025-2023")</f>
        <v/>
      </c>
      <c r="Y32">
        <f>HYPERLINK("https://klasma.github.io/Logging_1781/kartor_geotiff/A 13025-2023 georefererad karta.tif", "A 13025-2023")</f>
        <v/>
      </c>
      <c r="AA32">
        <f>HYPERLINK("https://klasma.github.io/Logging_1781/klagomål/A 13025-2023 FSC-klagomål.docx", "A 13025-2023")</f>
        <v/>
      </c>
      <c r="AB32">
        <f>HYPERLINK("https://klasma.github.io/Logging_1781/klagomålsmail/A 13025-2023 FSC-klagomål mail.docx", "A 13025-2023")</f>
        <v/>
      </c>
      <c r="AC32">
        <f>HYPERLINK("https://klasma.github.io/Logging_1781/tillsyn/A 13025-2023 tillsynsbegäran.docx", "A 13025-2023")</f>
        <v/>
      </c>
      <c r="AD32">
        <f>HYPERLINK("https://klasma.github.io/Logging_1781/tillsynsmail/A 13025-2023 tillsynsbegäran mail.docx", "A 13025-2023")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46317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46317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8714-2024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46317</v>
      </c>
      <c r="F35" t="inlineStr">
        <is>
          <t>VÄRMLANDS LÄN</t>
        </is>
      </c>
      <c r="G35" t="inlineStr">
        <is>
          <t>KRISTINEHAMN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Bombmurkla</t>
        </is>
      </c>
      <c r="W35">
        <f>HYPERLINK("https://klasma.github.io/Logging_1781/artfynd/A 8714-2024 artfynd.xlsx", "A 8714-2024")</f>
        <v/>
      </c>
      <c r="X35">
        <f>HYPERLINK("https://klasma.github.io/Logging_1781/kartor/A 8714-2024 karta.png", "A 8714-2024")</f>
        <v/>
      </c>
      <c r="Y35">
        <f>HYPERLINK("https://klasma.github.io/Logging_1781/kartor_geotiff/A 8714-2024 georefererad karta.tif", "A 8714-2024")</f>
        <v/>
      </c>
      <c r="AA35">
        <f>HYPERLINK("https://klasma.github.io/Logging_1781/klagomål/A 8714-2024 FSC-klagomål.docx", "A 8714-2024")</f>
        <v/>
      </c>
      <c r="AB35">
        <f>HYPERLINK("https://klasma.github.io/Logging_1781/klagomålsmail/A 8714-2024 FSC-klagomål mail.docx", "A 8714-2024")</f>
        <v/>
      </c>
      <c r="AC35">
        <f>HYPERLINK("https://klasma.github.io/Logging_1781/tillsyn/A 8714-2024 tillsynsbegäran.docx", "A 8714-2024")</f>
        <v/>
      </c>
      <c r="AD35">
        <f>HYPERLINK("https://klasma.github.io/Logging_1781/tillsynsmail/A 8714-2024 tillsynsbegäran mail.docx", "A 8714-2024")</f>
        <v/>
      </c>
    </row>
    <row r="36" ht="15" customHeight="1">
      <c r="A36" t="inlineStr">
        <is>
          <t>A 36792-2023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46317</v>
      </c>
      <c r="F36" t="inlineStr">
        <is>
          <t>VÄRMLANDS LÄN</t>
        </is>
      </c>
      <c r="G36" t="inlineStr">
        <is>
          <t>KRISTINEHAMN</t>
        </is>
      </c>
      <c r="I36" t="n">
        <v>4.2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36792-2023 artfynd.xlsx", "A 36792-2023")</f>
        <v/>
      </c>
      <c r="X36">
        <f>HYPERLINK("https://klasma.github.io/Logging_1781/kartor/A 36792-2023 karta.png", "A 36792-2023")</f>
        <v/>
      </c>
      <c r="Y36">
        <f>HYPERLINK("https://klasma.github.io/Logging_1781/kartor_geotiff/A 36792-2023 georefererad karta.tif", "A 36792-2023")</f>
        <v/>
      </c>
      <c r="AA36">
        <f>HYPERLINK("https://klasma.github.io/Logging_1781/klagomål/A 36792-2023 FSC-klagomål.docx", "A 36792-2023")</f>
        <v/>
      </c>
      <c r="AB36">
        <f>HYPERLINK("https://klasma.github.io/Logging_1781/klagomålsmail/A 36792-2023 FSC-klagomål mail.docx", "A 36792-2023")</f>
        <v/>
      </c>
      <c r="AC36">
        <f>HYPERLINK("https://klasma.github.io/Logging_1781/tillsyn/A 36792-2023 tillsynsbegäran.docx", "A 36792-2023")</f>
        <v/>
      </c>
      <c r="AD36">
        <f>HYPERLINK("https://klasma.github.io/Logging_1781/tillsynsmail/A 36792-2023 tillsynsbegäran mail.docx", "A 36792-2023")</f>
        <v/>
      </c>
    </row>
    <row r="37" ht="15" customHeight="1">
      <c r="A37" t="inlineStr">
        <is>
          <t>A 5494-2025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45693</v>
      </c>
      <c r="E37" s="1" t="n">
        <v>46317</v>
      </c>
      <c r="F37" t="inlineStr">
        <is>
          <t>VÄRMLANDS LÄN</t>
        </is>
      </c>
      <c r="G37" t="inlineStr">
        <is>
          <t>KRISTINEHAMN</t>
        </is>
      </c>
      <c r="I37" t="n">
        <v>8.699999999999999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HYPERLINK("https://klasma.github.io/Logging_1781/artfynd/A 5494-2025 artfynd.xlsx", "A 5494-2025")</f>
        <v/>
      </c>
      <c r="X37">
        <f>HYPERLINK("https://klasma.github.io/Logging_1781/kartor/A 5494-2025 karta.png", "A 5494-2025")</f>
        <v/>
      </c>
      <c r="Y37">
        <f>HYPERLINK("https://klasma.github.io/Logging_1781/kartor_geotiff/A 5494-2025 georefererad karta.tif", "A 5494-2025")</f>
        <v/>
      </c>
      <c r="AA37">
        <f>HYPERLINK("https://klasma.github.io/Logging_1781/klagomål/A 5494-2025 FSC-klagomål.docx", "A 5494-2025")</f>
        <v/>
      </c>
      <c r="AB37">
        <f>HYPERLINK("https://klasma.github.io/Logging_1781/klagomålsmail/A 5494-2025 FSC-klagomål mail.docx", "A 5494-2025")</f>
        <v/>
      </c>
      <c r="AC37">
        <f>HYPERLINK("https://klasma.github.io/Logging_1781/tillsyn/A 5494-2025 tillsynsbegäran.docx", "A 5494-2025")</f>
        <v/>
      </c>
      <c r="AD37">
        <f>HYPERLINK("https://klasma.github.io/Logging_1781/tillsynsmail/A 5494-2025 tillsynsbegäran mail.docx", "A 5494-2025")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46317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46317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46317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46317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46317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46317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46317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46317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46317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46317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46317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46317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46317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46317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46317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46317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46317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46317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46317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46317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46317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46317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46317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46317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44497</v>
      </c>
      <c r="E62" s="1" t="n">
        <v>46317</v>
      </c>
      <c r="F62" t="inlineStr">
        <is>
          <t>VÄRMLANDS LÄN</t>
        </is>
      </c>
      <c r="G62" t="inlineStr">
        <is>
          <t>KRISTINEHAMN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46317</v>
      </c>
      <c r="F63" t="inlineStr">
        <is>
          <t>VÄRMLANDS LÄN</t>
        </is>
      </c>
      <c r="G63" t="inlineStr">
        <is>
          <t>KRISTINEHAMN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46317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46317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46317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46317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46317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46317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46317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46317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46317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46317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46317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46317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46317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46317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46317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46317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46317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46317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46317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46317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46317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46317</v>
      </c>
      <c r="F85" t="inlineStr">
        <is>
          <t>VÄRMLANDS LÄN</t>
        </is>
      </c>
      <c r="G85" t="inlineStr">
        <is>
          <t>KRISTINEHAMN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46317</v>
      </c>
      <c r="F86" t="inlineStr">
        <is>
          <t>VÄRMLANDS LÄN</t>
        </is>
      </c>
      <c r="G86" t="inlineStr">
        <is>
          <t>KRISTINEHAMN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47368-2023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45202</v>
      </c>
      <c r="E87" s="1" t="n">
        <v>46317</v>
      </c>
      <c r="F87" t="inlineStr">
        <is>
          <t>VÄRMLANDS LÄN</t>
        </is>
      </c>
      <c r="G87" t="inlineStr">
        <is>
          <t>KRISTINEHAMN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45208</v>
      </c>
      <c r="E88" s="1" t="n">
        <v>46317</v>
      </c>
      <c r="F88" t="inlineStr">
        <is>
          <t>VÄRMLANDS LÄN</t>
        </is>
      </c>
      <c r="G88" t="inlineStr">
        <is>
          <t>KRISTINEHAMN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45202</v>
      </c>
      <c r="E89" s="1" t="n">
        <v>46317</v>
      </c>
      <c r="F89" t="inlineStr">
        <is>
          <t>VÄRMLANDS LÄN</t>
        </is>
      </c>
      <c r="G89" t="inlineStr">
        <is>
          <t>KRISTINEHAMN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46317</v>
      </c>
      <c r="F90" t="inlineStr">
        <is>
          <t>VÄRMLANDS LÄN</t>
        </is>
      </c>
      <c r="G90" t="inlineStr">
        <is>
          <t>KRISTINEHAMN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31152-2022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44770</v>
      </c>
      <c r="E91" s="1" t="n">
        <v>46317</v>
      </c>
      <c r="F91" t="inlineStr">
        <is>
          <t>VÄRMLANDS LÄN</t>
        </is>
      </c>
      <c r="G91" t="inlineStr">
        <is>
          <t>KRISTINEHAMN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46317</v>
      </c>
      <c r="F92" t="inlineStr">
        <is>
          <t>VÄRMLANDS LÄN</t>
        </is>
      </c>
      <c r="G92" t="inlineStr">
        <is>
          <t>KRISTINEHAMN</t>
        </is>
      </c>
      <c r="H92" t="inlineStr">
        <is>
          <t>Naturvårdsverket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45095</v>
      </c>
      <c r="E93" s="1" t="n">
        <v>46317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19447-2024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46317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46317</v>
      </c>
      <c r="F95" t="inlineStr">
        <is>
          <t>VÄRMLANDS LÄN</t>
        </is>
      </c>
      <c r="G95" t="inlineStr">
        <is>
          <t>KRISTINEHAMN</t>
        </is>
      </c>
      <c r="I95" t="n">
        <v>9.6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46317</v>
      </c>
      <c r="F96" t="inlineStr">
        <is>
          <t>VÄRMLANDS LÄN</t>
        </is>
      </c>
      <c r="G96" t="inlineStr">
        <is>
          <t>KRISTINEHAMN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46317</v>
      </c>
      <c r="F97" t="inlineStr">
        <is>
          <t>VÄRMLANDS LÄN</t>
        </is>
      </c>
      <c r="G97" t="inlineStr">
        <is>
          <t>KRISTINEHAMN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14340-2024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46317</v>
      </c>
      <c r="F98" t="inlineStr">
        <is>
          <t>VÄRMLANDS LÄN</t>
        </is>
      </c>
      <c r="G98" t="inlineStr">
        <is>
          <t>KRISTINEHAMN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46317</v>
      </c>
      <c r="F99" t="inlineStr">
        <is>
          <t>VÄRMLANDS LÄN</t>
        </is>
      </c>
      <c r="G99" t="inlineStr">
        <is>
          <t>KRISTINEHAMN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46003</v>
      </c>
      <c r="E100" s="1" t="n">
        <v>46317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45636</v>
      </c>
      <c r="E101" s="1" t="n">
        <v>46317</v>
      </c>
      <c r="F101" t="inlineStr">
        <is>
          <t>VÄRMLANDS LÄN</t>
        </is>
      </c>
      <c r="G101" t="inlineStr">
        <is>
          <t>KRISTINEHAMN</t>
        </is>
      </c>
      <c r="I101" t="n">
        <v>8.300000000000001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45792</v>
      </c>
      <c r="E102" s="1" t="n">
        <v>46317</v>
      </c>
      <c r="F102" t="inlineStr">
        <is>
          <t>VÄRMLANDS LÄN</t>
        </is>
      </c>
      <c r="G102" t="inlineStr">
        <is>
          <t>KRISTINEHAMN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46317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46317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36774-2022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44805</v>
      </c>
      <c r="E105" s="1" t="n">
        <v>46317</v>
      </c>
      <c r="F105" t="inlineStr">
        <is>
          <t>VÄRMLANDS LÄN</t>
        </is>
      </c>
      <c r="G105" t="inlineStr">
        <is>
          <t>KRISTINEHAMN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23510-2025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45792</v>
      </c>
      <c r="E106" s="1" t="n">
        <v>46317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46317</v>
      </c>
      <c r="F107" t="inlineStr">
        <is>
          <t>VÄRMLANDS LÄN</t>
        </is>
      </c>
      <c r="G107" t="inlineStr">
        <is>
          <t>KRISTINEHAMN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46317</v>
      </c>
      <c r="F108" t="inlineStr">
        <is>
          <t>VÄRMLANDS LÄN</t>
        </is>
      </c>
      <c r="G108" t="inlineStr">
        <is>
          <t>KRISTINEHAMN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46317</v>
      </c>
      <c r="F109" t="inlineStr">
        <is>
          <t>VÄRMLANDS LÄN</t>
        </is>
      </c>
      <c r="G109" t="inlineStr">
        <is>
          <t>KRISTINEHAMN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46317</v>
      </c>
      <c r="F110" t="inlineStr">
        <is>
          <t>VÄRMLANDS LÄN</t>
        </is>
      </c>
      <c r="G110" t="inlineStr">
        <is>
          <t>KRISTINEHAMN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65055-2023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46317</v>
      </c>
      <c r="F111" t="inlineStr">
        <is>
          <t>VÄRMLANDS LÄN</t>
        </is>
      </c>
      <c r="G111" t="inlineStr">
        <is>
          <t>KRISTINEHAMN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46317</v>
      </c>
      <c r="F112" t="inlineStr">
        <is>
          <t>VÄRMLANDS LÄN</t>
        </is>
      </c>
      <c r="G112" t="inlineStr">
        <is>
          <t>KRISTINEHAMN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46317</v>
      </c>
      <c r="F113" t="inlineStr">
        <is>
          <t>VÄRMLANDS LÄN</t>
        </is>
      </c>
      <c r="G113" t="inlineStr">
        <is>
          <t>KRISTINEHAMN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54690-2022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46317</v>
      </c>
      <c r="F114" t="inlineStr">
        <is>
          <t>VÄRMLANDS LÄN</t>
        </is>
      </c>
      <c r="G114" t="inlineStr">
        <is>
          <t>KRISTINEHAMN</t>
        </is>
      </c>
      <c r="I114" t="n">
        <v>11.1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46317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46317</v>
      </c>
      <c r="F116" t="inlineStr">
        <is>
          <t>VÄRMLANDS LÄN</t>
        </is>
      </c>
      <c r="G116" t="inlineStr">
        <is>
          <t>KRISTINEHAMN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45012-2024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46317</v>
      </c>
      <c r="F117" t="inlineStr">
        <is>
          <t>VÄRMLANDS LÄN</t>
        </is>
      </c>
      <c r="G117" t="inlineStr">
        <is>
          <t>KRISTINEHAMN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46317</v>
      </c>
      <c r="F118" t="inlineStr">
        <is>
          <t>VÄRMLANDS LÄN</t>
        </is>
      </c>
      <c r="G118" t="inlineStr">
        <is>
          <t>KRISTINEHAMN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45798</v>
      </c>
      <c r="E119" s="1" t="n">
        <v>46317</v>
      </c>
      <c r="F119" t="inlineStr">
        <is>
          <t>VÄRMLANDS LÄN</t>
        </is>
      </c>
      <c r="G119" t="inlineStr">
        <is>
          <t>KRISTINEHAMN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45799</v>
      </c>
      <c r="E120" s="1" t="n">
        <v>46317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Sveaskog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44941</v>
      </c>
      <c r="E121" s="1" t="n">
        <v>46317</v>
      </c>
      <c r="F121" t="inlineStr">
        <is>
          <t>VÄRMLANDS LÄN</t>
        </is>
      </c>
      <c r="G121" t="inlineStr">
        <is>
          <t>KRISTINEHAMN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46317</v>
      </c>
      <c r="F122" t="inlineStr">
        <is>
          <t>VÄRMLANDS LÄN</t>
        </is>
      </c>
      <c r="G122" t="inlineStr">
        <is>
          <t>KRISTINEHAMN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45246</v>
      </c>
      <c r="E123" s="1" t="n">
        <v>46317</v>
      </c>
      <c r="F123" t="inlineStr">
        <is>
          <t>VÄRMLANDS LÄN</t>
        </is>
      </c>
      <c r="G123" t="inlineStr">
        <is>
          <t>KRISTINEHAMN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45513</v>
      </c>
      <c r="E124" s="1" t="n">
        <v>46317</v>
      </c>
      <c r="F124" t="inlineStr">
        <is>
          <t>VÄRMLANDS LÄN</t>
        </is>
      </c>
      <c r="G124" t="inlineStr">
        <is>
          <t>KRISTINEHAMN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45802</v>
      </c>
      <c r="E125" s="1" t="n">
        <v>46317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45805</v>
      </c>
      <c r="E126" s="1" t="n">
        <v>46317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45805</v>
      </c>
      <c r="E127" s="1" t="n">
        <v>46317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Sveaskog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45902</v>
      </c>
      <c r="E128" s="1" t="n">
        <v>46317</v>
      </c>
      <c r="F128" t="inlineStr">
        <is>
          <t>VÄRMLANDS LÄN</t>
        </is>
      </c>
      <c r="G128" t="inlineStr">
        <is>
          <t>KRISTINEHAMN</t>
        </is>
      </c>
      <c r="H128" t="inlineStr">
        <is>
          <t>Sveaskog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46317</v>
      </c>
      <c r="F129" t="inlineStr">
        <is>
          <t>VÄRMLANDS LÄN</t>
        </is>
      </c>
      <c r="G129" t="inlineStr">
        <is>
          <t>KRISTINEHAMN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46317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46317</v>
      </c>
      <c r="F131" t="inlineStr">
        <is>
          <t>VÄRMLANDS LÄN</t>
        </is>
      </c>
      <c r="G131" t="inlineStr">
        <is>
          <t>KRISTINEHAMN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46317</v>
      </c>
      <c r="F132" t="inlineStr">
        <is>
          <t>VÄRMLANDS LÄN</t>
        </is>
      </c>
      <c r="G132" t="inlineStr">
        <is>
          <t>KRISTINEHAMN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46317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46317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46317</v>
      </c>
      <c r="F135" t="inlineStr">
        <is>
          <t>VÄRMLANDS LÄN</t>
        </is>
      </c>
      <c r="G135" t="inlineStr">
        <is>
          <t>KRISTINEHAMN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46317</v>
      </c>
      <c r="F136" t="inlineStr">
        <is>
          <t>VÄRMLANDS LÄN</t>
        </is>
      </c>
      <c r="G136" t="inlineStr">
        <is>
          <t>KRISTINEHAMN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46317</v>
      </c>
      <c r="F137" t="inlineStr">
        <is>
          <t>VÄRMLANDS LÄN</t>
        </is>
      </c>
      <c r="G137" t="inlineStr">
        <is>
          <t>KRISTINEHAMN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44918</v>
      </c>
      <c r="E138" s="1" t="n">
        <v>46317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Kommuner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46317</v>
      </c>
      <c r="F139" t="inlineStr">
        <is>
          <t>VÄRMLANDS LÄN</t>
        </is>
      </c>
      <c r="G139" t="inlineStr">
        <is>
          <t>KRISTINEHAMN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46317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12261-2024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45378</v>
      </c>
      <c r="E141" s="1" t="n">
        <v>46317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46317</v>
      </c>
      <c r="F142" t="inlineStr">
        <is>
          <t>VÄRMLANDS LÄN</t>
        </is>
      </c>
      <c r="G142" t="inlineStr">
        <is>
          <t>KRISTINEHAMN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45385</v>
      </c>
      <c r="E143" s="1" t="n">
        <v>46317</v>
      </c>
      <c r="F143" t="inlineStr">
        <is>
          <t>VÄRMLANDS LÄN</t>
        </is>
      </c>
      <c r="G143" t="inlineStr">
        <is>
          <t>KRISTINEHAMN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46317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46317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45366</v>
      </c>
      <c r="E146" s="1" t="n">
        <v>46317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46317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45121</v>
      </c>
      <c r="E148" s="1" t="n">
        <v>46317</v>
      </c>
      <c r="F148" t="inlineStr">
        <is>
          <t>VÄRMLANDS LÄN</t>
        </is>
      </c>
      <c r="G148" t="inlineStr">
        <is>
          <t>KRISTINEHAMN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46317</v>
      </c>
      <c r="F149" t="inlineStr">
        <is>
          <t>VÄRMLANDS LÄN</t>
        </is>
      </c>
      <c r="G149" t="inlineStr">
        <is>
          <t>KRISTINEHAMN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44917</v>
      </c>
      <c r="E150" s="1" t="n">
        <v>46317</v>
      </c>
      <c r="F150" t="inlineStr">
        <is>
          <t>VÄRMLANDS LÄN</t>
        </is>
      </c>
      <c r="G150" t="inlineStr">
        <is>
          <t>KRISTINEHAMN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46317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31327-2025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45833</v>
      </c>
      <c r="E152" s="1" t="n">
        <v>46317</v>
      </c>
      <c r="F152" t="inlineStr">
        <is>
          <t>VÄRMLANDS LÄN</t>
        </is>
      </c>
      <c r="G152" t="inlineStr">
        <is>
          <t>KRISTINEHAMN</t>
        </is>
      </c>
      <c r="I152" t="n">
        <v>20.1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46317</v>
      </c>
      <c r="F153" t="inlineStr">
        <is>
          <t>VÄRMLANDS LÄN</t>
        </is>
      </c>
      <c r="G153" t="inlineStr">
        <is>
          <t>KRISTINEHAMN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31528-2025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46317</v>
      </c>
      <c r="F154" t="inlineStr">
        <is>
          <t>VÄRMLANDS LÄN</t>
        </is>
      </c>
      <c r="G154" t="inlineStr">
        <is>
          <t>KRISTINEHAMN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45664</v>
      </c>
      <c r="E155" s="1" t="n">
        <v>46317</v>
      </c>
      <c r="F155" t="inlineStr">
        <is>
          <t>VÄRMLANDS LÄN</t>
        </is>
      </c>
      <c r="G155" t="inlineStr">
        <is>
          <t>KRISTINEHAMN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46317</v>
      </c>
      <c r="F156" t="inlineStr">
        <is>
          <t>VÄRMLANDS LÄN</t>
        </is>
      </c>
      <c r="G156" t="inlineStr">
        <is>
          <t>KRISTINEHAMN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48379-2025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46317</v>
      </c>
      <c r="F157" t="inlineStr">
        <is>
          <t>VÄRMLANDS LÄN</t>
        </is>
      </c>
      <c r="G157" t="inlineStr">
        <is>
          <t>KRISTINEHAMN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9394-2024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46317</v>
      </c>
      <c r="F158" t="inlineStr">
        <is>
          <t>VÄRMLANDS LÄN</t>
        </is>
      </c>
      <c r="G158" t="inlineStr">
        <is>
          <t>KRISTINEHAMN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44677</v>
      </c>
      <c r="E159" s="1" t="n">
        <v>46317</v>
      </c>
      <c r="F159" t="inlineStr">
        <is>
          <t>VÄRMLANDS LÄN</t>
        </is>
      </c>
      <c r="G159" t="inlineStr">
        <is>
          <t>KRISTINEHAMN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46317</v>
      </c>
      <c r="F160" t="inlineStr">
        <is>
          <t>VÄRMLANDS LÄN</t>
        </is>
      </c>
      <c r="G160" t="inlineStr">
        <is>
          <t>KRISTINEHAMN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50420-2025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45944</v>
      </c>
      <c r="E161" s="1" t="n">
        <v>46317</v>
      </c>
      <c r="F161" t="inlineStr">
        <is>
          <t>VÄRMLANDS LÄN</t>
        </is>
      </c>
      <c r="G161" t="inlineStr">
        <is>
          <t>KRISTINEHAMN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45370</v>
      </c>
      <c r="E162" s="1" t="n">
        <v>46317</v>
      </c>
      <c r="F162" t="inlineStr">
        <is>
          <t>VÄRMLANDS LÄN</t>
        </is>
      </c>
      <c r="G162" t="inlineStr">
        <is>
          <t>KRISTINEHAMN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12467-2024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45379</v>
      </c>
      <c r="E163" s="1" t="n">
        <v>46317</v>
      </c>
      <c r="F163" t="inlineStr">
        <is>
          <t>VÄRMLANDS LÄN</t>
        </is>
      </c>
      <c r="G163" t="inlineStr">
        <is>
          <t>KRISTINEHAMN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45782</v>
      </c>
      <c r="E164" s="1" t="n">
        <v>46317</v>
      </c>
      <c r="F164" t="inlineStr">
        <is>
          <t>VÄRMLANDS LÄN</t>
        </is>
      </c>
      <c r="G164" t="inlineStr">
        <is>
          <t>KRISTINEHAMN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46034</v>
      </c>
      <c r="E165" s="1" t="n">
        <v>46317</v>
      </c>
      <c r="F165" t="inlineStr">
        <is>
          <t>VÄRMLANDS LÄN</t>
        </is>
      </c>
      <c r="G165" t="inlineStr">
        <is>
          <t>KRISTINEHAMN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52088-2025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45952</v>
      </c>
      <c r="E166" s="1" t="n">
        <v>46317</v>
      </c>
      <c r="F166" t="inlineStr">
        <is>
          <t>VÄRMLANDS LÄN</t>
        </is>
      </c>
      <c r="G166" t="inlineStr">
        <is>
          <t>KRISTINEHAMN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46317</v>
      </c>
      <c r="F167" t="inlineStr">
        <is>
          <t>VÄRMLANDS LÄN</t>
        </is>
      </c>
      <c r="G167" t="inlineStr">
        <is>
          <t>KRISTINEHAMN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44722</v>
      </c>
      <c r="E168" s="1" t="n">
        <v>46317</v>
      </c>
      <c r="F168" t="inlineStr">
        <is>
          <t>VÄRMLANDS LÄN</t>
        </is>
      </c>
      <c r="G168" t="inlineStr">
        <is>
          <t>KRISTINEHAMN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46317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Sveaskog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44965</v>
      </c>
      <c r="E170" s="1" t="n">
        <v>46317</v>
      </c>
      <c r="F170" t="inlineStr">
        <is>
          <t>VÄRMLANDS LÄN</t>
        </is>
      </c>
      <c r="G170" t="inlineStr">
        <is>
          <t>KRISTINEHAMN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46317</v>
      </c>
      <c r="F171" t="inlineStr">
        <is>
          <t>VÄRMLANDS LÄN</t>
        </is>
      </c>
      <c r="G171" t="inlineStr">
        <is>
          <t>KRISTINEHAMN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12319-2022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44637</v>
      </c>
      <c r="E172" s="1" t="n">
        <v>46317</v>
      </c>
      <c r="F172" t="inlineStr">
        <is>
          <t>VÄRMLANDS LÄN</t>
        </is>
      </c>
      <c r="G172" t="inlineStr">
        <is>
          <t>KRISTINEHAMN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46317</v>
      </c>
      <c r="F173" t="inlineStr">
        <is>
          <t>VÄRMLANDS LÄN</t>
        </is>
      </c>
      <c r="G173" t="inlineStr">
        <is>
          <t>KRISTINEHAMN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46317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Sveaskog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46317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46317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Naturvårdsverket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46317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Naturvårdsverket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53909-2025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46317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46038</v>
      </c>
      <c r="E179" s="1" t="n">
        <v>46317</v>
      </c>
      <c r="F179" t="inlineStr">
        <is>
          <t>VÄRMLANDS LÄN</t>
        </is>
      </c>
      <c r="G179" t="inlineStr">
        <is>
          <t>KRISTINEHAMN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46317</v>
      </c>
      <c r="F180" t="inlineStr">
        <is>
          <t>VÄRMLANDS LÄN</t>
        </is>
      </c>
      <c r="G180" t="inlineStr">
        <is>
          <t>KRISTINEHAMN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46317</v>
      </c>
      <c r="F181" t="inlineStr">
        <is>
          <t>VÄRMLANDS LÄN</t>
        </is>
      </c>
      <c r="G181" t="inlineStr">
        <is>
          <t>KRISTINEHAMN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61034-2021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44497</v>
      </c>
      <c r="E182" s="1" t="n">
        <v>46317</v>
      </c>
      <c r="F182" t="inlineStr">
        <is>
          <t>VÄRMLANDS LÄN</t>
        </is>
      </c>
      <c r="G182" t="inlineStr">
        <is>
          <t>KRISTINEHAMN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56315-2025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45974</v>
      </c>
      <c r="E183" s="1" t="n">
        <v>46317</v>
      </c>
      <c r="F183" t="inlineStr">
        <is>
          <t>VÄRMLANDS LÄN</t>
        </is>
      </c>
      <c r="G183" t="inlineStr">
        <is>
          <t>KRISTINEHAMN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55890-2023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45239</v>
      </c>
      <c r="E184" s="1" t="n">
        <v>46317</v>
      </c>
      <c r="F184" t="inlineStr">
        <is>
          <t>VÄRMLANDS LÄN</t>
        </is>
      </c>
      <c r="G184" t="inlineStr">
        <is>
          <t>KRISTINEHAMN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46317</v>
      </c>
      <c r="F185" t="inlineStr">
        <is>
          <t>VÄRMLANDS LÄN</t>
        </is>
      </c>
      <c r="G185" t="inlineStr">
        <is>
          <t>KRISTINEHAMN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44722</v>
      </c>
      <c r="E186" s="1" t="n">
        <v>46317</v>
      </c>
      <c r="F186" t="inlineStr">
        <is>
          <t>VÄRMLANDS LÄN</t>
        </is>
      </c>
      <c r="G186" t="inlineStr">
        <is>
          <t>KRISTINEHAMN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18319-2023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45041</v>
      </c>
      <c r="E187" s="1" t="n">
        <v>46317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46317</v>
      </c>
      <c r="F188" t="inlineStr">
        <is>
          <t>VÄRMLANDS LÄN</t>
        </is>
      </c>
      <c r="G188" t="inlineStr">
        <is>
          <t>KRISTINEHAMN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44753</v>
      </c>
      <c r="E189" s="1" t="n">
        <v>46317</v>
      </c>
      <c r="F189" t="inlineStr">
        <is>
          <t>VÄRMLANDS LÄN</t>
        </is>
      </c>
      <c r="G189" t="inlineStr">
        <is>
          <t>KRISTINEHAMN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45361</v>
      </c>
      <c r="E190" s="1" t="n">
        <v>46317</v>
      </c>
      <c r="F190" t="inlineStr">
        <is>
          <t>VÄRMLANDS LÄN</t>
        </is>
      </c>
      <c r="G190" t="inlineStr">
        <is>
          <t>KRISTINEHAMN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46317</v>
      </c>
      <c r="F191" t="inlineStr">
        <is>
          <t>VÄRMLANDS LÄN</t>
        </is>
      </c>
      <c r="G191" t="inlineStr">
        <is>
          <t>KRISTINEHAMN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46048</v>
      </c>
      <c r="E192" s="1" t="n">
        <v>46317</v>
      </c>
      <c r="F192" t="inlineStr">
        <is>
          <t>VÄRMLANDS LÄN</t>
        </is>
      </c>
      <c r="G192" t="inlineStr">
        <is>
          <t>KRISTINEHAMN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46317</v>
      </c>
      <c r="F193" t="inlineStr">
        <is>
          <t>VÄRMLANDS LÄN</t>
        </is>
      </c>
      <c r="G193" t="inlineStr">
        <is>
          <t>KRISTINEHAMN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46317</v>
      </c>
      <c r="F194" t="inlineStr">
        <is>
          <t>VÄRMLANDS LÄN</t>
        </is>
      </c>
      <c r="G194" t="inlineStr">
        <is>
          <t>KRISTINEHAMN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46317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Kommuner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22201-2022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44712</v>
      </c>
      <c r="E196" s="1" t="n">
        <v>46317</v>
      </c>
      <c r="F196" t="inlineStr">
        <is>
          <t>VÄRMLANDS LÄN</t>
        </is>
      </c>
      <c r="G196" t="inlineStr">
        <is>
          <t>KRISTINEHAMN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45662</v>
      </c>
      <c r="E197" s="1" t="n">
        <v>46317</v>
      </c>
      <c r="F197" t="inlineStr">
        <is>
          <t>VÄRMLANDS LÄN</t>
        </is>
      </c>
      <c r="G197" t="inlineStr">
        <is>
          <t>KRISTINEHAMN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6259-2026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46051</v>
      </c>
      <c r="E198" s="1" t="n">
        <v>46317</v>
      </c>
      <c r="F198" t="inlineStr">
        <is>
          <t>VÄRMLANDS LÄN</t>
        </is>
      </c>
      <c r="G198" t="inlineStr">
        <is>
          <t>KRISTINEHAMN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46317</v>
      </c>
      <c r="F199" t="inlineStr">
        <is>
          <t>VÄRMLANDS LÄN</t>
        </is>
      </c>
      <c r="G199" t="inlineStr">
        <is>
          <t>KRISTINEHAMN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45995</v>
      </c>
      <c r="E200" s="1" t="n">
        <v>46317</v>
      </c>
      <c r="F200" t="inlineStr">
        <is>
          <t>VÄRMLANDS LÄN</t>
        </is>
      </c>
      <c r="G200" t="inlineStr">
        <is>
          <t>KRISTINEHAMN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45995</v>
      </c>
      <c r="E201" s="1" t="n">
        <v>46317</v>
      </c>
      <c r="F201" t="inlineStr">
        <is>
          <t>VÄRMLANDS LÄN</t>
        </is>
      </c>
      <c r="G201" t="inlineStr">
        <is>
          <t>KRISTINEHAMN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46317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Bergvik skog väst AB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46317</v>
      </c>
      <c r="F203" t="inlineStr">
        <is>
          <t>VÄRMLANDS LÄN</t>
        </is>
      </c>
      <c r="G203" t="inlineStr">
        <is>
          <t>KRISTINEHAMN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45999</v>
      </c>
      <c r="E204" s="1" t="n">
        <v>46317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45141</v>
      </c>
      <c r="E205" s="1" t="n">
        <v>46317</v>
      </c>
      <c r="F205" t="inlineStr">
        <is>
          <t>VÄRMLANDS LÄN</t>
        </is>
      </c>
      <c r="G205" t="inlineStr">
        <is>
          <t>KRISTINEHAMN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46000</v>
      </c>
      <c r="E206" s="1" t="n">
        <v>46317</v>
      </c>
      <c r="F206" t="inlineStr">
        <is>
          <t>VÄRMLANDS LÄN</t>
        </is>
      </c>
      <c r="G206" t="inlineStr">
        <is>
          <t>KRISTINEHAMN</t>
        </is>
      </c>
      <c r="H206" t="inlineStr">
        <is>
          <t>Naturvårdsverket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45749</v>
      </c>
      <c r="E207" s="1" t="n">
        <v>46317</v>
      </c>
      <c r="F207" t="inlineStr">
        <is>
          <t>VÄRMLANDS LÄN</t>
        </is>
      </c>
      <c r="G207" t="inlineStr">
        <is>
          <t>KRISTINEHAMN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60942-2025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45999</v>
      </c>
      <c r="E208" s="1" t="n">
        <v>46317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46317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Bergvik skog väst AB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46317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46001</v>
      </c>
      <c r="E211" s="1" t="n">
        <v>46317</v>
      </c>
      <c r="F211" t="inlineStr">
        <is>
          <t>VÄRMLANDS LÄN</t>
        </is>
      </c>
      <c r="G211" t="inlineStr">
        <is>
          <t>KRISTINEHAMN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46003</v>
      </c>
      <c r="E212" s="1" t="n">
        <v>46317</v>
      </c>
      <c r="F212" t="inlineStr">
        <is>
          <t>VÄRMLANDS LÄN</t>
        </is>
      </c>
      <c r="G212" t="inlineStr">
        <is>
          <t>KRISTINEHAMN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46317</v>
      </c>
      <c r="F213" t="inlineStr">
        <is>
          <t>VÄRMLANDS LÄN</t>
        </is>
      </c>
      <c r="G213" t="inlineStr">
        <is>
          <t>KRISTINEHAMN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46317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45666</v>
      </c>
      <c r="E215" s="1" t="n">
        <v>46317</v>
      </c>
      <c r="F215" t="inlineStr">
        <is>
          <t>VÄRMLANDS LÄN</t>
        </is>
      </c>
      <c r="G215" t="inlineStr">
        <is>
          <t>KRISTINEHAMN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45656</v>
      </c>
      <c r="E216" s="1" t="n">
        <v>46317</v>
      </c>
      <c r="F216" t="inlineStr">
        <is>
          <t>VÄRMLANDS LÄN</t>
        </is>
      </c>
      <c r="G216" t="inlineStr">
        <is>
          <t>KRISTINEHAMN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45442</v>
      </c>
      <c r="E217" s="1" t="n">
        <v>46317</v>
      </c>
      <c r="F217" t="inlineStr">
        <is>
          <t>VÄRMLANDS LÄN</t>
        </is>
      </c>
      <c r="G217" t="inlineStr">
        <is>
          <t>KRISTINEHAMN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46317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61675-2024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45647</v>
      </c>
      <c r="E219" s="1" t="n">
        <v>46317</v>
      </c>
      <c r="F219" t="inlineStr">
        <is>
          <t>VÄRMLANDS LÄN</t>
        </is>
      </c>
      <c r="G219" t="inlineStr">
        <is>
          <t>KRISTINEHAMN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13021-2023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46317</v>
      </c>
      <c r="F220" t="inlineStr">
        <is>
          <t>VÄRMLANDS LÄN</t>
        </is>
      </c>
      <c r="G220" t="inlineStr">
        <is>
          <t>KRISTINEHAMN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41857-2023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45176</v>
      </c>
      <c r="E221" s="1" t="n">
        <v>46317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Naturvårdsverket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45686</v>
      </c>
      <c r="E222" s="1" t="n">
        <v>46317</v>
      </c>
      <c r="F222" t="inlineStr">
        <is>
          <t>VÄRMLANDS LÄN</t>
        </is>
      </c>
      <c r="G222" t="inlineStr">
        <is>
          <t>KRISTINEHAMN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56875-2022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44894</v>
      </c>
      <c r="E223" s="1" t="n">
        <v>46317</v>
      </c>
      <c r="F223" t="inlineStr">
        <is>
          <t>VÄRMLANDS LÄN</t>
        </is>
      </c>
      <c r="G223" t="inlineStr">
        <is>
          <t>KRISTINEHAMN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46083</v>
      </c>
      <c r="E224" s="1" t="n">
        <v>46317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70126-2021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46317</v>
      </c>
      <c r="F225" t="inlineStr">
        <is>
          <t>VÄRMLANDS LÄN</t>
        </is>
      </c>
      <c r="G225" t="inlineStr">
        <is>
          <t>KRISTINEHAMN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46317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62495-2022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44917</v>
      </c>
      <c r="E227" s="1" t="n">
        <v>46317</v>
      </c>
      <c r="F227" t="inlineStr">
        <is>
          <t>VÄRMLANDS LÄN</t>
        </is>
      </c>
      <c r="G227" t="inlineStr">
        <is>
          <t>KRISTINEHAMN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46317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46317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60738-2023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45260</v>
      </c>
      <c r="E230" s="1" t="n">
        <v>46317</v>
      </c>
      <c r="F230" t="inlineStr">
        <is>
          <t>VÄRMLANDS LÄN</t>
        </is>
      </c>
      <c r="G230" t="inlineStr">
        <is>
          <t>KRISTINEHAMN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46317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45253</v>
      </c>
      <c r="E232" s="1" t="n">
        <v>46317</v>
      </c>
      <c r="F232" t="inlineStr">
        <is>
          <t>VÄRMLANDS LÄN</t>
        </is>
      </c>
      <c r="G232" t="inlineStr">
        <is>
          <t>KRISTINEHAMN</t>
        </is>
      </c>
      <c r="I232" t="n">
        <v>8.199999999999999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13461-2026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46317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13462-2026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46317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Sveaskog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46526-2022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46317</v>
      </c>
      <c r="F235" t="inlineStr">
        <is>
          <t>VÄRMLANDS LÄN</t>
        </is>
      </c>
      <c r="G235" t="inlineStr">
        <is>
          <t>KRISTINEHAMN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46317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14759-2026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46317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45226</v>
      </c>
      <c r="E238" s="1" t="n">
        <v>46317</v>
      </c>
      <c r="F238" t="inlineStr">
        <is>
          <t>VÄRMLANDS LÄN</t>
        </is>
      </c>
      <c r="G238" t="inlineStr">
        <is>
          <t>KRISTINEHAMN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46317</v>
      </c>
      <c r="F239" t="inlineStr">
        <is>
          <t>VÄRMLANDS LÄN</t>
        </is>
      </c>
      <c r="G239" t="inlineStr">
        <is>
          <t>KRISTINEHAMN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45076</v>
      </c>
      <c r="E240" s="1" t="n">
        <v>46317</v>
      </c>
      <c r="F240" t="inlineStr">
        <is>
          <t>VÄRMLANDS LÄN</t>
        </is>
      </c>
      <c r="G240" t="inlineStr">
        <is>
          <t>KRISTINEHAMN</t>
        </is>
      </c>
      <c r="I240" t="n">
        <v>15.9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68505-2021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44525</v>
      </c>
      <c r="E241" s="1" t="n">
        <v>46317</v>
      </c>
      <c r="F241" t="inlineStr">
        <is>
          <t>VÄRMLANDS LÄN</t>
        </is>
      </c>
      <c r="G241" t="inlineStr">
        <is>
          <t>KRISTINEHAMN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15646-2026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46106</v>
      </c>
      <c r="E242" s="1" t="n">
        <v>46317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45366</v>
      </c>
      <c r="E243" s="1" t="n">
        <v>46317</v>
      </c>
      <c r="F243" t="inlineStr">
        <is>
          <t>VÄRMLANDS LÄN</t>
        </is>
      </c>
      <c r="G243" t="inlineStr">
        <is>
          <t>KRISTINEHAMN</t>
        </is>
      </c>
      <c r="I243" t="n">
        <v>19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15827-2026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46317</v>
      </c>
      <c r="F244" t="inlineStr">
        <is>
          <t>VÄRMLANDS LÄN</t>
        </is>
      </c>
      <c r="G244" t="inlineStr">
        <is>
          <t>KRISTINEHAMN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44923</v>
      </c>
      <c r="E245" s="1" t="n">
        <v>46317</v>
      </c>
      <c r="F245" t="inlineStr">
        <is>
          <t>VÄRMLANDS LÄN</t>
        </is>
      </c>
      <c r="G245" t="inlineStr">
        <is>
          <t>KRISTINEHAMN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46317</v>
      </c>
      <c r="F246" t="inlineStr">
        <is>
          <t>VÄRMLANDS LÄN</t>
        </is>
      </c>
      <c r="G246" t="inlineStr">
        <is>
          <t>KRISTINEHAMN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45167</v>
      </c>
      <c r="E247" s="1" t="n">
        <v>46317</v>
      </c>
      <c r="F247" t="inlineStr">
        <is>
          <t>VÄRMLANDS LÄN</t>
        </is>
      </c>
      <c r="G247" t="inlineStr">
        <is>
          <t>KRISTINEHAMN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25494-2023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45081</v>
      </c>
      <c r="E248" s="1" t="n">
        <v>46317</v>
      </c>
      <c r="F248" t="inlineStr">
        <is>
          <t>VÄRMLANDS LÄN</t>
        </is>
      </c>
      <c r="G248" t="inlineStr">
        <is>
          <t>KRISTINEHAMN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45313</v>
      </c>
      <c r="E249" s="1" t="n">
        <v>46317</v>
      </c>
      <c r="F249" t="inlineStr">
        <is>
          <t>VÄRMLANDS LÄN</t>
        </is>
      </c>
      <c r="G249" t="inlineStr">
        <is>
          <t>KRISTINEHAMN</t>
        </is>
      </c>
      <c r="I249" t="n">
        <v>11.2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45679</v>
      </c>
      <c r="E250" s="1" t="n">
        <v>46317</v>
      </c>
      <c r="F250" t="inlineStr">
        <is>
          <t>VÄRMLANDS LÄN</t>
        </is>
      </c>
      <c r="G250" t="inlineStr">
        <is>
          <t>KRISTINEHAMN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46317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46317</v>
      </c>
      <c r="F252" t="inlineStr">
        <is>
          <t>VÄRMLANDS LÄN</t>
        </is>
      </c>
      <c r="G252" t="inlineStr">
        <is>
          <t>KRISTINEHAMN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32821-2023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45112</v>
      </c>
      <c r="E253" s="1" t="n">
        <v>46317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45081</v>
      </c>
      <c r="E254" s="1" t="n">
        <v>46317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18909-2026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46317</v>
      </c>
      <c r="F255" t="inlineStr">
        <is>
          <t>VÄRMLANDS LÄN</t>
        </is>
      </c>
      <c r="G255" t="inlineStr">
        <is>
          <t>KRISTINEHAMN</t>
        </is>
      </c>
      <c r="H255" t="inlineStr">
        <is>
          <t>Sveaskog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46317</v>
      </c>
      <c r="F256" t="inlineStr">
        <is>
          <t>VÄRMLANDS LÄN</t>
        </is>
      </c>
      <c r="G256" t="inlineStr">
        <is>
          <t>KRISTINEHAMN</t>
        </is>
      </c>
      <c r="I256" t="n">
        <v>19.4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32821-2023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45112</v>
      </c>
      <c r="E257" s="1" t="n">
        <v>46317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46317</v>
      </c>
      <c r="F258" t="inlineStr">
        <is>
          <t>VÄRMLANDS LÄN</t>
        </is>
      </c>
      <c r="G258" t="inlineStr">
        <is>
          <t>KRISTINEHAMN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55363-2023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46317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Kommuner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45379</v>
      </c>
      <c r="E260" s="1" t="n">
        <v>46317</v>
      </c>
      <c r="F260" t="inlineStr">
        <is>
          <t>VÄRMLANDS LÄN</t>
        </is>
      </c>
      <c r="G260" t="inlineStr">
        <is>
          <t>KRISTINEHAMN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12423-2024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45379</v>
      </c>
      <c r="E261" s="1" t="n">
        <v>46317</v>
      </c>
      <c r="F261" t="inlineStr">
        <is>
          <t>VÄRMLANDS LÄN</t>
        </is>
      </c>
      <c r="G261" t="inlineStr">
        <is>
          <t>KRISTINEHAMN</t>
        </is>
      </c>
      <c r="I261" t="n">
        <v>12.6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10030-2023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46317</v>
      </c>
      <c r="F262" t="inlineStr">
        <is>
          <t>VÄRMLANDS LÄN</t>
        </is>
      </c>
      <c r="G262" t="inlineStr">
        <is>
          <t>KRISTINEHAMN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13459-2024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45387</v>
      </c>
      <c r="E263" s="1" t="n">
        <v>46317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Naturvårdsverket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46317</v>
      </c>
      <c r="F264" t="inlineStr">
        <is>
          <t>VÄRMLANDS LÄN</t>
        </is>
      </c>
      <c r="G264" t="inlineStr">
        <is>
          <t>KRISTINEHAMN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44959</v>
      </c>
      <c r="E265" s="1" t="n">
        <v>46317</v>
      </c>
      <c r="F265" t="inlineStr">
        <is>
          <t>VÄRMLANDS LÄN</t>
        </is>
      </c>
      <c r="G265" t="inlineStr">
        <is>
          <t>KRISTINEHAMN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38946-2025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46317</v>
      </c>
      <c r="F266" t="inlineStr">
        <is>
          <t>VÄRMLANDS LÄN</t>
        </is>
      </c>
      <c r="G266" t="inlineStr">
        <is>
          <t>KRISTINEHAMN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44851</v>
      </c>
      <c r="E267" s="1" t="n">
        <v>46317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Kommuner</t>
        </is>
      </c>
      <c r="I267" t="n">
        <v>8.6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46317</v>
      </c>
      <c r="F268" t="inlineStr">
        <is>
          <t>VÄRMLANDS LÄN</t>
        </is>
      </c>
      <c r="G268" t="inlineStr">
        <is>
          <t>KRISTINEHAMN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46317</v>
      </c>
      <c r="F269" t="inlineStr">
        <is>
          <t>VÄRMLANDS LÄN</t>
        </is>
      </c>
      <c r="G269" t="inlineStr">
        <is>
          <t>KRISTINEHAMN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46317</v>
      </c>
      <c r="F270" t="inlineStr">
        <is>
          <t>VÄRMLANDS LÄN</t>
        </is>
      </c>
      <c r="G270" t="inlineStr">
        <is>
          <t>KRISTINEHAMN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46317</v>
      </c>
      <c r="F271" t="inlineStr">
        <is>
          <t>VÄRMLANDS LÄN</t>
        </is>
      </c>
      <c r="G271" t="inlineStr">
        <is>
          <t>KRISTINEHAMN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46317</v>
      </c>
      <c r="F272" t="inlineStr">
        <is>
          <t>VÄRMLANDS LÄN</t>
        </is>
      </c>
      <c r="G272" t="inlineStr">
        <is>
          <t>KRISTINEHAMN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32409-2023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46317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46317</v>
      </c>
      <c r="F274" t="inlineStr">
        <is>
          <t>VÄRMLANDS LÄN</t>
        </is>
      </c>
      <c r="G274" t="inlineStr">
        <is>
          <t>KRISTINEHAMN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46317</v>
      </c>
      <c r="F275" t="inlineStr">
        <is>
          <t>VÄRMLANDS LÄN</t>
        </is>
      </c>
      <c r="G275" t="inlineStr">
        <is>
          <t>KRISTINEHAMN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46317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Bergvik skog väst AB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46317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24118-2024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45456</v>
      </c>
      <c r="E278" s="1" t="n">
        <v>46317</v>
      </c>
      <c r="F278" t="inlineStr">
        <is>
          <t>VÄRMLANDS LÄN</t>
        </is>
      </c>
      <c r="G278" t="inlineStr">
        <is>
          <t>KRISTINEHAMN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46317</v>
      </c>
      <c r="F279" t="inlineStr">
        <is>
          <t>VÄRMLANDS LÄN</t>
        </is>
      </c>
      <c r="G279" t="inlineStr">
        <is>
          <t>KRISTINEHAMN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46317</v>
      </c>
      <c r="F280" t="inlineStr">
        <is>
          <t>VÄRMLANDS LÄN</t>
        </is>
      </c>
      <c r="G280" t="inlineStr">
        <is>
          <t>KRISTINEHAMN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46317</v>
      </c>
      <c r="F281" t="inlineStr">
        <is>
          <t>VÄRMLANDS LÄN</t>
        </is>
      </c>
      <c r="G281" t="inlineStr">
        <is>
          <t>KRISTINEHAMN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46317</v>
      </c>
      <c r="F282" t="inlineStr">
        <is>
          <t>VÄRMLANDS LÄN</t>
        </is>
      </c>
      <c r="G282" t="inlineStr">
        <is>
          <t>KRISTINEHAMN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20102-2026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46317</v>
      </c>
      <c r="F283" t="inlineStr">
        <is>
          <t>VÄRMLANDS LÄN</t>
        </is>
      </c>
      <c r="G283" t="inlineStr">
        <is>
          <t>KRISTINEHAMN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21702-2024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45442</v>
      </c>
      <c r="E284" s="1" t="n">
        <v>46317</v>
      </c>
      <c r="F284" t="inlineStr">
        <is>
          <t>VÄRMLANDS LÄN</t>
        </is>
      </c>
      <c r="G284" t="inlineStr">
        <is>
          <t>KRISTINEHAMN</t>
        </is>
      </c>
      <c r="I284" t="n">
        <v>14.9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46140</v>
      </c>
      <c r="E285" s="1" t="n">
        <v>46317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14.2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45595</v>
      </c>
      <c r="E286" s="1" t="n">
        <v>46317</v>
      </c>
      <c r="F286" t="inlineStr">
        <is>
          <t>VÄRMLANDS LÄN</t>
        </is>
      </c>
      <c r="G286" t="inlineStr">
        <is>
          <t>KRISTINEHAMN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46317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45622</v>
      </c>
      <c r="E288" s="1" t="n">
        <v>46317</v>
      </c>
      <c r="F288" t="inlineStr">
        <is>
          <t>VÄRMLANDS LÄN</t>
        </is>
      </c>
      <c r="G288" t="inlineStr">
        <is>
          <t>KRISTINEHAMN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60805-2025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46317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Naturvårdsverket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44588</v>
      </c>
      <c r="E290" s="1" t="n">
        <v>46317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44588</v>
      </c>
      <c r="E291" s="1" t="n">
        <v>46317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45127</v>
      </c>
      <c r="E292" s="1" t="n">
        <v>46317</v>
      </c>
      <c r="F292" t="inlineStr">
        <is>
          <t>VÄRMLANDS LÄN</t>
        </is>
      </c>
      <c r="G292" t="inlineStr">
        <is>
          <t>KRISTINEHAMN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45600</v>
      </c>
      <c r="E293" s="1" t="n">
        <v>46317</v>
      </c>
      <c r="F293" t="inlineStr">
        <is>
          <t>VÄRMLANDS LÄN</t>
        </is>
      </c>
      <c r="G293" t="inlineStr">
        <is>
          <t>KRISTINEHAMN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46317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45082</v>
      </c>
      <c r="E295" s="1" t="n">
        <v>46317</v>
      </c>
      <c r="F295" t="inlineStr">
        <is>
          <t>VÄRMLANDS LÄN</t>
        </is>
      </c>
      <c r="G295" t="inlineStr">
        <is>
          <t>KRISTINEHAMN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62767-2023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46317</v>
      </c>
      <c r="F296" t="inlineStr">
        <is>
          <t>VÄRMLANDS LÄN</t>
        </is>
      </c>
      <c r="G296" t="inlineStr">
        <is>
          <t>KRISTINEHAMN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28834-2024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45478</v>
      </c>
      <c r="E297" s="1" t="n">
        <v>46317</v>
      </c>
      <c r="F297" t="inlineStr">
        <is>
          <t>VÄRMLANDS LÄN</t>
        </is>
      </c>
      <c r="G297" t="inlineStr">
        <is>
          <t>KRISTINEHAMN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46141</v>
      </c>
      <c r="E298" s="1" t="n">
        <v>46317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Naturvårdsverket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46317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46317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Naturvårdsverket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23270-2024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46317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46317</v>
      </c>
      <c r="F302" t="inlineStr">
        <is>
          <t>VÄRMLANDS LÄN</t>
        </is>
      </c>
      <c r="G302" t="inlineStr">
        <is>
          <t>KRISTINEHAMN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47648-2023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46317</v>
      </c>
      <c r="F303" t="inlineStr">
        <is>
          <t>VÄRMLANDS LÄN</t>
        </is>
      </c>
      <c r="G303" t="inlineStr">
        <is>
          <t>KRISTINEHAMN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21844-2026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46317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22060-2026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46149</v>
      </c>
      <c r="E305" s="1" t="n">
        <v>46317</v>
      </c>
      <c r="F305" t="inlineStr">
        <is>
          <t>VÄRMLANDS LÄN</t>
        </is>
      </c>
      <c r="G305" t="inlineStr">
        <is>
          <t>KRISTINEHAMN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21842-2026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46317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46317</v>
      </c>
      <c r="F307" t="inlineStr">
        <is>
          <t>VÄRMLANDS LÄN</t>
        </is>
      </c>
      <c r="G307" t="inlineStr">
        <is>
          <t>KRISTINEHAMN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18954-2023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45044</v>
      </c>
      <c r="E308" s="1" t="n">
        <v>46317</v>
      </c>
      <c r="F308" t="inlineStr">
        <is>
          <t>VÄRMLANDS LÄN</t>
        </is>
      </c>
      <c r="G308" t="inlineStr">
        <is>
          <t>KRISTINEHAMN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45313</v>
      </c>
      <c r="E309" s="1" t="n">
        <v>46317</v>
      </c>
      <c r="F309" t="inlineStr">
        <is>
          <t>VÄRMLANDS LÄN</t>
        </is>
      </c>
      <c r="G309" t="inlineStr">
        <is>
          <t>KRISTINEHAMN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15860-2023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45022</v>
      </c>
      <c r="E310" s="1" t="n">
        <v>46317</v>
      </c>
      <c r="F310" t="inlineStr">
        <is>
          <t>VÄRMLANDS LÄN</t>
        </is>
      </c>
      <c r="G310" t="inlineStr">
        <is>
          <t>KRISTINEHAMN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6644-2024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45341</v>
      </c>
      <c r="E311" s="1" t="n">
        <v>46317</v>
      </c>
      <c r="F311" t="inlineStr">
        <is>
          <t>VÄRMLANDS LÄN</t>
        </is>
      </c>
      <c r="G311" t="inlineStr">
        <is>
          <t>KRISTINEHAMN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46317</v>
      </c>
      <c r="F312" t="inlineStr">
        <is>
          <t>VÄRMLANDS LÄN</t>
        </is>
      </c>
      <c r="G312" t="inlineStr">
        <is>
          <t>KRISTINEHAMN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46317</v>
      </c>
      <c r="F313" t="inlineStr">
        <is>
          <t>VÄRMLANDS LÄN</t>
        </is>
      </c>
      <c r="G313" t="inlineStr">
        <is>
          <t>KRISTINEHAMN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45456</v>
      </c>
      <c r="E314" s="1" t="n">
        <v>46317</v>
      </c>
      <c r="F314" t="inlineStr">
        <is>
          <t>VÄRMLANDS LÄN</t>
        </is>
      </c>
      <c r="G314" t="inlineStr">
        <is>
          <t>KRISTINEHAMN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44812</v>
      </c>
      <c r="E315" s="1" t="n">
        <v>46317</v>
      </c>
      <c r="F315" t="inlineStr">
        <is>
          <t>VÄRMLANDS LÄN</t>
        </is>
      </c>
      <c r="G315" t="inlineStr">
        <is>
          <t>KRISTINEHAMN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26042-2022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44734</v>
      </c>
      <c r="E316" s="1" t="n">
        <v>46317</v>
      </c>
      <c r="F316" t="inlineStr">
        <is>
          <t>VÄRMLANDS LÄN</t>
        </is>
      </c>
      <c r="G316" t="inlineStr">
        <is>
          <t>KRISTINEHAMN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46317</v>
      </c>
      <c r="F317" t="inlineStr">
        <is>
          <t>VÄRMLANDS LÄN</t>
        </is>
      </c>
      <c r="G317" t="inlineStr">
        <is>
          <t>KRISTINEHAMN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46317</v>
      </c>
      <c r="F318" t="inlineStr">
        <is>
          <t>VÄRMLANDS LÄN</t>
        </is>
      </c>
      <c r="G318" t="inlineStr">
        <is>
          <t>KRISTINEHAMN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46317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23294-2026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46317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45666</v>
      </c>
      <c r="E321" s="1" t="n">
        <v>46317</v>
      </c>
      <c r="F321" t="inlineStr">
        <is>
          <t>VÄRMLANDS LÄN</t>
        </is>
      </c>
      <c r="G321" t="inlineStr">
        <is>
          <t>KRISTINEHAMN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42597-2023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46317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Sveaskog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46317</v>
      </c>
      <c r="F323" t="inlineStr">
        <is>
          <t>VÄRMLANDS LÄN</t>
        </is>
      </c>
      <c r="G323" t="inlineStr">
        <is>
          <t>KRISTINEHAMN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46317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Kyrkan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56671-2023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46317</v>
      </c>
      <c r="F325" t="inlineStr">
        <is>
          <t>VÄRMLANDS LÄN</t>
        </is>
      </c>
      <c r="G325" t="inlineStr">
        <is>
          <t>KRISTINEHAMN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46317</v>
      </c>
      <c r="F326" t="inlineStr">
        <is>
          <t>VÄRMLANDS LÄN</t>
        </is>
      </c>
      <c r="G326" t="inlineStr">
        <is>
          <t>KRISTINEHAMN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45701</v>
      </c>
      <c r="E327" s="1" t="n">
        <v>46317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24570-2026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46170</v>
      </c>
      <c r="E328" s="1" t="n">
        <v>46317</v>
      </c>
      <c r="F328" t="inlineStr">
        <is>
          <t>VÄRMLANDS LÄN</t>
        </is>
      </c>
      <c r="G328" t="inlineStr">
        <is>
          <t>KRISTINEHAMN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58319-2024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45631</v>
      </c>
      <c r="E329" s="1" t="n">
        <v>46317</v>
      </c>
      <c r="F329" t="inlineStr">
        <is>
          <t>VÄRMLANDS LÄN</t>
        </is>
      </c>
      <c r="G329" t="inlineStr">
        <is>
          <t>KRISTINEHAMN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46317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Sveaskog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46333-2023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45191</v>
      </c>
      <c r="E331" s="1" t="n">
        <v>46317</v>
      </c>
      <c r="F331" t="inlineStr">
        <is>
          <t>VÄRMLANDS LÄN</t>
        </is>
      </c>
      <c r="G331" t="inlineStr">
        <is>
          <t>KRISTINEHAMN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48405-2023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45201</v>
      </c>
      <c r="E332" s="1" t="n">
        <v>46317</v>
      </c>
      <c r="F332" t="inlineStr">
        <is>
          <t>VÄRMLANDS LÄN</t>
        </is>
      </c>
      <c r="G332" t="inlineStr">
        <is>
          <t>KRISTINEHAMN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25258-2026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46175</v>
      </c>
      <c r="E333" s="1" t="n">
        <v>46317</v>
      </c>
      <c r="F333" t="inlineStr">
        <is>
          <t>VÄRMLANDS LÄN</t>
        </is>
      </c>
      <c r="G333" t="inlineStr">
        <is>
          <t>KRISTINEHAMN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46317</v>
      </c>
      <c r="F334" t="inlineStr">
        <is>
          <t>VÄRMLANDS LÄN</t>
        </is>
      </c>
      <c r="G334" t="inlineStr">
        <is>
          <t>KRISTINEHAMN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46317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46317</v>
      </c>
      <c r="F336" t="inlineStr">
        <is>
          <t>VÄRMLANDS LÄN</t>
        </is>
      </c>
      <c r="G336" t="inlineStr">
        <is>
          <t>KRISTINEHAMN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46317</v>
      </c>
      <c r="F337" t="inlineStr">
        <is>
          <t>VÄRMLANDS LÄN</t>
        </is>
      </c>
      <c r="G337" t="inlineStr">
        <is>
          <t>KRISTINEHAMN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45344</v>
      </c>
      <c r="E338" s="1" t="n">
        <v>46317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Naturvårdsverket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42408-2022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44831</v>
      </c>
      <c r="E339" s="1" t="n">
        <v>46317</v>
      </c>
      <c r="F339" t="inlineStr">
        <is>
          <t>VÄRMLANDS LÄN</t>
        </is>
      </c>
      <c r="G339" t="inlineStr">
        <is>
          <t>KRISTINEHAMN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2522-2026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46037</v>
      </c>
      <c r="E340" s="1" t="n">
        <v>46317</v>
      </c>
      <c r="F340" t="inlineStr">
        <is>
          <t>VÄRMLANDS LÄN</t>
        </is>
      </c>
      <c r="G340" t="inlineStr">
        <is>
          <t>KRISTINEHAMN</t>
        </is>
      </c>
      <c r="I340" t="n">
        <v>11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27515-2023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46317</v>
      </c>
      <c r="F341" t="inlineStr">
        <is>
          <t>VÄRMLANDS LÄN</t>
        </is>
      </c>
      <c r="G341" t="inlineStr">
        <is>
          <t>KRISTINEHAMN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47467-2023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46317</v>
      </c>
      <c r="F342" t="inlineStr">
        <is>
          <t>VÄRMLANDS LÄN</t>
        </is>
      </c>
      <c r="G342" t="inlineStr">
        <is>
          <t>KRISTINEHAMN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45303</v>
      </c>
      <c r="E343" s="1" t="n">
        <v>46317</v>
      </c>
      <c r="F343" t="inlineStr">
        <is>
          <t>VÄRMLANDS LÄN</t>
        </is>
      </c>
      <c r="G343" t="inlineStr">
        <is>
          <t>KRISTINEHAMN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12395-2024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45379</v>
      </c>
      <c r="E344" s="1" t="n">
        <v>46317</v>
      </c>
      <c r="F344" t="inlineStr">
        <is>
          <t>VÄRMLANDS LÄN</t>
        </is>
      </c>
      <c r="G344" t="inlineStr">
        <is>
          <t>KRISTINEHAMN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46317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46317</v>
      </c>
      <c r="F346" t="inlineStr">
        <is>
          <t>VÄRMLANDS LÄN</t>
        </is>
      </c>
      <c r="G346" t="inlineStr">
        <is>
          <t>KRISTINEHAMN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27563-2026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46190</v>
      </c>
      <c r="E347" s="1" t="n">
        <v>46317</v>
      </c>
      <c r="F347" t="inlineStr">
        <is>
          <t>VÄRMLANDS LÄN</t>
        </is>
      </c>
      <c r="G347" t="inlineStr">
        <is>
          <t>KRISTINEHAMN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45681</v>
      </c>
      <c r="E348" s="1" t="n">
        <v>46317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45678</v>
      </c>
      <c r="E349" s="1" t="n">
        <v>46317</v>
      </c>
      <c r="F349" t="inlineStr">
        <is>
          <t>VÄRMLANDS LÄN</t>
        </is>
      </c>
      <c r="G349" t="inlineStr">
        <is>
          <t>KRISTINEHAMN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13293-2024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45386</v>
      </c>
      <c r="E350" s="1" t="n">
        <v>46317</v>
      </c>
      <c r="F350" t="inlineStr">
        <is>
          <t>VÄRMLANDS LÄN</t>
        </is>
      </c>
      <c r="G350" t="inlineStr">
        <is>
          <t>KRISTINEHAMN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45302</v>
      </c>
      <c r="E351" s="1" t="n">
        <v>46317</v>
      </c>
      <c r="F351" t="inlineStr">
        <is>
          <t>VÄRMLANDS LÄN</t>
        </is>
      </c>
      <c r="G351" t="inlineStr">
        <is>
          <t>KRISTINEHAMN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45681</v>
      </c>
      <c r="E352" s="1" t="n">
        <v>46317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28472-2024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45477</v>
      </c>
      <c r="E353" s="1" t="n">
        <v>46317</v>
      </c>
      <c r="F353" t="inlineStr">
        <is>
          <t>VÄRMLANDS LÄN</t>
        </is>
      </c>
      <c r="G353" t="inlineStr">
        <is>
          <t>KRISTINEHAMN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62770-2023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45268</v>
      </c>
      <c r="E354" s="1" t="n">
        <v>46317</v>
      </c>
      <c r="F354" t="inlineStr">
        <is>
          <t>VÄRMLANDS LÄN</t>
        </is>
      </c>
      <c r="G354" t="inlineStr">
        <is>
          <t>KRISTINEHAMN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44651</v>
      </c>
      <c r="E355" s="1" t="n">
        <v>46317</v>
      </c>
      <c r="F355" t="inlineStr">
        <is>
          <t>VÄRMLANDS LÄN</t>
        </is>
      </c>
      <c r="G355" t="inlineStr">
        <is>
          <t>KRISTINEHAMN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45563-2022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44841</v>
      </c>
      <c r="E356" s="1" t="n">
        <v>46317</v>
      </c>
      <c r="F356" t="inlineStr">
        <is>
          <t>VÄRMLANDS LÄN</t>
        </is>
      </c>
      <c r="G356" t="inlineStr">
        <is>
          <t>KRISTINEHAMN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27210-2022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44741</v>
      </c>
      <c r="E357" s="1" t="n">
        <v>46317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Bergvik skog väst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46317</v>
      </c>
      <c r="F358" t="inlineStr">
        <is>
          <t>VÄRMLANDS LÄN</t>
        </is>
      </c>
      <c r="G358" t="inlineStr">
        <is>
          <t>KRISTINEHAMN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46317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46317</v>
      </c>
      <c r="F360" t="inlineStr">
        <is>
          <t>VÄRMLANDS LÄN</t>
        </is>
      </c>
      <c r="G360" t="inlineStr">
        <is>
          <t>KRISTINEHAMN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47770-2023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46317</v>
      </c>
      <c r="F361" t="inlineStr">
        <is>
          <t>VÄRMLANDS LÄN</t>
        </is>
      </c>
      <c r="G361" t="inlineStr">
        <is>
          <t>KRISTINEHAMN</t>
        </is>
      </c>
      <c r="I361" t="n">
        <v>9.300000000000001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24710-2024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45460</v>
      </c>
      <c r="E362" s="1" t="n">
        <v>46317</v>
      </c>
      <c r="F362" t="inlineStr">
        <is>
          <t>VÄRMLANDS LÄN</t>
        </is>
      </c>
      <c r="G362" t="inlineStr">
        <is>
          <t>KRISTINEHAMN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51616-2023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45222</v>
      </c>
      <c r="E363" s="1" t="n">
        <v>46317</v>
      </c>
      <c r="F363" t="inlineStr">
        <is>
          <t>VÄRMLANDS LÄN</t>
        </is>
      </c>
      <c r="G363" t="inlineStr">
        <is>
          <t>KRISTINEHAMN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45478</v>
      </c>
      <c r="E364" s="1" t="n">
        <v>46317</v>
      </c>
      <c r="F364" t="inlineStr">
        <is>
          <t>VÄRMLANDS LÄN</t>
        </is>
      </c>
      <c r="G364" t="inlineStr">
        <is>
          <t>KRISTINEHAMN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28836-2024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45478</v>
      </c>
      <c r="E365" s="1" t="n">
        <v>46317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45098</v>
      </c>
      <c r="E366" s="1" t="n">
        <v>46317</v>
      </c>
      <c r="F366" t="inlineStr">
        <is>
          <t>VÄRMLANDS LÄN</t>
        </is>
      </c>
      <c r="G366" t="inlineStr">
        <is>
          <t>KRISTINEHAMN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45098</v>
      </c>
      <c r="E367" s="1" t="n">
        <v>46317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46317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Naturvårdsverket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68526-2021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44526</v>
      </c>
      <c r="E369" s="1" t="n">
        <v>46317</v>
      </c>
      <c r="F369" t="inlineStr">
        <is>
          <t>VÄRMLANDS LÄN</t>
        </is>
      </c>
      <c r="G369" t="inlineStr">
        <is>
          <t>KRISTINEHAMN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68530-2021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44526</v>
      </c>
      <c r="E370" s="1" t="n">
        <v>46317</v>
      </c>
      <c r="F370" t="inlineStr">
        <is>
          <t>VÄRMLANDS LÄN</t>
        </is>
      </c>
      <c r="G370" t="inlineStr">
        <is>
          <t>KRISTINEHAMN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45104</v>
      </c>
      <c r="E371" s="1" t="n">
        <v>46317</v>
      </c>
      <c r="F371" t="inlineStr">
        <is>
          <t>VÄRMLANDS LÄN</t>
        </is>
      </c>
      <c r="G371" t="inlineStr">
        <is>
          <t>KRISTINEHAMN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44595</v>
      </c>
      <c r="E372" s="1" t="n">
        <v>46317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5507-2022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44595</v>
      </c>
      <c r="E373" s="1" t="n">
        <v>46317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Kommuner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31829-2026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46317</v>
      </c>
      <c r="F374" t="inlineStr">
        <is>
          <t>VÄRMLANDS LÄN</t>
        </is>
      </c>
      <c r="G374" t="inlineStr">
        <is>
          <t>KRISTINEHAMN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56662-2023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45243</v>
      </c>
      <c r="E375" s="1" t="n">
        <v>46317</v>
      </c>
      <c r="F375" t="inlineStr">
        <is>
          <t>VÄRMLANDS LÄN</t>
        </is>
      </c>
      <c r="G375" t="inlineStr">
        <is>
          <t>KRISTINEHAMN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46317</v>
      </c>
      <c r="F376" t="inlineStr">
        <is>
          <t>VÄRMLANDS LÄN</t>
        </is>
      </c>
      <c r="G376" t="inlineStr">
        <is>
          <t>KRISTINEHAMN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46317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45322</v>
      </c>
      <c r="E378" s="1" t="n">
        <v>46317</v>
      </c>
      <c r="F378" t="inlineStr">
        <is>
          <t>VÄRMLANDS LÄN</t>
        </is>
      </c>
      <c r="G378" t="inlineStr">
        <is>
          <t>KRISTINEHAMN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61988-2023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45266</v>
      </c>
      <c r="E379" s="1" t="n">
        <v>46317</v>
      </c>
      <c r="F379" t="inlineStr">
        <is>
          <t>VÄRMLANDS LÄN</t>
        </is>
      </c>
      <c r="G379" t="inlineStr">
        <is>
          <t>KRISTINEHAMN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44978</v>
      </c>
      <c r="E380" s="1" t="n">
        <v>46317</v>
      </c>
      <c r="F380" t="inlineStr">
        <is>
          <t>VÄRMLANDS LÄN</t>
        </is>
      </c>
      <c r="G380" t="inlineStr">
        <is>
          <t>KRISTINEHAMN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28152-2022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44746</v>
      </c>
      <c r="E381" s="1" t="n">
        <v>46317</v>
      </c>
      <c r="F381" t="inlineStr">
        <is>
          <t>VÄRMLANDS LÄN</t>
        </is>
      </c>
      <c r="G381" t="inlineStr">
        <is>
          <t>KRISTINEHAMN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59862-2024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45639</v>
      </c>
      <c r="E382" s="1" t="n">
        <v>46317</v>
      </c>
      <c r="F382" t="inlineStr">
        <is>
          <t>VÄRMLANDS LÄN</t>
        </is>
      </c>
      <c r="G382" t="inlineStr">
        <is>
          <t>KRISTINEHAMN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45450</v>
      </c>
      <c r="E383" s="1" t="n">
        <v>46317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Kommuner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22896-2023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45072</v>
      </c>
      <c r="E384" s="1" t="n">
        <v>46317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Bergvik skog väst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46282</v>
      </c>
      <c r="E385" s="1" t="n">
        <v>46317</v>
      </c>
      <c r="F385" t="inlineStr">
        <is>
          <t>VÄRMLANDS LÄN</t>
        </is>
      </c>
      <c r="G385" t="inlineStr">
        <is>
          <t>KRISTINEHAMN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39779-2023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45167</v>
      </c>
      <c r="E386" s="1" t="n">
        <v>46317</v>
      </c>
      <c r="F386" t="inlineStr">
        <is>
          <t>VÄRMLANDS LÄN</t>
        </is>
      </c>
      <c r="G386" t="inlineStr">
        <is>
          <t>KRISTINEHAMN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46281</v>
      </c>
      <c r="E387" s="1" t="n">
        <v>46317</v>
      </c>
      <c r="F387" t="inlineStr">
        <is>
          <t>VÄRMLANDS LÄN</t>
        </is>
      </c>
      <c r="G387" t="inlineStr">
        <is>
          <t>KRISTINEHAMN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44972</v>
      </c>
      <c r="E388" s="1" t="n">
        <v>46317</v>
      </c>
      <c r="F388" t="inlineStr">
        <is>
          <t>VÄRMLANDS LÄN</t>
        </is>
      </c>
      <c r="G388" t="inlineStr">
        <is>
          <t>KRISTINEHAMN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46281</v>
      </c>
      <c r="E389" s="1" t="n">
        <v>46317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Sveaskog</t>
        </is>
      </c>
      <c r="I389" t="n">
        <v>14.1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46317</v>
      </c>
      <c r="F390" t="inlineStr">
        <is>
          <t>VÄRMLANDS LÄN</t>
        </is>
      </c>
      <c r="G390" t="inlineStr">
        <is>
          <t>KRISTINEHAMN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46317</v>
      </c>
      <c r="F391" t="inlineStr">
        <is>
          <t>VÄRMLANDS LÄN</t>
        </is>
      </c>
      <c r="G391" t="inlineStr">
        <is>
          <t>KRISTINEHAMN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21861-2023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46317</v>
      </c>
      <c r="F392" t="inlineStr">
        <is>
          <t>VÄRMLANDS LÄN</t>
        </is>
      </c>
      <c r="G392" t="inlineStr">
        <is>
          <t>KRISTINEHAMN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45202</v>
      </c>
      <c r="E393" s="1" t="n">
        <v>46317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38840-2026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46286</v>
      </c>
      <c r="E394" s="1" t="n">
        <v>46317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15406-2024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45401</v>
      </c>
      <c r="E395" s="1" t="n">
        <v>46317</v>
      </c>
      <c r="F395" t="inlineStr">
        <is>
          <t>VÄRMLANDS LÄN</t>
        </is>
      </c>
      <c r="G395" t="inlineStr">
        <is>
          <t>KRISTINEHAMN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45141</v>
      </c>
      <c r="E396" s="1" t="n">
        <v>46317</v>
      </c>
      <c r="F396" t="inlineStr">
        <is>
          <t>VÄRMLANDS LÄN</t>
        </is>
      </c>
      <c r="G396" t="inlineStr">
        <is>
          <t>KRISTINEHAMN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56661-2023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46317</v>
      </c>
      <c r="F397" t="inlineStr">
        <is>
          <t>VÄRMLANDS LÄN</t>
        </is>
      </c>
      <c r="G397" t="inlineStr">
        <is>
          <t>KRISTINEHAMN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46317</v>
      </c>
      <c r="F398" t="inlineStr">
        <is>
          <t>VÄRMLANDS LÄN</t>
        </is>
      </c>
      <c r="G398" t="inlineStr">
        <is>
          <t>KRISTINEHAMN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46317</v>
      </c>
      <c r="F399" t="inlineStr">
        <is>
          <t>VÄRMLANDS LÄN</t>
        </is>
      </c>
      <c r="G399" t="inlineStr">
        <is>
          <t>KRISTINEHAMN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46317</v>
      </c>
      <c r="F400" t="inlineStr">
        <is>
          <t>VÄRMLANDS LÄN</t>
        </is>
      </c>
      <c r="G400" t="inlineStr">
        <is>
          <t>KRISTINEHAMN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39778-2023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45167</v>
      </c>
      <c r="E401" s="1" t="n">
        <v>46317</v>
      </c>
      <c r="F401" t="inlineStr">
        <is>
          <t>VÄRMLANDS LÄN</t>
        </is>
      </c>
      <c r="G401" t="inlineStr">
        <is>
          <t>KRISTINEHAMN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46317</v>
      </c>
      <c r="F402" t="inlineStr">
        <is>
          <t>VÄRMLANDS LÄN</t>
        </is>
      </c>
      <c r="G402" t="inlineStr">
        <is>
          <t>KRISTINEHAMN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10032-2023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44985</v>
      </c>
      <c r="E403" s="1" t="n">
        <v>46317</v>
      </c>
      <c r="F403" t="inlineStr">
        <is>
          <t>VÄRMLANDS LÄN</t>
        </is>
      </c>
      <c r="G403" t="inlineStr">
        <is>
          <t>KRISTINEHAMN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11020-2023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44991</v>
      </c>
      <c r="E404" s="1" t="n">
        <v>46317</v>
      </c>
      <c r="F404" t="inlineStr">
        <is>
          <t>VÄRMLANDS LÄN</t>
        </is>
      </c>
      <c r="G404" t="inlineStr">
        <is>
          <t>KRISTINEHAMN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58284-2024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45631</v>
      </c>
      <c r="E405" s="1" t="n">
        <v>46317</v>
      </c>
      <c r="F405" t="inlineStr">
        <is>
          <t>VÄRMLANDS LÄN</t>
        </is>
      </c>
      <c r="G405" t="inlineStr">
        <is>
          <t>KRISTINEHAMN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27531-2022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44742</v>
      </c>
      <c r="E406" s="1" t="n">
        <v>46317</v>
      </c>
      <c r="F406" t="inlineStr">
        <is>
          <t>VÄRMLANDS LÄN</t>
        </is>
      </c>
      <c r="G406" t="inlineStr">
        <is>
          <t>KRISTINEHAMN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40141-2026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46293</v>
      </c>
      <c r="E407" s="1" t="n">
        <v>46317</v>
      </c>
      <c r="F407" t="inlineStr">
        <is>
          <t>VÄRMLANDS LÄN</t>
        </is>
      </c>
      <c r="G407" t="inlineStr">
        <is>
          <t>KRISTINEHAMN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7695-2025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45705</v>
      </c>
      <c r="E408" s="1" t="n">
        <v>46317</v>
      </c>
      <c r="F408" t="inlineStr">
        <is>
          <t>VÄRMLANDS LÄN</t>
        </is>
      </c>
      <c r="G408" t="inlineStr">
        <is>
          <t>KRISTINEHAMN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45734</v>
      </c>
      <c r="E409" s="1" t="n">
        <v>46317</v>
      </c>
      <c r="F409" t="inlineStr">
        <is>
          <t>VÄRMLANDS LÄN</t>
        </is>
      </c>
      <c r="G409" t="inlineStr">
        <is>
          <t>KRISTINEHAMN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46317</v>
      </c>
      <c r="F410" t="inlineStr">
        <is>
          <t>VÄRMLANDS LÄN</t>
        </is>
      </c>
      <c r="G410" t="inlineStr">
        <is>
          <t>KRISTINEHAMN</t>
        </is>
      </c>
      <c r="I410" t="n">
        <v>10.4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51700-2023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45222</v>
      </c>
      <c r="E411" s="1" t="n">
        <v>46317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Bergvik skog väst AB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45379</v>
      </c>
      <c r="E412" s="1" t="n">
        <v>46317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59203-2024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46317</v>
      </c>
      <c r="F413" t="inlineStr">
        <is>
          <t>VÄRMLANDS LÄN</t>
        </is>
      </c>
      <c r="G413" t="inlineStr">
        <is>
          <t>KRISTINEHAMN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45679</v>
      </c>
      <c r="E414" s="1" t="n">
        <v>46317</v>
      </c>
      <c r="F414" t="inlineStr">
        <is>
          <t>VÄRMLANDS LÄN</t>
        </is>
      </c>
      <c r="G414" t="inlineStr">
        <is>
          <t>KRISTINEHAMN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45685</v>
      </c>
      <c r="E415" s="1" t="n">
        <v>46317</v>
      </c>
      <c r="F415" t="inlineStr">
        <is>
          <t>VÄRMLANDS LÄN</t>
        </is>
      </c>
      <c r="G415" t="inlineStr">
        <is>
          <t>KRISTINEHAMN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46317</v>
      </c>
      <c r="F416" t="inlineStr">
        <is>
          <t>VÄRMLANDS LÄN</t>
        </is>
      </c>
      <c r="G416" t="inlineStr">
        <is>
          <t>KRISTINEHAMN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46317</v>
      </c>
      <c r="F417" t="inlineStr">
        <is>
          <t>VÄRMLANDS LÄN</t>
        </is>
      </c>
      <c r="G417" t="inlineStr">
        <is>
          <t>KRISTINEHAMN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21602-2025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45783</v>
      </c>
      <c r="E418" s="1" t="n">
        <v>46317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46302</v>
      </c>
      <c r="E419" s="1" t="n">
        <v>46317</v>
      </c>
      <c r="F419" t="inlineStr">
        <is>
          <t>VÄRMLANDS LÄN</t>
        </is>
      </c>
      <c r="G419" t="inlineStr">
        <is>
          <t>KRISTINEHAMN</t>
        </is>
      </c>
      <c r="I419" t="n">
        <v>12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42402-2026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46307</v>
      </c>
      <c r="E420" s="1" t="n">
        <v>46317</v>
      </c>
      <c r="F420" t="inlineStr">
        <is>
          <t>VÄRMLANDS LÄN</t>
        </is>
      </c>
      <c r="G420" t="inlineStr">
        <is>
          <t>KRISTINEHAMN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46274</v>
      </c>
      <c r="E421" s="1" t="n">
        <v>46317</v>
      </c>
      <c r="F421" t="inlineStr">
        <is>
          <t>VÄRMLANDS LÄN</t>
        </is>
      </c>
      <c r="G421" t="inlineStr">
        <is>
          <t>KRISTINEHAMN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37185-2026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46274</v>
      </c>
      <c r="E422" s="1" t="n">
        <v>46317</v>
      </c>
      <c r="F422" t="inlineStr">
        <is>
          <t>VÄRMLANDS LÄN</t>
        </is>
      </c>
      <c r="G422" t="inlineStr">
        <is>
          <t>KRISTINEHAMN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46317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1815-2022</t>
        </is>
      </c>
      <c r="B424" t="inlineStr">
        <is>
          <t>samrådsanmälan</t>
        </is>
      </c>
      <c r="C424" t="inlineStr">
        <is>
          <t>Åtgärd i nyckelbiotop</t>
        </is>
      </c>
      <c r="D424" s="1" t="n">
        <v>44657</v>
      </c>
      <c r="E424" s="1" t="n">
        <v>46317</v>
      </c>
      <c r="F424" t="inlineStr">
        <is>
          <t>VÄRMLANDS LÄN</t>
        </is>
      </c>
      <c r="G424" t="inlineStr">
        <is>
          <t>KRISTINEHAMN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46317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2393-2022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44690</v>
      </c>
      <c r="E426" s="1" t="n">
        <v>46317</v>
      </c>
      <c r="F426" t="inlineStr">
        <is>
          <t>VÄRMLANDS LÄN</t>
        </is>
      </c>
      <c r="G426" t="inlineStr">
        <is>
          <t>KRISTINEHAMN</t>
        </is>
      </c>
      <c r="I426" t="n">
        <v>51.7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46317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46317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2254-2023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45103</v>
      </c>
      <c r="E429" s="1" t="n">
        <v>46317</v>
      </c>
      <c r="F429" t="inlineStr">
        <is>
          <t>VÄRMLANDS LÄN</t>
        </is>
      </c>
      <c r="G429" t="inlineStr">
        <is>
          <t>KRISTINEHAMN</t>
        </is>
      </c>
      <c r="I429" t="n">
        <v>51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46317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46317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46317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46317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46317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46317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46317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46317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46317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46317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46317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46317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46317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46317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46317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46317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46317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46317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2026-10-22T01:58:07Z</dcterms:created>
  <dcterms:modified xmlns:dcterms="http://purl.org/dc/terms/" xmlns:xsi="http://www.w3.org/2001/XMLSchema-instance" xsi:type="dcterms:W3CDTF">2026-10-22T01:58:07Z</dcterms:modified>
</cp:coreProperties>
</file>