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46300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46300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46300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46300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46300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46300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46300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46300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46300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46300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46300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14760-2026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46300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14760-2026 artfynd.xlsx", "A 14760-2026")</f>
        <v/>
      </c>
      <c r="X28">
        <f>HYPERLINK("https://klasma.github.io/Logging_1781/kartor/A 14760-2026 karta.png", "A 14760-2026")</f>
        <v/>
      </c>
      <c r="Y28">
        <f>HYPERLINK("https://klasma.github.io/Logging_1781/kartor_geotiff/A 14760-2026 georefererad karta.tif", "A 14760-2026")</f>
        <v/>
      </c>
      <c r="AA28">
        <f>HYPERLINK("https://klasma.github.io/Logging_1781/klagomål/A 14760-2026 FSC-klagomål.docx", "A 14760-2026")</f>
        <v/>
      </c>
      <c r="AB28">
        <f>HYPERLINK("https://klasma.github.io/Logging_1781/klagomålsmail/A 14760-2026 FSC-klagomål mail.docx", "A 14760-2026")</f>
        <v/>
      </c>
      <c r="AC28">
        <f>HYPERLINK("https://klasma.github.io/Logging_1781/tillsyn/A 14760-2026 tillsynsbegäran.docx", "A 14760-2026")</f>
        <v/>
      </c>
      <c r="AD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46300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14762-2026 artfynd.xlsx", "A 14762-2026")</f>
        <v/>
      </c>
      <c r="X29">
        <f>HYPERLINK("https://klasma.github.io/Logging_1781/kartor/A 14762-2026 karta.png", "A 14762-2026")</f>
        <v/>
      </c>
      <c r="Y29">
        <f>HYPERLINK("https://klasma.github.io/Logging_1781/kartor_geotiff/A 14762-2026 georefererad karta.tif", "A 14762-2026")</f>
        <v/>
      </c>
      <c r="AA29">
        <f>HYPERLINK("https://klasma.github.io/Logging_1781/klagomål/A 14762-2026 FSC-klagomål.docx", "A 14762-2026")</f>
        <v/>
      </c>
      <c r="AB29">
        <f>HYPERLINK("https://klasma.github.io/Logging_1781/klagomålsmail/A 14762-2026 FSC-klagomål mail.docx", "A 14762-2026")</f>
        <v/>
      </c>
      <c r="AC29">
        <f>HYPERLINK("https://klasma.github.io/Logging_1781/tillsyn/A 14762-2026 tillsynsbegäran.docx", "A 14762-2026")</f>
        <v/>
      </c>
      <c r="AD29">
        <f>HYPERLINK("https://klasma.github.io/Logging_1781/tillsynsmail/A 14762-2026 tillsynsbegäran mail.docx", "A 14762-2026")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46300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28394-2025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45819</v>
      </c>
      <c r="E31" s="1" t="n">
        <v>46300</v>
      </c>
      <c r="F31" t="inlineStr">
        <is>
          <t>VÄRMLANDS LÄN</t>
        </is>
      </c>
      <c r="G31" t="inlineStr">
        <is>
          <t>KRISTINEHAMN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vårtrattskivling</t>
        </is>
      </c>
      <c r="W31">
        <f>HYPERLINK("https://klasma.github.io/Logging_1781/artfynd/A 28394-2025 artfynd.xlsx", "A 28394-2025")</f>
        <v/>
      </c>
      <c r="X31">
        <f>HYPERLINK("https://klasma.github.io/Logging_1781/kartor/A 28394-2025 karta.png", "A 28394-2025")</f>
        <v/>
      </c>
      <c r="Y31">
        <f>HYPERLINK("https://klasma.github.io/Logging_1781/kartor_geotiff/A 28394-2025 georefererad karta.tif", "A 28394-2025")</f>
        <v/>
      </c>
      <c r="AA31">
        <f>HYPERLINK("https://klasma.github.io/Logging_1781/klagomål/A 28394-2025 FSC-klagomål.docx", "A 28394-2025")</f>
        <v/>
      </c>
      <c r="AB31">
        <f>HYPERLINK("https://klasma.github.io/Logging_1781/klagomålsmail/A 28394-2025 FSC-klagomål mail.docx", "A 28394-2025")</f>
        <v/>
      </c>
      <c r="AC31">
        <f>HYPERLINK("https://klasma.github.io/Logging_1781/tillsyn/A 28394-2025 tillsynsbegäran.docx", "A 28394-2025")</f>
        <v/>
      </c>
      <c r="AD31">
        <f>HYPERLINK("https://klasma.github.io/Logging_1781/tillsynsmail/A 28394-2025 tillsynsbegäran mail.docx", "A 28394-2025")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46300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46300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46300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46300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46300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46300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46300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46300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46300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46300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46300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46300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46300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46300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46300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46300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44659</v>
      </c>
      <c r="E48" s="1" t="n">
        <v>46300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46300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46300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46300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46300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46300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46300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46300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46300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46300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46300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46300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46300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46300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46300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46300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46300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46300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46300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46300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46300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46300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46300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46300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46300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46300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46300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46300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46300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46300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46300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46300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46300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46300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46300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46300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46300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46300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45081</v>
      </c>
      <c r="E87" s="1" t="n">
        <v>46300</v>
      </c>
      <c r="F87" t="inlineStr">
        <is>
          <t>VÄRMLANDS LÄN</t>
        </is>
      </c>
      <c r="G87" t="inlineStr">
        <is>
          <t>KRISTINEHAMN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46300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46300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46300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46300</v>
      </c>
      <c r="F91" t="inlineStr">
        <is>
          <t>VÄRMLANDS LÄN</t>
        </is>
      </c>
      <c r="G91" t="inlineStr">
        <is>
          <t>KRISTINEHAMN</t>
        </is>
      </c>
      <c r="I91" t="n">
        <v>14.9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46300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46300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46300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46300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46300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46300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46300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46300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46300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46300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Bergvik skog väst AB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46300</v>
      </c>
      <c r="F102" t="inlineStr">
        <is>
          <t>VÄRMLANDS LÄN</t>
        </is>
      </c>
      <c r="G102" t="inlineStr">
        <is>
          <t>KRISTINEHAMN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46300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46300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46300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46300</v>
      </c>
      <c r="F106" t="inlineStr">
        <is>
          <t>VÄRMLANDS LÄN</t>
        </is>
      </c>
      <c r="G106" t="inlineStr">
        <is>
          <t>KRISTINEHAMN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36774-2022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44805</v>
      </c>
      <c r="E107" s="1" t="n">
        <v>46300</v>
      </c>
      <c r="F107" t="inlineStr">
        <is>
          <t>VÄRMLANDS LÄN</t>
        </is>
      </c>
      <c r="G107" t="inlineStr">
        <is>
          <t>KRISTINEHAMN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45202</v>
      </c>
      <c r="E108" s="1" t="n">
        <v>46300</v>
      </c>
      <c r="F108" t="inlineStr">
        <is>
          <t>VÄRMLANDS LÄN</t>
        </is>
      </c>
      <c r="G108" t="inlineStr">
        <is>
          <t>KRISTINEHAMN</t>
        </is>
      </c>
      <c r="I108" t="n">
        <v>10.4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46300</v>
      </c>
      <c r="F109" t="inlineStr">
        <is>
          <t>VÄRMLANDS LÄN</t>
        </is>
      </c>
      <c r="G109" t="inlineStr">
        <is>
          <t>KRISTINEHAMN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46300</v>
      </c>
      <c r="F110" t="inlineStr">
        <is>
          <t>VÄRMLANDS LÄN</t>
        </is>
      </c>
      <c r="G110" t="inlineStr">
        <is>
          <t>KRISTINEHAMN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46300</v>
      </c>
      <c r="F111" t="inlineStr">
        <is>
          <t>VÄRMLANDS LÄN</t>
        </is>
      </c>
      <c r="G111" t="inlineStr">
        <is>
          <t>KRISTINEHAMN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46300</v>
      </c>
      <c r="F112" t="inlineStr">
        <is>
          <t>VÄRMLANDS LÄN</t>
        </is>
      </c>
      <c r="G112" t="inlineStr">
        <is>
          <t>KRISTINEHAMN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46300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46300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Bergvik skog väst AB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46300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46300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46300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46300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46300</v>
      </c>
      <c r="F119" t="inlineStr">
        <is>
          <t>VÄRMLANDS LÄN</t>
        </is>
      </c>
      <c r="G119" t="inlineStr">
        <is>
          <t>KRISTINEHAMN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46300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46300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46300</v>
      </c>
      <c r="F122" t="inlineStr">
        <is>
          <t>VÄRMLANDS LÄN</t>
        </is>
      </c>
      <c r="G122" t="inlineStr">
        <is>
          <t>KRISTINEHAMN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46300</v>
      </c>
      <c r="F123" t="inlineStr">
        <is>
          <t>VÄRMLANDS LÄN</t>
        </is>
      </c>
      <c r="G123" t="inlineStr">
        <is>
          <t>KRISTINEHAMN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23510-2025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45792</v>
      </c>
      <c r="E124" s="1" t="n">
        <v>46300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46300</v>
      </c>
      <c r="F125" t="inlineStr">
        <is>
          <t>VÄRMLANDS LÄN</t>
        </is>
      </c>
      <c r="G125" t="inlineStr">
        <is>
          <t>KRISTINEHAMN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46300</v>
      </c>
      <c r="F126" t="inlineStr">
        <is>
          <t>VÄRMLANDS LÄN</t>
        </is>
      </c>
      <c r="G126" t="inlineStr">
        <is>
          <t>KRISTINEHAMN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46300</v>
      </c>
      <c r="F127" t="inlineStr">
        <is>
          <t>VÄRMLANDS LÄN</t>
        </is>
      </c>
      <c r="G127" t="inlineStr">
        <is>
          <t>KRISTINEHAMN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46300</v>
      </c>
      <c r="F128" t="inlineStr">
        <is>
          <t>VÄRMLANDS LÄN</t>
        </is>
      </c>
      <c r="G128" t="inlineStr">
        <is>
          <t>KRISTINEHAMN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46300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46300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46300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46300</v>
      </c>
      <c r="F132" t="inlineStr">
        <is>
          <t>VÄRMLANDS LÄN</t>
        </is>
      </c>
      <c r="G132" t="inlineStr">
        <is>
          <t>KRISTINEHAMN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46300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46300</v>
      </c>
      <c r="F134" t="inlineStr">
        <is>
          <t>VÄRMLANDS LÄN</t>
        </is>
      </c>
      <c r="G134" t="inlineStr">
        <is>
          <t>KRISTINEHAMN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46300</v>
      </c>
      <c r="F135" t="inlineStr">
        <is>
          <t>VÄRMLANDS LÄN</t>
        </is>
      </c>
      <c r="G135" t="inlineStr">
        <is>
          <t>KRISTINEHAMN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46300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Naturvårdsverket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45282</v>
      </c>
      <c r="E137" s="1" t="n">
        <v>46300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46300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46300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46300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46300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6259-2026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46051</v>
      </c>
      <c r="E142" s="1" t="n">
        <v>46300</v>
      </c>
      <c r="F142" t="inlineStr">
        <is>
          <t>VÄRMLANDS LÄN</t>
        </is>
      </c>
      <c r="G142" t="inlineStr">
        <is>
          <t>KRISTINEHAMN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46300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46300</v>
      </c>
      <c r="F144" t="inlineStr">
        <is>
          <t>VÄRMLANDS LÄN</t>
        </is>
      </c>
      <c r="G144" t="inlineStr">
        <is>
          <t>KRISTINEHAMN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46300</v>
      </c>
      <c r="F145" t="inlineStr">
        <is>
          <t>VÄRMLANDS LÄN</t>
        </is>
      </c>
      <c r="G145" t="inlineStr">
        <is>
          <t>KRISTINEHAMN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46300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46300</v>
      </c>
      <c r="F147" t="inlineStr">
        <is>
          <t>VÄRMLANDS LÄN</t>
        </is>
      </c>
      <c r="G147" t="inlineStr">
        <is>
          <t>KRISTINEHAMN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46300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46300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46300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46300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46300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46300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46300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46300</v>
      </c>
      <c r="F155" t="inlineStr">
        <is>
          <t>VÄRMLANDS LÄN</t>
        </is>
      </c>
      <c r="G155" t="inlineStr">
        <is>
          <t>KRISTINEHAMN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46300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46300</v>
      </c>
      <c r="F157" t="inlineStr">
        <is>
          <t>VÄRMLANDS LÄN</t>
        </is>
      </c>
      <c r="G157" t="inlineStr">
        <is>
          <t>KRISTINEHAMN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46300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46300</v>
      </c>
      <c r="F159" t="inlineStr">
        <is>
          <t>VÄRMLANDS LÄN</t>
        </is>
      </c>
      <c r="G159" t="inlineStr">
        <is>
          <t>KRISTINEHAMN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46300</v>
      </c>
      <c r="F160" t="inlineStr">
        <is>
          <t>VÄRMLANDS LÄN</t>
        </is>
      </c>
      <c r="G160" t="inlineStr">
        <is>
          <t>KRISTINEHAMN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46300</v>
      </c>
      <c r="F161" t="inlineStr">
        <is>
          <t>VÄRMLANDS LÄN</t>
        </is>
      </c>
      <c r="G161" t="inlineStr">
        <is>
          <t>KRISTINEHAMN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45944</v>
      </c>
      <c r="E162" s="1" t="n">
        <v>46300</v>
      </c>
      <c r="F162" t="inlineStr">
        <is>
          <t>VÄRMLANDS LÄN</t>
        </is>
      </c>
      <c r="G162" t="inlineStr">
        <is>
          <t>KRISTINEHAMN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46300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46300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46300</v>
      </c>
      <c r="F165" t="inlineStr">
        <is>
          <t>VÄRMLANDS LÄN</t>
        </is>
      </c>
      <c r="G165" t="inlineStr">
        <is>
          <t>KRISTINEHAMN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46300</v>
      </c>
      <c r="F166" t="inlineStr">
        <is>
          <t>VÄRMLANDS LÄN</t>
        </is>
      </c>
      <c r="G166" t="inlineStr">
        <is>
          <t>KRISTINEHAMN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46300</v>
      </c>
      <c r="F167" t="inlineStr">
        <is>
          <t>VÄRMLANDS LÄN</t>
        </is>
      </c>
      <c r="G167" t="inlineStr">
        <is>
          <t>KRISTINEHAMN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46300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46300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46300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46300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46300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Sveaskog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46300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46300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46300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46300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46300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46300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46300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46300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46300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46300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46300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46300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45429</v>
      </c>
      <c r="E185" s="1" t="n">
        <v>46300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46300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46300</v>
      </c>
      <c r="F187" t="inlineStr">
        <is>
          <t>VÄRMLANDS LÄN</t>
        </is>
      </c>
      <c r="G187" t="inlineStr">
        <is>
          <t>KRISTINEHAMN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46300</v>
      </c>
      <c r="F188" t="inlineStr">
        <is>
          <t>VÄRMLANDS LÄN</t>
        </is>
      </c>
      <c r="G188" t="inlineStr">
        <is>
          <t>KRISTINEHAMN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45974</v>
      </c>
      <c r="E189" s="1" t="n">
        <v>46300</v>
      </c>
      <c r="F189" t="inlineStr">
        <is>
          <t>VÄRMLANDS LÄN</t>
        </is>
      </c>
      <c r="G189" t="inlineStr">
        <is>
          <t>KRISTINEHAMN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46300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46300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46300</v>
      </c>
      <c r="F192" t="inlineStr">
        <is>
          <t>VÄRMLANDS LÄN</t>
        </is>
      </c>
      <c r="G192" t="inlineStr">
        <is>
          <t>KRISTINEHAMN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46300</v>
      </c>
      <c r="F193" t="inlineStr">
        <is>
          <t>VÄRMLANDS LÄN</t>
        </is>
      </c>
      <c r="G193" t="inlineStr">
        <is>
          <t>KRISTINEHAMN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46300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46300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46300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46300</v>
      </c>
      <c r="F197" t="inlineStr">
        <is>
          <t>VÄRMLANDS LÄN</t>
        </is>
      </c>
      <c r="G197" t="inlineStr">
        <is>
          <t>KRISTINEHAMN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46300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46300</v>
      </c>
      <c r="F199" t="inlineStr">
        <is>
          <t>VÄRMLANDS LÄN</t>
        </is>
      </c>
      <c r="G199" t="inlineStr">
        <is>
          <t>KRISTINEHAMN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46300</v>
      </c>
      <c r="F200" t="inlineStr">
        <is>
          <t>VÄRMLANDS LÄN</t>
        </is>
      </c>
      <c r="G200" t="inlineStr">
        <is>
          <t>KRISTINEHAMN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46300</v>
      </c>
      <c r="F201" t="inlineStr">
        <is>
          <t>VÄRMLANDS LÄN</t>
        </is>
      </c>
      <c r="G201" t="inlineStr">
        <is>
          <t>KRISTINEHAMN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46300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45313</v>
      </c>
      <c r="E203" s="1" t="n">
        <v>46300</v>
      </c>
      <c r="F203" t="inlineStr">
        <is>
          <t>VÄRMLANDS LÄN</t>
        </is>
      </c>
      <c r="G203" t="inlineStr">
        <is>
          <t>KRISTINEHAMN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46300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54603-2021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46300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46300</v>
      </c>
      <c r="F206" t="inlineStr">
        <is>
          <t>VÄRMLANDS LÄN</t>
        </is>
      </c>
      <c r="G206" t="inlineStr">
        <is>
          <t>KRISTINEHAMN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46300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46300</v>
      </c>
      <c r="F208" t="inlineStr">
        <is>
          <t>VÄRMLANDS LÄN</t>
        </is>
      </c>
      <c r="G208" t="inlineStr">
        <is>
          <t>KRISTINEHAMN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46300</v>
      </c>
      <c r="F209" t="inlineStr">
        <is>
          <t>VÄRMLANDS LÄN</t>
        </is>
      </c>
      <c r="G209" t="inlineStr">
        <is>
          <t>KRISTINEHAMN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46300</v>
      </c>
      <c r="F210" t="inlineStr">
        <is>
          <t>VÄRMLANDS LÄN</t>
        </is>
      </c>
      <c r="G210" t="inlineStr">
        <is>
          <t>KRISTINEHAMN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13459-2024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45387</v>
      </c>
      <c r="E211" s="1" t="n">
        <v>46300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46300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45770</v>
      </c>
      <c r="E213" s="1" t="n">
        <v>46300</v>
      </c>
      <c r="F213" t="inlineStr">
        <is>
          <t>VÄRMLANDS LÄN</t>
        </is>
      </c>
      <c r="G213" t="inlineStr">
        <is>
          <t>KRISTINEHAMN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46300</v>
      </c>
      <c r="F214" t="inlineStr">
        <is>
          <t>VÄRMLANDS LÄN</t>
        </is>
      </c>
      <c r="G214" t="inlineStr">
        <is>
          <t>KRISTINEHAMN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46300</v>
      </c>
      <c r="F215" t="inlineStr">
        <is>
          <t>VÄRMLANDS LÄN</t>
        </is>
      </c>
      <c r="G215" t="inlineStr">
        <is>
          <t>KRISTINEHAMN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45364</v>
      </c>
      <c r="E216" s="1" t="n">
        <v>46300</v>
      </c>
      <c r="F216" t="inlineStr">
        <is>
          <t>VÄRMLANDS LÄN</t>
        </is>
      </c>
      <c r="G216" t="inlineStr">
        <is>
          <t>KRISTINEHAMN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46300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46300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46300</v>
      </c>
      <c r="F219" t="inlineStr">
        <is>
          <t>VÄRMLANDS LÄN</t>
        </is>
      </c>
      <c r="G219" t="inlineStr">
        <is>
          <t>KRISTINEHAMN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45112</v>
      </c>
      <c r="E220" s="1" t="n">
        <v>46300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46300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46300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46300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46300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45112</v>
      </c>
      <c r="E225" s="1" t="n">
        <v>46300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Kommuner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46300</v>
      </c>
      <c r="F226" t="inlineStr">
        <is>
          <t>VÄRMLANDS LÄN</t>
        </is>
      </c>
      <c r="G226" t="inlineStr">
        <is>
          <t>KRISTINEHAMN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46300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46300</v>
      </c>
      <c r="F228" t="inlineStr">
        <is>
          <t>VÄRMLANDS LÄN</t>
        </is>
      </c>
      <c r="G228" t="inlineStr">
        <is>
          <t>KRISTINEHAMN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46300</v>
      </c>
      <c r="F229" t="inlineStr">
        <is>
          <t>VÄRMLANDS LÄN</t>
        </is>
      </c>
      <c r="G229" t="inlineStr">
        <is>
          <t>KRISTINEHAMN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46300</v>
      </c>
      <c r="F230" t="inlineStr">
        <is>
          <t>VÄRMLANDS LÄN</t>
        </is>
      </c>
      <c r="G230" t="inlineStr">
        <is>
          <t>KRISTINEHAMN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46300</v>
      </c>
      <c r="F231" t="inlineStr">
        <is>
          <t>VÄRMLANDS LÄN</t>
        </is>
      </c>
      <c r="G231" t="inlineStr">
        <is>
          <t>KRISTINEHAMN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46300</v>
      </c>
      <c r="F232" t="inlineStr">
        <is>
          <t>VÄRMLANDS LÄN</t>
        </is>
      </c>
      <c r="G232" t="inlineStr">
        <is>
          <t>KRISTINEHAMN</t>
        </is>
      </c>
      <c r="I232" t="n">
        <v>20.1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46300</v>
      </c>
      <c r="F233" t="inlineStr">
        <is>
          <t>VÄRMLANDS LÄN</t>
        </is>
      </c>
      <c r="G233" t="inlineStr">
        <is>
          <t>KRISTINEHAMN</t>
        </is>
      </c>
      <c r="I233" t="n">
        <v>19.4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46300</v>
      </c>
      <c r="F234" t="inlineStr">
        <is>
          <t>VÄRMLANDS LÄN</t>
        </is>
      </c>
      <c r="G234" t="inlineStr">
        <is>
          <t>KRISTINEHAMN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46300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44474</v>
      </c>
      <c r="E236" s="1" t="n">
        <v>46300</v>
      </c>
      <c r="F236" t="inlineStr">
        <is>
          <t>VÄRMLANDS LÄN</t>
        </is>
      </c>
      <c r="G236" t="inlineStr">
        <is>
          <t>KRISTINEHAMN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46300</v>
      </c>
      <c r="F237" t="inlineStr">
        <is>
          <t>VÄRMLANDS LÄN</t>
        </is>
      </c>
      <c r="G237" t="inlineStr">
        <is>
          <t>KRISTINEHAMN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46300</v>
      </c>
      <c r="F238" t="inlineStr">
        <is>
          <t>VÄRMLANDS LÄN</t>
        </is>
      </c>
      <c r="G238" t="inlineStr">
        <is>
          <t>KRISTINEHAMN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46300</v>
      </c>
      <c r="F239" t="inlineStr">
        <is>
          <t>VÄRMLANDS LÄN</t>
        </is>
      </c>
      <c r="G239" t="inlineStr">
        <is>
          <t>KRISTINEHAMN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46300</v>
      </c>
      <c r="F240" t="inlineStr">
        <is>
          <t>VÄRMLANDS LÄN</t>
        </is>
      </c>
      <c r="G240" t="inlineStr">
        <is>
          <t>KRISTINEHAMN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46300</v>
      </c>
      <c r="F241" t="inlineStr">
        <is>
          <t>VÄRMLANDS LÄN</t>
        </is>
      </c>
      <c r="G241" t="inlineStr">
        <is>
          <t>KRISTINEHAMN</t>
        </is>
      </c>
      <c r="I241" t="n">
        <v>15.9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46300</v>
      </c>
      <c r="F242" t="inlineStr">
        <is>
          <t>VÄRMLANDS LÄN</t>
        </is>
      </c>
      <c r="G242" t="inlineStr">
        <is>
          <t>KRISTINEHAMN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46300</v>
      </c>
      <c r="F243" t="inlineStr">
        <is>
          <t>VÄRMLANDS LÄN</t>
        </is>
      </c>
      <c r="G243" t="inlineStr">
        <is>
          <t>KRISTINEHAMN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46300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46300</v>
      </c>
      <c r="F245" t="inlineStr">
        <is>
          <t>VÄRMLANDS LÄN</t>
        </is>
      </c>
      <c r="G245" t="inlineStr">
        <is>
          <t>KRISTINEHAMN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46300</v>
      </c>
      <c r="F246" t="inlineStr">
        <is>
          <t>VÄRMLANDS LÄN</t>
        </is>
      </c>
      <c r="G246" t="inlineStr">
        <is>
          <t>KRISTINEHAMN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44648</v>
      </c>
      <c r="E247" s="1" t="n">
        <v>46300</v>
      </c>
      <c r="F247" t="inlineStr">
        <is>
          <t>VÄRMLANDS LÄN</t>
        </is>
      </c>
      <c r="G247" t="inlineStr">
        <is>
          <t>KRISTINEHAMN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46300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46300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46300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46300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46300</v>
      </c>
      <c r="F252" t="inlineStr">
        <is>
          <t>VÄRMLANDS LÄN</t>
        </is>
      </c>
      <c r="G252" t="inlineStr">
        <is>
          <t>KRISTINEHAMN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46300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46300</v>
      </c>
      <c r="F254" t="inlineStr">
        <is>
          <t>VÄRMLANDS LÄN</t>
        </is>
      </c>
      <c r="G254" t="inlineStr">
        <is>
          <t>KRISTINEHAMN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46300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45361</v>
      </c>
      <c r="E256" s="1" t="n">
        <v>46300</v>
      </c>
      <c r="F256" t="inlineStr">
        <is>
          <t>VÄRMLANDS LÄN</t>
        </is>
      </c>
      <c r="G256" t="inlineStr">
        <is>
          <t>KRISTINEHAMN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46300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45782</v>
      </c>
      <c r="E258" s="1" t="n">
        <v>46300</v>
      </c>
      <c r="F258" t="inlineStr">
        <is>
          <t>VÄRMLANDS LÄN</t>
        </is>
      </c>
      <c r="G258" t="inlineStr">
        <is>
          <t>KRISTINEHAMN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46300</v>
      </c>
      <c r="F259" t="inlineStr">
        <is>
          <t>VÄRMLANDS LÄN</t>
        </is>
      </c>
      <c r="G259" t="inlineStr">
        <is>
          <t>KRISTINEHAMN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46300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46300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45392</v>
      </c>
      <c r="E262" s="1" t="n">
        <v>46300</v>
      </c>
      <c r="F262" t="inlineStr">
        <is>
          <t>VÄRMLANDS LÄN</t>
        </is>
      </c>
      <c r="G262" t="inlineStr">
        <is>
          <t>KRISTINEHAMN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46300</v>
      </c>
      <c r="F263" t="inlineStr">
        <is>
          <t>VÄRMLANDS LÄN</t>
        </is>
      </c>
      <c r="G263" t="inlineStr">
        <is>
          <t>KRISTINEHAMN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46300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68526-2021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46300</v>
      </c>
      <c r="F265" t="inlineStr">
        <is>
          <t>VÄRMLANDS LÄN</t>
        </is>
      </c>
      <c r="G265" t="inlineStr">
        <is>
          <t>KRISTINEHAMN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44526</v>
      </c>
      <c r="E266" s="1" t="n">
        <v>46300</v>
      </c>
      <c r="F266" t="inlineStr">
        <is>
          <t>VÄRMLANDS LÄN</t>
        </is>
      </c>
      <c r="G266" t="inlineStr">
        <is>
          <t>KRISTINEHAMN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46300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Bergvik skog väst AB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46300</v>
      </c>
      <c r="F268" t="inlineStr">
        <is>
          <t>VÄRMLANDS LÄN</t>
        </is>
      </c>
      <c r="G268" t="inlineStr">
        <is>
          <t>KRISTINEHAMN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46300</v>
      </c>
      <c r="F269" t="inlineStr">
        <is>
          <t>VÄRMLANDS LÄN</t>
        </is>
      </c>
      <c r="G269" t="inlineStr">
        <is>
          <t>KRISTINEHAMN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46300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45068</v>
      </c>
      <c r="E271" s="1" t="n">
        <v>46300</v>
      </c>
      <c r="F271" t="inlineStr">
        <is>
          <t>VÄRMLANDS LÄN</t>
        </is>
      </c>
      <c r="G271" t="inlineStr">
        <is>
          <t>KRISTINEHAMN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46300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46300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Naturvårdsverket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46300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45477</v>
      </c>
      <c r="E275" s="1" t="n">
        <v>46300</v>
      </c>
      <c r="F275" t="inlineStr">
        <is>
          <t>VÄRMLANDS LÄN</t>
        </is>
      </c>
      <c r="G275" t="inlineStr">
        <is>
          <t>KRISTINEHAMN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46300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46300</v>
      </c>
      <c r="F277" t="inlineStr">
        <is>
          <t>VÄRMLANDS LÄN</t>
        </is>
      </c>
      <c r="G277" t="inlineStr">
        <is>
          <t>KRISTINEHAMN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46300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46300</v>
      </c>
      <c r="F279" t="inlineStr">
        <is>
          <t>VÄRMLANDS LÄN</t>
        </is>
      </c>
      <c r="G279" t="inlineStr">
        <is>
          <t>KRISTINEHAMN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46300</v>
      </c>
      <c r="F280" t="inlineStr">
        <is>
          <t>VÄRMLANDS LÄN</t>
        </is>
      </c>
      <c r="G280" t="inlineStr">
        <is>
          <t>KRISTINEHAMN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46300</v>
      </c>
      <c r="F281" t="inlineStr">
        <is>
          <t>VÄRMLANDS LÄN</t>
        </is>
      </c>
      <c r="G281" t="inlineStr">
        <is>
          <t>KRISTINEHAMN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46300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46300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46300</v>
      </c>
      <c r="F284" t="inlineStr">
        <is>
          <t>VÄRMLANDS LÄN</t>
        </is>
      </c>
      <c r="G284" t="inlineStr">
        <is>
          <t>KRISTINEHAMN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46300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46300</v>
      </c>
      <c r="F286" t="inlineStr">
        <is>
          <t>VÄRMLANDS LÄN</t>
        </is>
      </c>
      <c r="G286" t="inlineStr">
        <is>
          <t>KRISTINEHAMN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46300</v>
      </c>
      <c r="F287" t="inlineStr">
        <is>
          <t>VÄRMLANDS LÄN</t>
        </is>
      </c>
      <c r="G287" t="inlineStr">
        <is>
          <t>KRISTINEHAMN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22060-2026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46149</v>
      </c>
      <c r="E288" s="1" t="n">
        <v>46300</v>
      </c>
      <c r="F288" t="inlineStr">
        <is>
          <t>VÄRMLANDS LÄN</t>
        </is>
      </c>
      <c r="G288" t="inlineStr">
        <is>
          <t>KRISTINEHAMN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46300</v>
      </c>
      <c r="F289" t="inlineStr">
        <is>
          <t>VÄRMLANDS LÄN</t>
        </is>
      </c>
      <c r="G289" t="inlineStr">
        <is>
          <t>KRISTINEHAMN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46300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46300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44489</v>
      </c>
      <c r="E292" s="1" t="n">
        <v>46300</v>
      </c>
      <c r="F292" t="inlineStr">
        <is>
          <t>VÄRMLANDS LÄN</t>
        </is>
      </c>
      <c r="G292" t="inlineStr">
        <is>
          <t>KRISTINEHAMN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46300</v>
      </c>
      <c r="F293" t="inlineStr">
        <is>
          <t>VÄRMLANDS LÄN</t>
        </is>
      </c>
      <c r="G293" t="inlineStr">
        <is>
          <t>KRISTINEHAMN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46300</v>
      </c>
      <c r="F294" t="inlineStr">
        <is>
          <t>VÄRMLANDS LÄN</t>
        </is>
      </c>
      <c r="G294" t="inlineStr">
        <is>
          <t>KRISTINEHAMN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46300</v>
      </c>
      <c r="F295" t="inlineStr">
        <is>
          <t>VÄRMLANDS LÄN</t>
        </is>
      </c>
      <c r="G295" t="inlineStr">
        <is>
          <t>KRISTINEHAMN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46300</v>
      </c>
      <c r="F296" t="inlineStr">
        <is>
          <t>VÄRMLANDS LÄN</t>
        </is>
      </c>
      <c r="G296" t="inlineStr">
        <is>
          <t>KRISTINEHAMN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46300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45453</v>
      </c>
      <c r="E298" s="1" t="n">
        <v>46300</v>
      </c>
      <c r="F298" t="inlineStr">
        <is>
          <t>VÄRMLANDS LÄN</t>
        </is>
      </c>
      <c r="G298" t="inlineStr">
        <is>
          <t>KRISTINEHAMN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46300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46300</v>
      </c>
      <c r="F300" t="inlineStr">
        <is>
          <t>VÄRMLANDS LÄN</t>
        </is>
      </c>
      <c r="G300" t="inlineStr">
        <is>
          <t>KRISTINEHAMN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46300</v>
      </c>
      <c r="F301" t="inlineStr">
        <is>
          <t>VÄRMLANDS LÄN</t>
        </is>
      </c>
      <c r="G301" t="inlineStr">
        <is>
          <t>KRISTINEHAMN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46300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46300</v>
      </c>
      <c r="F303" t="inlineStr">
        <is>
          <t>VÄRMLANDS LÄN</t>
        </is>
      </c>
      <c r="G303" t="inlineStr">
        <is>
          <t>KRISTINEHAMN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46300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45876</v>
      </c>
      <c r="E305" s="1" t="n">
        <v>46300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45461</v>
      </c>
      <c r="E306" s="1" t="n">
        <v>46300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46300</v>
      </c>
      <c r="F307" t="inlineStr">
        <is>
          <t>VÄRMLANDS LÄN</t>
        </is>
      </c>
      <c r="G307" t="inlineStr">
        <is>
          <t>KRISTINEHAMN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46300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46300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Kommuner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46300</v>
      </c>
      <c r="F310" t="inlineStr">
        <is>
          <t>VÄRMLANDS LÄN</t>
        </is>
      </c>
      <c r="G310" t="inlineStr">
        <is>
          <t>KRISTINEHAMN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46170</v>
      </c>
      <c r="E311" s="1" t="n">
        <v>46300</v>
      </c>
      <c r="F311" t="inlineStr">
        <is>
          <t>VÄRMLANDS LÄN</t>
        </is>
      </c>
      <c r="G311" t="inlineStr">
        <is>
          <t>KRISTINEHAMN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44855</v>
      </c>
      <c r="E312" s="1" t="n">
        <v>46300</v>
      </c>
      <c r="F312" t="inlineStr">
        <is>
          <t>VÄRMLANDS LÄN</t>
        </is>
      </c>
      <c r="G312" t="inlineStr">
        <is>
          <t>KRISTINEHAMN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46171</v>
      </c>
      <c r="E313" s="1" t="n">
        <v>46300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46300</v>
      </c>
      <c r="F314" t="inlineStr">
        <is>
          <t>VÄRMLANDS LÄN</t>
        </is>
      </c>
      <c r="G314" t="inlineStr">
        <is>
          <t>KRISTINEHAMN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25258-2026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46175</v>
      </c>
      <c r="E315" s="1" t="n">
        <v>46300</v>
      </c>
      <c r="F315" t="inlineStr">
        <is>
          <t>VÄRMLANDS LÄN</t>
        </is>
      </c>
      <c r="G315" t="inlineStr">
        <is>
          <t>KRISTINEHAMN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45478</v>
      </c>
      <c r="E316" s="1" t="n">
        <v>46300</v>
      </c>
      <c r="F316" t="inlineStr">
        <is>
          <t>VÄRMLANDS LÄN</t>
        </is>
      </c>
      <c r="G316" t="inlineStr">
        <is>
          <t>KRISTINEHAMN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46300</v>
      </c>
      <c r="F317" t="inlineStr">
        <is>
          <t>VÄRMLANDS LÄN</t>
        </is>
      </c>
      <c r="G317" t="inlineStr">
        <is>
          <t>KRISTINEHAMN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45315</v>
      </c>
      <c r="E318" s="1" t="n">
        <v>46300</v>
      </c>
      <c r="F318" t="inlineStr">
        <is>
          <t>VÄRMLANDS LÄN</t>
        </is>
      </c>
      <c r="G318" t="inlineStr">
        <is>
          <t>KRISTINEHAMN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46300</v>
      </c>
      <c r="F319" t="inlineStr">
        <is>
          <t>VÄRMLANDS LÄN</t>
        </is>
      </c>
      <c r="G319" t="inlineStr">
        <is>
          <t>KRISTINEHAMN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46300</v>
      </c>
      <c r="F320" t="inlineStr">
        <is>
          <t>VÄRMLANDS LÄN</t>
        </is>
      </c>
      <c r="G320" t="inlineStr">
        <is>
          <t>KRISTINEHAMN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46300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2522-2026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46037</v>
      </c>
      <c r="E322" s="1" t="n">
        <v>46300</v>
      </c>
      <c r="F322" t="inlineStr">
        <is>
          <t>VÄRMLANDS LÄN</t>
        </is>
      </c>
      <c r="G322" t="inlineStr">
        <is>
          <t>KRISTINEHAMN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44941</v>
      </c>
      <c r="E323" s="1" t="n">
        <v>46300</v>
      </c>
      <c r="F323" t="inlineStr">
        <is>
          <t>VÄRMLANDS LÄN</t>
        </is>
      </c>
      <c r="G323" t="inlineStr">
        <is>
          <t>KRISTINEHAMN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46300</v>
      </c>
      <c r="F324" t="inlineStr">
        <is>
          <t>VÄRMLANDS LÄN</t>
        </is>
      </c>
      <c r="G324" t="inlineStr">
        <is>
          <t>KRISTINEHAMN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46300</v>
      </c>
      <c r="F325" t="inlineStr">
        <is>
          <t>VÄRMLANDS LÄN</t>
        </is>
      </c>
      <c r="G325" t="inlineStr">
        <is>
          <t>KRISTINEHAMN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46300</v>
      </c>
      <c r="F326" t="inlineStr">
        <is>
          <t>VÄRMLANDS LÄN</t>
        </is>
      </c>
      <c r="G326" t="inlineStr">
        <is>
          <t>KRISTINEHAMN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46300</v>
      </c>
      <c r="F327" t="inlineStr">
        <is>
          <t>VÄRMLANDS LÄN</t>
        </is>
      </c>
      <c r="G327" t="inlineStr">
        <is>
          <t>KRISTINEHAMN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46300</v>
      </c>
      <c r="F328" t="inlineStr">
        <is>
          <t>VÄRMLANDS LÄN</t>
        </is>
      </c>
      <c r="G328" t="inlineStr">
        <is>
          <t>KRISTINEHAMN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23246-2024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45450</v>
      </c>
      <c r="E329" s="1" t="n">
        <v>46300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46300</v>
      </c>
      <c r="F330" t="inlineStr">
        <is>
          <t>VÄRMLANDS LÄN</t>
        </is>
      </c>
      <c r="G330" t="inlineStr">
        <is>
          <t>KRISTINEHAMN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45749</v>
      </c>
      <c r="E331" s="1" t="n">
        <v>46300</v>
      </c>
      <c r="F331" t="inlineStr">
        <is>
          <t>VÄRMLANDS LÄN</t>
        </is>
      </c>
      <c r="G331" t="inlineStr">
        <is>
          <t>KRISTINEHAMN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46300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46300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46300</v>
      </c>
      <c r="F334" t="inlineStr">
        <is>
          <t>VÄRMLANDS LÄN</t>
        </is>
      </c>
      <c r="G334" t="inlineStr">
        <is>
          <t>KRISTINEHAMN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45401</v>
      </c>
      <c r="E335" s="1" t="n">
        <v>46300</v>
      </c>
      <c r="F335" t="inlineStr">
        <is>
          <t>VÄRMLANDS LÄN</t>
        </is>
      </c>
      <c r="G335" t="inlineStr">
        <is>
          <t>KRISTINEHAMN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46300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46300</v>
      </c>
      <c r="F337" t="inlineStr">
        <is>
          <t>VÄRMLANDS LÄN</t>
        </is>
      </c>
      <c r="G337" t="inlineStr">
        <is>
          <t>KRISTINEHAMN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44918</v>
      </c>
      <c r="E338" s="1" t="n">
        <v>46300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41857-2023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45176</v>
      </c>
      <c r="E339" s="1" t="n">
        <v>46300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46300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46300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46300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46300</v>
      </c>
      <c r="F343" t="inlineStr">
        <is>
          <t>VÄRMLANDS LÄN</t>
        </is>
      </c>
      <c r="G343" t="inlineStr">
        <is>
          <t>KRISTINEHAMN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46300</v>
      </c>
      <c r="F344" t="inlineStr">
        <is>
          <t>VÄRMLANDS LÄN</t>
        </is>
      </c>
      <c r="G344" t="inlineStr">
        <is>
          <t>KRISTINEHAMN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46300</v>
      </c>
      <c r="F345" t="inlineStr">
        <is>
          <t>VÄRMLANDS LÄN</t>
        </is>
      </c>
      <c r="G345" t="inlineStr">
        <is>
          <t>KRISTINEHAMN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46300</v>
      </c>
      <c r="F346" t="inlineStr">
        <is>
          <t>VÄRMLANDS LÄN</t>
        </is>
      </c>
      <c r="G346" t="inlineStr">
        <is>
          <t>KRISTINEHAMN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46300</v>
      </c>
      <c r="F347" t="inlineStr">
        <is>
          <t>VÄRMLANDS LÄN</t>
        </is>
      </c>
      <c r="G347" t="inlineStr">
        <is>
          <t>KRISTINEHAMN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44677</v>
      </c>
      <c r="E348" s="1" t="n">
        <v>46300</v>
      </c>
      <c r="F348" t="inlineStr">
        <is>
          <t>VÄRMLANDS LÄN</t>
        </is>
      </c>
      <c r="G348" t="inlineStr">
        <is>
          <t>KRISTINEHAMN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46300</v>
      </c>
      <c r="F349" t="inlineStr">
        <is>
          <t>VÄRMLANDS LÄN</t>
        </is>
      </c>
      <c r="G349" t="inlineStr">
        <is>
          <t>KRISTINEHAMN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46300</v>
      </c>
      <c r="F350" t="inlineStr">
        <is>
          <t>VÄRMLANDS LÄN</t>
        </is>
      </c>
      <c r="G350" t="inlineStr">
        <is>
          <t>KRISTINEHAMN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45302</v>
      </c>
      <c r="E351" s="1" t="n">
        <v>46300</v>
      </c>
      <c r="F351" t="inlineStr">
        <is>
          <t>VÄRMLANDS LÄN</t>
        </is>
      </c>
      <c r="G351" t="inlineStr">
        <is>
          <t>KRISTINEHAMN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46300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46300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46300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46300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46300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46300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46300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46300</v>
      </c>
      <c r="F359" t="inlineStr">
        <is>
          <t>VÄRMLANDS LÄN</t>
        </is>
      </c>
      <c r="G359" t="inlineStr">
        <is>
          <t>KRISTINEHAMN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46300</v>
      </c>
      <c r="F360" t="inlineStr">
        <is>
          <t>VÄRMLANDS LÄN</t>
        </is>
      </c>
      <c r="G360" t="inlineStr">
        <is>
          <t>KRISTINEHAMN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46300</v>
      </c>
      <c r="F361" t="inlineStr">
        <is>
          <t>VÄRMLANDS LÄN</t>
        </is>
      </c>
      <c r="G361" t="inlineStr">
        <is>
          <t>KRISTINEHAMN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46230</v>
      </c>
      <c r="E362" s="1" t="n">
        <v>46300</v>
      </c>
      <c r="F362" t="inlineStr">
        <is>
          <t>VÄRMLANDS LÄN</t>
        </is>
      </c>
      <c r="G362" t="inlineStr">
        <is>
          <t>KRISTINEHAMN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46300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46300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46281</v>
      </c>
      <c r="E365" s="1" t="n">
        <v>46300</v>
      </c>
      <c r="F365" t="inlineStr">
        <is>
          <t>VÄRMLANDS LÄN</t>
        </is>
      </c>
      <c r="G365" t="inlineStr">
        <is>
          <t>KRISTINEHAMN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46300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14.1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54690-2022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44883</v>
      </c>
      <c r="E367" s="1" t="n">
        <v>46300</v>
      </c>
      <c r="F367" t="inlineStr">
        <is>
          <t>VÄRMLANDS LÄN</t>
        </is>
      </c>
      <c r="G367" t="inlineStr">
        <is>
          <t>KRISTINEHAMN</t>
        </is>
      </c>
      <c r="I367" t="n">
        <v>11.1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46300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46300</v>
      </c>
      <c r="F369" t="inlineStr">
        <is>
          <t>VÄRMLANDS LÄN</t>
        </is>
      </c>
      <c r="G369" t="inlineStr">
        <is>
          <t>KRISTINEHAMN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22896-2023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45072</v>
      </c>
      <c r="E370" s="1" t="n">
        <v>46300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46300</v>
      </c>
      <c r="F371" t="inlineStr">
        <is>
          <t>VÄRMLANDS LÄN</t>
        </is>
      </c>
      <c r="G371" t="inlineStr">
        <is>
          <t>KRISTINEHAMN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46300</v>
      </c>
      <c r="F372" t="inlineStr">
        <is>
          <t>VÄRMLANDS LÄN</t>
        </is>
      </c>
      <c r="G372" t="inlineStr">
        <is>
          <t>KRISTINEHAMN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44985</v>
      </c>
      <c r="E373" s="1" t="n">
        <v>46300</v>
      </c>
      <c r="F373" t="inlineStr">
        <is>
          <t>VÄRMLANDS LÄN</t>
        </is>
      </c>
      <c r="G373" t="inlineStr">
        <is>
          <t>KRISTINEHAMN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38840-2026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46286</v>
      </c>
      <c r="E374" s="1" t="n">
        <v>46300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46300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44851</v>
      </c>
      <c r="E376" s="1" t="n">
        <v>46300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46300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46300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46300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45513</v>
      </c>
      <c r="E380" s="1" t="n">
        <v>46300</v>
      </c>
      <c r="F380" t="inlineStr">
        <is>
          <t>VÄRMLANDS LÄN</t>
        </is>
      </c>
      <c r="G380" t="inlineStr">
        <is>
          <t>KRISTINEHAMN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46300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45386</v>
      </c>
      <c r="E382" s="1" t="n">
        <v>46300</v>
      </c>
      <c r="F382" t="inlineStr">
        <is>
          <t>VÄRMLANDS LÄN</t>
        </is>
      </c>
      <c r="G382" t="inlineStr">
        <is>
          <t>KRISTINEHAMN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28759-2022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44749</v>
      </c>
      <c r="E383" s="1" t="n">
        <v>46300</v>
      </c>
      <c r="F383" t="inlineStr">
        <is>
          <t>VÄRMLANDS LÄN</t>
        </is>
      </c>
      <c r="G383" t="inlineStr">
        <is>
          <t>KRISTINEHAMN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46300</v>
      </c>
      <c r="F384" t="inlineStr">
        <is>
          <t>VÄRMLANDS LÄN</t>
        </is>
      </c>
      <c r="G384" t="inlineStr">
        <is>
          <t>KRISTINEHAMN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46300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46300</v>
      </c>
      <c r="F386" t="inlineStr">
        <is>
          <t>VÄRMLANDS LÄN</t>
        </is>
      </c>
      <c r="G386" t="inlineStr">
        <is>
          <t>KRISTINEHAMN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44924</v>
      </c>
      <c r="E387" s="1" t="n">
        <v>46300</v>
      </c>
      <c r="F387" t="inlineStr">
        <is>
          <t>VÄRMLANDS LÄN</t>
        </is>
      </c>
      <c r="G387" t="inlineStr">
        <is>
          <t>KRISTINEHAMN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48405-2023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45201</v>
      </c>
      <c r="E388" s="1" t="n">
        <v>46300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46300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46300</v>
      </c>
      <c r="F390" t="inlineStr">
        <is>
          <t>VÄRMLANDS LÄN</t>
        </is>
      </c>
      <c r="G390" t="inlineStr">
        <is>
          <t>KRISTINEHAMN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46300</v>
      </c>
      <c r="F391" t="inlineStr">
        <is>
          <t>VÄRMLANDS LÄN</t>
        </is>
      </c>
      <c r="G391" t="inlineStr">
        <is>
          <t>KRISTINEHAMN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46300</v>
      </c>
      <c r="F392" t="inlineStr">
        <is>
          <t>VÄRMLANDS LÄN</t>
        </is>
      </c>
      <c r="G392" t="inlineStr">
        <is>
          <t>KRISTINEHAMN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46300</v>
      </c>
      <c r="F393" t="inlineStr">
        <is>
          <t>VÄRMLANDS LÄN</t>
        </is>
      </c>
      <c r="G393" t="inlineStr">
        <is>
          <t>KRISTINEHAMN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46300</v>
      </c>
      <c r="F394" t="inlineStr">
        <is>
          <t>VÄRMLANDS LÄN</t>
        </is>
      </c>
      <c r="G394" t="inlineStr">
        <is>
          <t>KRISTINEHAMN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46300</v>
      </c>
      <c r="F395" t="inlineStr">
        <is>
          <t>VÄRMLANDS LÄN</t>
        </is>
      </c>
      <c r="G395" t="inlineStr">
        <is>
          <t>KRISTINEHAMN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45656</v>
      </c>
      <c r="E396" s="1" t="n">
        <v>46300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59144-2021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46300</v>
      </c>
      <c r="F397" t="inlineStr">
        <is>
          <t>VÄRMLANDS LÄN</t>
        </is>
      </c>
      <c r="G397" t="inlineStr">
        <is>
          <t>KRISTINEHAMN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46300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46300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46287</v>
      </c>
      <c r="E400" s="1" t="n">
        <v>46300</v>
      </c>
      <c r="F400" t="inlineStr">
        <is>
          <t>VÄRMLANDS LÄN</t>
        </is>
      </c>
      <c r="G400" t="inlineStr">
        <is>
          <t>KRISTINEHAMN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46300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46300</v>
      </c>
      <c r="F402" t="inlineStr">
        <is>
          <t>VÄRMLANDS LÄN</t>
        </is>
      </c>
      <c r="G402" t="inlineStr">
        <is>
          <t>KRISTINEHAMN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46300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46213</v>
      </c>
      <c r="E404" s="1" t="n">
        <v>46300</v>
      </c>
      <c r="F404" t="inlineStr">
        <is>
          <t>VÄRMLANDS LÄN</t>
        </is>
      </c>
      <c r="G404" t="inlineStr">
        <is>
          <t>KRISTINEHAMN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46300</v>
      </c>
      <c r="F405" t="inlineStr">
        <is>
          <t>VÄRMLANDS LÄN</t>
        </is>
      </c>
      <c r="G405" t="inlineStr">
        <is>
          <t>KRISTINEHAMN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46300</v>
      </c>
      <c r="F406" t="inlineStr">
        <is>
          <t>VÄRMLANDS LÄN</t>
        </is>
      </c>
      <c r="G406" t="inlineStr">
        <is>
          <t>KRISTINEHAMN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46300</v>
      </c>
      <c r="F407" t="inlineStr">
        <is>
          <t>VÄRMLANDS LÄN</t>
        </is>
      </c>
      <c r="G407" t="inlineStr">
        <is>
          <t>KRISTINEHAMN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70126-2021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44533</v>
      </c>
      <c r="E408" s="1" t="n">
        <v>46300</v>
      </c>
      <c r="F408" t="inlineStr">
        <is>
          <t>VÄRMLANDS LÄN</t>
        </is>
      </c>
      <c r="G408" t="inlineStr">
        <is>
          <t>KRISTINEHAMN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44847</v>
      </c>
      <c r="E409" s="1" t="n">
        <v>46300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45595</v>
      </c>
      <c r="E410" s="1" t="n">
        <v>46300</v>
      </c>
      <c r="F410" t="inlineStr">
        <is>
          <t>VÄRMLANDS LÄN</t>
        </is>
      </c>
      <c r="G410" t="inlineStr">
        <is>
          <t>KRISTINEHAMN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45081</v>
      </c>
      <c r="E411" s="1" t="n">
        <v>46300</v>
      </c>
      <c r="F411" t="inlineStr">
        <is>
          <t>VÄRMLANDS LÄN</t>
        </is>
      </c>
      <c r="G411" t="inlineStr">
        <is>
          <t>KRISTINEHAMN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46300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Naturvårdsverket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46300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46300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44480</v>
      </c>
      <c r="E415" s="1" t="n">
        <v>46300</v>
      </c>
      <c r="F415" t="inlineStr">
        <is>
          <t>VÄRMLANDS LÄN</t>
        </is>
      </c>
      <c r="G415" t="inlineStr">
        <is>
          <t>KRISTINEHAMN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46300</v>
      </c>
      <c r="F416" t="inlineStr">
        <is>
          <t>VÄRMLANDS LÄN</t>
        </is>
      </c>
      <c r="G416" t="inlineStr">
        <is>
          <t>KRISTINEHAMN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45344</v>
      </c>
      <c r="E417" s="1" t="n">
        <v>46300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Naturvårdsverket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46300</v>
      </c>
      <c r="F418" t="inlineStr">
        <is>
          <t>VÄRMLANDS LÄN</t>
        </is>
      </c>
      <c r="G418" t="inlineStr">
        <is>
          <t>KRISTINEHAMN</t>
        </is>
      </c>
      <c r="I418" t="n">
        <v>9.6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46300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46300</v>
      </c>
      <c r="F420" t="inlineStr">
        <is>
          <t>VÄRMLANDS LÄN</t>
        </is>
      </c>
      <c r="G420" t="inlineStr">
        <is>
          <t>KRISTINEHAMN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45118</v>
      </c>
      <c r="E421" s="1" t="n">
        <v>46300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46300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Kyrkan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45159</v>
      </c>
      <c r="E423" s="1" t="n">
        <v>46300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46300</v>
      </c>
      <c r="F424" t="inlineStr">
        <is>
          <t>VÄRMLANDS LÄN</t>
        </is>
      </c>
      <c r="G424" t="inlineStr">
        <is>
          <t>KRISTINEHAMN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46300</v>
      </c>
      <c r="F425" t="inlineStr">
        <is>
          <t>VÄRMLANDS LÄN</t>
        </is>
      </c>
      <c r="G425" t="inlineStr">
        <is>
          <t>KRISTINEHAMN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45379</v>
      </c>
      <c r="E426" s="1" t="n">
        <v>46300</v>
      </c>
      <c r="F426" t="inlineStr">
        <is>
          <t>VÄRMLANDS LÄN</t>
        </is>
      </c>
      <c r="G426" t="inlineStr">
        <is>
          <t>KRISTINEHAMN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28834-2024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45478</v>
      </c>
      <c r="E427" s="1" t="n">
        <v>46300</v>
      </c>
      <c r="F427" t="inlineStr">
        <is>
          <t>VÄRMLANDS LÄN</t>
        </is>
      </c>
      <c r="G427" t="inlineStr">
        <is>
          <t>KRISTINEHAMN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44770</v>
      </c>
      <c r="E428" s="1" t="n">
        <v>46300</v>
      </c>
      <c r="F428" t="inlineStr">
        <is>
          <t>VÄRMLANDS LÄN</t>
        </is>
      </c>
      <c r="G428" t="inlineStr">
        <is>
          <t>KRISTINEHAMN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45701</v>
      </c>
      <c r="E429" s="1" t="n">
        <v>46300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21602-2025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45783</v>
      </c>
      <c r="E430" s="1" t="n">
        <v>46300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46300</v>
      </c>
      <c r="F431" t="inlineStr">
        <is>
          <t>VÄRMLANDS LÄN</t>
        </is>
      </c>
      <c r="G431" t="inlineStr">
        <is>
          <t>KRISTINEHAMN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46300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46300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46300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46300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46300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46300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46300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46300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46300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46300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46300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46300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46300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46300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46300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46300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46300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46300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46300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46300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46300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46300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46300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46300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46300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2026-10-05T01:56:04Z</dcterms:created>
  <dcterms:modified xmlns:dcterms="http://purl.org/dc/terms/" xmlns:xsi="http://www.w3.org/2001/XMLSchema-instance" xsi:type="dcterms:W3CDTF">2026-10-05T01:56:05Z</dcterms:modified>
</cp:coreProperties>
</file>