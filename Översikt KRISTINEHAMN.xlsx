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45743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4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Bombmurkla
Brunpudrad nållav
Dofttaggsvamp
Fyrflikig jordstjärna
Talltita
Brandticka
Grönpyrola
Kamjordstjärna
Kungsfågel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  <c r="Z2">
        <f>HYPERLINK("https://klasma.github.io/Logging_1781/fåglar/A 53130-2023 prioriterade fågelarter.docx", "A 53130-2023")</f>
        <v/>
      </c>
    </row>
    <row r="3" ht="15" customHeight="1">
      <c r="A3" t="inlineStr">
        <is>
          <t>A 11656-2025</t>
        </is>
      </c>
      <c r="B3" s="1" t="n">
        <v>45727</v>
      </c>
      <c r="C3" s="1" t="n">
        <v>45743</v>
      </c>
      <c r="D3" t="inlineStr">
        <is>
          <t>VÄRMLANDS LÄN</t>
        </is>
      </c>
      <c r="E3" t="inlineStr">
        <is>
          <t>KRISTINEHAMN</t>
        </is>
      </c>
      <c r="G3" t="n">
        <v>13.1</v>
      </c>
      <c r="H3" t="n">
        <v>2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Stor sotdyna
Gulnål
Kornig nållav
Lönnlav
Rostfläck
Åkergroda
Blåsippa</t>
        </is>
      </c>
      <c r="S3">
        <f>HYPERLINK("https://klasma.github.io/Logging_1781/artfynd/A 11656-2025 artfynd.xlsx", "A 11656-2025")</f>
        <v/>
      </c>
      <c r="T3">
        <f>HYPERLINK("https://klasma.github.io/Logging_1781/kartor/A 11656-2025 karta.png", "A 11656-2025")</f>
        <v/>
      </c>
      <c r="V3">
        <f>HYPERLINK("https://klasma.github.io/Logging_1781/klagomål/A 11656-2025 FSC-klagomål.docx", "A 11656-2025")</f>
        <v/>
      </c>
      <c r="W3">
        <f>HYPERLINK("https://klasma.github.io/Logging_1781/klagomålsmail/A 11656-2025 FSC-klagomål mail.docx", "A 11656-2025")</f>
        <v/>
      </c>
      <c r="X3">
        <f>HYPERLINK("https://klasma.github.io/Logging_1781/tillsyn/A 11656-2025 tillsynsbegäran.docx", "A 11656-2025")</f>
        <v/>
      </c>
      <c r="Y3">
        <f>HYPERLINK("https://klasma.github.io/Logging_1781/tillsynsmail/A 11656-2025 tillsynsbegäran mail.docx", "A 11656-2025")</f>
        <v/>
      </c>
    </row>
    <row r="4" ht="15" customHeight="1">
      <c r="A4" t="inlineStr">
        <is>
          <t>A 53132-2023</t>
        </is>
      </c>
      <c r="B4" s="1" t="n">
        <v>45229</v>
      </c>
      <c r="C4" s="1" t="n">
        <v>45743</v>
      </c>
      <c r="D4" t="inlineStr">
        <is>
          <t>VÄRMLANDS LÄN</t>
        </is>
      </c>
      <c r="E4" t="inlineStr">
        <is>
          <t>KRISTINEHAMN</t>
        </is>
      </c>
      <c r="G4" t="n">
        <v>4.9</v>
      </c>
      <c r="H4" t="n">
        <v>3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Bombmurkla
Vedtrappmossa
Grön sköldmossa
Grönpyrola
Vågbandad barkbock
Blåsippa</t>
        </is>
      </c>
      <c r="S4">
        <f>HYPERLINK("https://klasma.github.io/Logging_1781/artfynd/A 53132-2023 artfynd.xlsx", "A 53132-2023")</f>
        <v/>
      </c>
      <c r="T4">
        <f>HYPERLINK("https://klasma.github.io/Logging_1781/kartor/A 53132-2023 karta.png", "A 53132-2023")</f>
        <v/>
      </c>
      <c r="V4">
        <f>HYPERLINK("https://klasma.github.io/Logging_1781/klagomål/A 53132-2023 FSC-klagomål.docx", "A 53132-2023")</f>
        <v/>
      </c>
      <c r="W4">
        <f>HYPERLINK("https://klasma.github.io/Logging_1781/klagomålsmail/A 53132-2023 FSC-klagomål mail.docx", "A 53132-2023")</f>
        <v/>
      </c>
      <c r="X4">
        <f>HYPERLINK("https://klasma.github.io/Logging_1781/tillsyn/A 53132-2023 tillsynsbegäran.docx", "A 53132-2023")</f>
        <v/>
      </c>
      <c r="Y4">
        <f>HYPERLINK("https://klasma.github.io/Logging_1781/tillsynsmail/A 53132-2023 tillsynsbegäran mail.docx", "A 53132-2023")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45743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45743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45743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45743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45743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45743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45743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45743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45743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45743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45743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45743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45743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45743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45743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45743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45743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45743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45743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45743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45743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45743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45743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45743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45743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45743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45743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45743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45743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45743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45743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45743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45743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45743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45743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45743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45743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45743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45743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45743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45743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45743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45743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45743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45743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45743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45743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45743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45743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45743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45743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45743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45743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45743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45743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45743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45743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45743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45743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45743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45743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45743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45743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45743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45743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45743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45743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45743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45743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45743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45743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45743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45743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45743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45743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45743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45743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45743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45743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45743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45743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45743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45743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45743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45743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45743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45743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45743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45743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45743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45743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45743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45743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45743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45743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45743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45743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45743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45743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45743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45743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45743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45743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45743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45743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45743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45743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45743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45743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45743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45743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45743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45743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45743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45743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45743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45743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45743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45743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45743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45743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45743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45743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45743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45743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45743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45743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45743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45743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45743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45743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45743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45743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45743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45743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45743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45743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45743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45743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45743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45743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45743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45743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45743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45743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45743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45743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45743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45743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45743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45743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45743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45743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45743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45743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45743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45743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45743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45743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45743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45743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45743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45743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45743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45743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45743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45743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45743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45743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45743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45743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45743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45743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45743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45743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45743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45743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45743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45743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45743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45743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45743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45743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45743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45743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45743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45743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45743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45743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45743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45743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45743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45743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45743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45743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45743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45743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45743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45743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45743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45743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45743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45743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45743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45743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45743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45743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45743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45743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45743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45743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45743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45743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45743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45743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45743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45743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45743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45743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45743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45743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45743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45743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45743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45743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45743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45743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45743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45743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45743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45743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45743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45743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45743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45743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45743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45743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45743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45743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45743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45743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45743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45743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45743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45743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45743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45743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45743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45743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45743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45743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45743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45743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45743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45743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45743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45743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45743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45743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45743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45743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45743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45743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45743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45743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45743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45743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45743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45743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45743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45743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45743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45743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45743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45743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45743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45743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45743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45743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45743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45743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45743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45743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45743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45743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45743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45743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45743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45743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45743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45743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45743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45743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45743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45743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45743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45743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45743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45743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45743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45743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45743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45743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45743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45743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45743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45743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45743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45743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45743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45743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45743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45743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45743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45743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45743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45743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45743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45743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45743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45743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45743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45743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45743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45743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45743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45743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45743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45743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45743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45743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45743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45743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45743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45743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45743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45743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45743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45743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45743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45743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45743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45743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45743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45743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45743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45743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45743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45743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45743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45743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45743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45743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45743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45743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45743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45743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45743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45743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45743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45743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45743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45743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45743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45743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45743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45743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45743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45743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45743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45743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45743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45743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45743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45743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45743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45743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45743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45743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45743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45743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45743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45743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45743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45743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45743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45743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45743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45743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45743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45743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45743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45743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45743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45743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45743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45743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45743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45743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45743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45743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45743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45743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45743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45743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45743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45743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45743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45743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45743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45743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45743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45743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45743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45743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45743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45743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45743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45743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45743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45743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45743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45743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45743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45743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45743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45743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45743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45743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45743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45743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45743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45743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45743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45743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45743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45743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45743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45743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45743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45743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45743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45743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45743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45743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45743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45743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45743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45743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45743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45743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45743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45743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45743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45743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45743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45743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45743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45743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45743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45743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45743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45743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45743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45743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45743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45743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45743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45743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45743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45743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45743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45743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45743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45743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45743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45743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45743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45743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45743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45743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45743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45743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45743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45743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45743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45743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45743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45743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45743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45743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45743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45743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45743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45743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45743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45743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45743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45743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45743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45743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45743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45743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45743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45743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45743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45743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45743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45743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45743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45743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45743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45743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45743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45743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45743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45743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45743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45743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45743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45743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45743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45743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45743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45743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45743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45743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45743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45743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45743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45743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45743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45743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45743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45743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45743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45743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45743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45743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45743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45743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45743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45743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45743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45743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45743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45743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45743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45743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45743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45743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45743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45743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45743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45743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45743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45743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45743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45743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45743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45743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45743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45743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45743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45743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45743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45743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45743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45743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45743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45743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45743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45743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45743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45743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45743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45743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45743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45743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45743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45743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45743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45743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45743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45743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45743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45743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45743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45743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45743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45743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45743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45743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45743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45743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45743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45743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45743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45743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45743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45743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45743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45743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45743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45743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45743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45743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45743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45743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45743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45743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45743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45743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45743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45743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45743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45743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45743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45743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45743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45743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45743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45743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45743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45743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45743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45743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45743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45743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45743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45743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45743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45743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45743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45743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45743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45743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45743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45743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45743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45743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45743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45743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45743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45743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45743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45743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45743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45743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45743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45743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45743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45743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45743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45743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45743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45743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45743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45743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45743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45743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45743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45743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45743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45743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45743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45743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45743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45743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45743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45743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45743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45743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45743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45743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45743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45743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45743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45743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45743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45743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45743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45743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45743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45743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45743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45743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45743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45743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45743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45743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45743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45743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45743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45743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45743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45743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45743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45743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45743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45743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45743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45743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45743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45743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45743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45743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45743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45743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45743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45743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45743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45743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45743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45743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45743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45743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45743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45743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45743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45743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45743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45743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45743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45743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45743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45743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45743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45743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45743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45743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45743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45743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45743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45743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45743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45743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45743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45743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45743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45743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45743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45743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45743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45743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45743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45743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45743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45743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45743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45743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45743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45743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45743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45743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45743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45743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45743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45743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45743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45743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45743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45743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45743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45743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45743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45743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45743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45743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45743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45743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45743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45743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45743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45743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45743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45743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45743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45743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45743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45743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45743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45743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45743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45743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45743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45743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45743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45743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45743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45743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45743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45743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45743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45743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45743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45743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45743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45743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45743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45743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45743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45743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45743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45743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45743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45743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45743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45743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45743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45743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45743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45743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45743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45743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45743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45743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45743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45743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45743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45743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45743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45743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45743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45743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45743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45743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45743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45743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45743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45743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45743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45743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45743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45743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45743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45743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45743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45743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45743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45743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45743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45743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45743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45743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45743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45743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45743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45743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45743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45743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45743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45743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45743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45743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45743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45743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45743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45743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45743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45743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45743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45743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45743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45743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45743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45743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45743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45743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45743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45743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45743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45743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45743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45743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45743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45743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45743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45743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45743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45743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45743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45743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45743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45743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45743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45743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45743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45743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45743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45743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45743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6609-2025</t>
        </is>
      </c>
      <c r="B897" s="1" t="n">
        <v>45700</v>
      </c>
      <c r="C897" s="1" t="n">
        <v>45743</v>
      </c>
      <c r="D897" t="inlineStr">
        <is>
          <t>VÄRMLANDS LÄN</t>
        </is>
      </c>
      <c r="E897" t="inlineStr">
        <is>
          <t>KRISTINEHAMN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45743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45743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6933-2025</t>
        </is>
      </c>
      <c r="B900" s="1" t="n">
        <v>45701</v>
      </c>
      <c r="C900" s="1" t="n">
        <v>45743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7407-2025</t>
        </is>
      </c>
      <c r="B901" s="1" t="n">
        <v>45702</v>
      </c>
      <c r="C901" s="1" t="n">
        <v>45743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7698-2025</t>
        </is>
      </c>
      <c r="B902" s="1" t="n">
        <v>45705</v>
      </c>
      <c r="C902" s="1" t="n">
        <v>45743</v>
      </c>
      <c r="D902" t="inlineStr">
        <is>
          <t>VÄRMLANDS LÄN</t>
        </is>
      </c>
      <c r="E902" t="inlineStr">
        <is>
          <t>KRISTINEHAMN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7695-2025</t>
        </is>
      </c>
      <c r="B903" s="1" t="n">
        <v>45705</v>
      </c>
      <c r="C903" s="1" t="n">
        <v>45743</v>
      </c>
      <c r="D903" t="inlineStr">
        <is>
          <t>VÄRMLANDS LÄN</t>
        </is>
      </c>
      <c r="E903" t="inlineStr">
        <is>
          <t>KRISTINEHAMN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7688-2025</t>
        </is>
      </c>
      <c r="B904" s="1" t="n">
        <v>45705</v>
      </c>
      <c r="C904" s="1" t="n">
        <v>45743</v>
      </c>
      <c r="D904" t="inlineStr">
        <is>
          <t>VÄRMLANDS LÄN</t>
        </is>
      </c>
      <c r="E904" t="inlineStr">
        <is>
          <t>KRISTINEHAMN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7701-2025</t>
        </is>
      </c>
      <c r="B905" s="1" t="n">
        <v>45705</v>
      </c>
      <c r="C905" s="1" t="n">
        <v>45743</v>
      </c>
      <c r="D905" t="inlineStr">
        <is>
          <t>VÄRMLANDS LÄN</t>
        </is>
      </c>
      <c r="E905" t="inlineStr">
        <is>
          <t>KRISTINEHAMN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8592-2025</t>
        </is>
      </c>
      <c r="B906" s="1" t="n">
        <v>45709</v>
      </c>
      <c r="C906" s="1" t="n">
        <v>45743</v>
      </c>
      <c r="D906" t="inlineStr">
        <is>
          <t>VÄRMLANDS LÄN</t>
        </is>
      </c>
      <c r="E906" t="inlineStr">
        <is>
          <t>KRISTINEHAMN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8591-2025</t>
        </is>
      </c>
      <c r="B907" s="1" t="n">
        <v>45709</v>
      </c>
      <c r="C907" s="1" t="n">
        <v>45743</v>
      </c>
      <c r="D907" t="inlineStr">
        <is>
          <t>VÄRMLANDS LÄN</t>
        </is>
      </c>
      <c r="E907" t="inlineStr">
        <is>
          <t>KRISTINEHAMN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8597-2025</t>
        </is>
      </c>
      <c r="B908" s="1" t="n">
        <v>45709</v>
      </c>
      <c r="C908" s="1" t="n">
        <v>45743</v>
      </c>
      <c r="D908" t="inlineStr">
        <is>
          <t>VÄRMLANDS LÄN</t>
        </is>
      </c>
      <c r="E908" t="inlineStr">
        <is>
          <t>KRISTINEHAMN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8765-2025</t>
        </is>
      </c>
      <c r="B909" s="1" t="n">
        <v>45712</v>
      </c>
      <c r="C909" s="1" t="n">
        <v>45743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8715-2025</t>
        </is>
      </c>
      <c r="B910" s="1" t="n">
        <v>45712</v>
      </c>
      <c r="C910" s="1" t="n">
        <v>45743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8717-2025</t>
        </is>
      </c>
      <c r="B911" s="1" t="n">
        <v>45712</v>
      </c>
      <c r="C911" s="1" t="n">
        <v>45743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8766-2025</t>
        </is>
      </c>
      <c r="B912" s="1" t="n">
        <v>45712</v>
      </c>
      <c r="C912" s="1" t="n">
        <v>45743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9569-2025</t>
        </is>
      </c>
      <c r="B913" s="1" t="n">
        <v>45715</v>
      </c>
      <c r="C913" s="1" t="n">
        <v>45743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18.4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45743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9757-2025</t>
        </is>
      </c>
      <c r="B915" s="1" t="n">
        <v>45716</v>
      </c>
      <c r="C915" s="1" t="n">
        <v>45743</v>
      </c>
      <c r="D915" t="inlineStr">
        <is>
          <t>VÄRMLANDS LÄN</t>
        </is>
      </c>
      <c r="E915" t="inlineStr">
        <is>
          <t>KRISTINEHAMN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11999-2025</t>
        </is>
      </c>
      <c r="B916" s="1" t="n">
        <v>45728</v>
      </c>
      <c r="C916" s="1" t="n">
        <v>45743</v>
      </c>
      <c r="D916" t="inlineStr">
        <is>
          <t>VÄRMLANDS LÄN</t>
        </is>
      </c>
      <c r="E916" t="inlineStr">
        <is>
          <t>KRISTINEHAMN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12486-2025</t>
        </is>
      </c>
      <c r="B917" s="1" t="n">
        <v>45730</v>
      </c>
      <c r="C917" s="1" t="n">
        <v>45743</v>
      </c>
      <c r="D917" t="inlineStr">
        <is>
          <t>VÄRMLANDS LÄN</t>
        </is>
      </c>
      <c r="E917" t="inlineStr">
        <is>
          <t>KRISTINEHAMN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12949-2025</t>
        </is>
      </c>
      <c r="B918" s="1" t="n">
        <v>45734</v>
      </c>
      <c r="C918" s="1" t="n">
        <v>45743</v>
      </c>
      <c r="D918" t="inlineStr">
        <is>
          <t>VÄRMLANDS LÄN</t>
        </is>
      </c>
      <c r="E918" t="inlineStr">
        <is>
          <t>KRISTINEHAMN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13118-2025</t>
        </is>
      </c>
      <c r="B919" s="1" t="n">
        <v>45734</v>
      </c>
      <c r="C919" s="1" t="n">
        <v>45743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2025-03-27T18:14:27Z</dcterms:created>
  <dcterms:modified xmlns:dcterms="http://purl.org/dc/terms/" xmlns:xsi="http://www.w3.org/2001/XMLSchema-instance" xsi:type="dcterms:W3CDTF">2025-03-27T18:14:28Z</dcterms:modified>
</cp:coreProperties>
</file>