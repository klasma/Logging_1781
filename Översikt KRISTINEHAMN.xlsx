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46271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46271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46271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46271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46271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46271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46271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46271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46271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46271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46271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46271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60714-2025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45996</v>
      </c>
      <c r="E27" s="1" t="n">
        <v>46271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Björksplintborre</t>
        </is>
      </c>
      <c r="W27">
        <f>HYPERLINK("https://klasma.github.io/Logging_1781/artfynd/A 60714-2025 artfynd.xlsx", "A 60714-2025")</f>
        <v/>
      </c>
      <c r="X27">
        <f>HYPERLINK("https://klasma.github.io/Logging_1781/kartor/A 60714-2025 karta.png", "A 60714-2025")</f>
        <v/>
      </c>
      <c r="Y27">
        <f>HYPERLINK("https://klasma.github.io/Logging_1781/kartor_geotiff/A 60714-2025 georefererad karta.tif", "A 60714-2025")</f>
        <v/>
      </c>
      <c r="AA27">
        <f>HYPERLINK("https://klasma.github.io/Logging_1781/klagomål/A 60714-2025 FSC-klagomål.docx", "A 60714-2025")</f>
        <v/>
      </c>
      <c r="AB27">
        <f>HYPERLINK("https://klasma.github.io/Logging_1781/klagomålsmail/A 60714-2025 FSC-klagomål mail.docx", "A 60714-2025")</f>
        <v/>
      </c>
      <c r="AC27">
        <f>HYPERLINK("https://klasma.github.io/Logging_1781/tillsyn/A 60714-2025 tillsynsbegäran.docx", "A 60714-2025")</f>
        <v/>
      </c>
      <c r="AD27">
        <f>HYPERLINK("https://klasma.github.io/Logging_1781/tillsynsmail/A 60714-2025 tillsynsbegäran mail.docx", "A 60714-2025")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46271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46271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46271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46271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46271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46271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46271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46271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46271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46271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46271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46271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46271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46271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46271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46271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46271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46271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46271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46271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46271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46271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46271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46271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46271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46271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46271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46271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46271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46271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46271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46271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46271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47952-2021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44448</v>
      </c>
      <c r="E61" s="1" t="n">
        <v>46271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46271</v>
      </c>
      <c r="F62" t="inlineStr">
        <is>
          <t>VÄRMLANDS LÄN</t>
        </is>
      </c>
      <c r="G62" t="inlineStr">
        <is>
          <t>KRISTINEHAMN</t>
        </is>
      </c>
      <c r="I62" t="n">
        <v>12.1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46271</v>
      </c>
      <c r="F63" t="inlineStr">
        <is>
          <t>VÄRMLANDS LÄN</t>
        </is>
      </c>
      <c r="G63" t="inlineStr">
        <is>
          <t>KRISTINEHAMN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46271</v>
      </c>
      <c r="F64" t="inlineStr">
        <is>
          <t>VÄRMLANDS LÄN</t>
        </is>
      </c>
      <c r="G64" t="inlineStr">
        <is>
          <t>KRISTINEHAMN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46271</v>
      </c>
      <c r="F65" t="inlineStr">
        <is>
          <t>VÄRMLANDS LÄN</t>
        </is>
      </c>
      <c r="G65" t="inlineStr">
        <is>
          <t>KRISTINEHAMN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44449</v>
      </c>
      <c r="E66" s="1" t="n">
        <v>46271</v>
      </c>
      <c r="F66" t="inlineStr">
        <is>
          <t>VÄRMLANDS LÄN</t>
        </is>
      </c>
      <c r="G66" t="inlineStr">
        <is>
          <t>KRISTINEHAMN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46271</v>
      </c>
      <c r="F67" t="inlineStr">
        <is>
          <t>VÄRMLANDS LÄN</t>
        </is>
      </c>
      <c r="G67" t="inlineStr">
        <is>
          <t>KRISTINEHAMN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46271</v>
      </c>
      <c r="F68" t="inlineStr">
        <is>
          <t>VÄRMLANDS LÄN</t>
        </is>
      </c>
      <c r="G68" t="inlineStr">
        <is>
          <t>KRISTINEHAMN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46271</v>
      </c>
      <c r="F69" t="inlineStr">
        <is>
          <t>VÄRMLANDS LÄN</t>
        </is>
      </c>
      <c r="G69" t="inlineStr">
        <is>
          <t>KRISTINEHAMN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46271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44707</v>
      </c>
      <c r="E71" s="1" t="n">
        <v>46271</v>
      </c>
      <c r="F71" t="inlineStr">
        <is>
          <t>VÄRMLANDS LÄN</t>
        </is>
      </c>
      <c r="G71" t="inlineStr">
        <is>
          <t>KRISTINEHAMN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46271</v>
      </c>
      <c r="F72" t="inlineStr">
        <is>
          <t>VÄRMLANDS LÄN</t>
        </is>
      </c>
      <c r="G72" t="inlineStr">
        <is>
          <t>KRISTINEHAMN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46271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46271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46271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44853</v>
      </c>
      <c r="E76" s="1" t="n">
        <v>46271</v>
      </c>
      <c r="F76" t="inlineStr">
        <is>
          <t>VÄRMLANDS LÄN</t>
        </is>
      </c>
      <c r="G76" t="inlineStr">
        <is>
          <t>KRISTINEHAMN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46271</v>
      </c>
      <c r="F77" t="inlineStr">
        <is>
          <t>VÄRMLANDS LÄN</t>
        </is>
      </c>
      <c r="G77" t="inlineStr">
        <is>
          <t>KRISTINEHAMN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46271</v>
      </c>
      <c r="F78" t="inlineStr">
        <is>
          <t>VÄRMLANDS LÄN</t>
        </is>
      </c>
      <c r="G78" t="inlineStr">
        <is>
          <t>KRISTINEHAMN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46271</v>
      </c>
      <c r="F79" t="inlineStr">
        <is>
          <t>VÄRMLANDS LÄN</t>
        </is>
      </c>
      <c r="G79" t="inlineStr">
        <is>
          <t>KRISTINEHAMN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46271</v>
      </c>
      <c r="F80" t="inlineStr">
        <is>
          <t>VÄRMLANDS LÄN</t>
        </is>
      </c>
      <c r="G80" t="inlineStr">
        <is>
          <t>KRISTINEHAMN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44591</v>
      </c>
      <c r="E81" s="1" t="n">
        <v>46271</v>
      </c>
      <c r="F81" t="inlineStr">
        <is>
          <t>VÄRMLANDS LÄN</t>
        </is>
      </c>
      <c r="G81" t="inlineStr">
        <is>
          <t>KRISTINEHAMN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66438-2021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46271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46271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46271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46271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44584</v>
      </c>
      <c r="E86" s="1" t="n">
        <v>46271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46271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46271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46271</v>
      </c>
      <c r="F89" t="inlineStr">
        <is>
          <t>VÄRMLANDS LÄN</t>
        </is>
      </c>
      <c r="G89" t="inlineStr">
        <is>
          <t>KRISTINEHAMN</t>
        </is>
      </c>
      <c r="I89" t="n">
        <v>11.3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46271</v>
      </c>
      <c r="F90" t="inlineStr">
        <is>
          <t>VÄRMLANDS LÄN</t>
        </is>
      </c>
      <c r="G90" t="inlineStr">
        <is>
          <t>KRISTINEHAMN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46271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45442</v>
      </c>
      <c r="E92" s="1" t="n">
        <v>46271</v>
      </c>
      <c r="F92" t="inlineStr">
        <is>
          <t>VÄRMLANDS LÄN</t>
        </is>
      </c>
      <c r="G92" t="inlineStr">
        <is>
          <t>KRISTINEHAMN</t>
        </is>
      </c>
      <c r="I92" t="n">
        <v>14.9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46271</v>
      </c>
      <c r="F93" t="inlineStr">
        <is>
          <t>VÄRMLANDS LÄN</t>
        </is>
      </c>
      <c r="G93" t="inlineStr">
        <is>
          <t>KRISTINEHAMN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34891-2023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46271</v>
      </c>
      <c r="F94" t="inlineStr">
        <is>
          <t>VÄRMLANDS LÄN</t>
        </is>
      </c>
      <c r="G94" t="inlineStr">
        <is>
          <t>KRISTINEHAMN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68505-2021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44525</v>
      </c>
      <c r="E95" s="1" t="n">
        <v>46271</v>
      </c>
      <c r="F95" t="inlineStr">
        <is>
          <t>VÄRMLANDS LÄN</t>
        </is>
      </c>
      <c r="G95" t="inlineStr">
        <is>
          <t>KRISTINEHAMN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44991</v>
      </c>
      <c r="E96" s="1" t="n">
        <v>46271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45081</v>
      </c>
      <c r="E97" s="1" t="n">
        <v>46271</v>
      </c>
      <c r="F97" t="inlineStr">
        <is>
          <t>VÄRMLANDS LÄN</t>
        </is>
      </c>
      <c r="G97" t="inlineStr">
        <is>
          <t>KRISTINEHAMN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46271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48416-2021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44452</v>
      </c>
      <c r="E99" s="1" t="n">
        <v>46271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46271</v>
      </c>
      <c r="F100" t="inlineStr">
        <is>
          <t>VÄRMLANDS LÄN</t>
        </is>
      </c>
      <c r="G100" t="inlineStr">
        <is>
          <t>KRISTINEHAMN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46271</v>
      </c>
      <c r="F101" t="inlineStr">
        <is>
          <t>VÄRMLANDS LÄN</t>
        </is>
      </c>
      <c r="G101" t="inlineStr">
        <is>
          <t>KRISTINEHAMN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46271</v>
      </c>
      <c r="F102" t="inlineStr">
        <is>
          <t>VÄRMLANDS LÄN</t>
        </is>
      </c>
      <c r="G102" t="inlineStr">
        <is>
          <t>KRISTINEHAMN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46271</v>
      </c>
      <c r="F103" t="inlineStr">
        <is>
          <t>VÄRMLANDS LÄN</t>
        </is>
      </c>
      <c r="G103" t="inlineStr">
        <is>
          <t>KRISTINEHAMN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46271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46271</v>
      </c>
      <c r="F105" t="inlineStr">
        <is>
          <t>VÄRMLANDS LÄN</t>
        </is>
      </c>
      <c r="G105" t="inlineStr">
        <is>
          <t>KRISTINEHAMN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46271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Kommuner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46271</v>
      </c>
      <c r="F107" t="inlineStr">
        <is>
          <t>VÄRMLANDS LÄN</t>
        </is>
      </c>
      <c r="G107" t="inlineStr">
        <is>
          <t>KRISTINEHAMN</t>
        </is>
      </c>
      <c r="I107" t="n">
        <v>10.4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46271</v>
      </c>
      <c r="F108" t="inlineStr">
        <is>
          <t>VÄRMLANDS LÄN</t>
        </is>
      </c>
      <c r="G108" t="inlineStr">
        <is>
          <t>KRISTINEHAMN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46271</v>
      </c>
      <c r="F109" t="inlineStr">
        <is>
          <t>VÄRMLANDS LÄN</t>
        </is>
      </c>
      <c r="G109" t="inlineStr">
        <is>
          <t>KRISTINEHAMN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46271</v>
      </c>
      <c r="F110" t="inlineStr">
        <is>
          <t>VÄRMLANDS LÄN</t>
        </is>
      </c>
      <c r="G110" t="inlineStr">
        <is>
          <t>KRISTINEHAMN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45693</v>
      </c>
      <c r="E111" s="1" t="n">
        <v>46271</v>
      </c>
      <c r="F111" t="inlineStr">
        <is>
          <t>VÄRMLANDS LÄN</t>
        </is>
      </c>
      <c r="G111" t="inlineStr">
        <is>
          <t>KRISTINEHAMN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46271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Bergvik skog väst AB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46271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46271</v>
      </c>
      <c r="F114" t="inlineStr">
        <is>
          <t>VÄRMLANDS LÄN</t>
        </is>
      </c>
      <c r="G114" t="inlineStr">
        <is>
          <t>KRISTINEHAMN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45662</v>
      </c>
      <c r="E115" s="1" t="n">
        <v>46271</v>
      </c>
      <c r="F115" t="inlineStr">
        <is>
          <t>VÄRMLANDS LÄN</t>
        </is>
      </c>
      <c r="G115" t="inlineStr">
        <is>
          <t>KRISTINEHAMN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46271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46271</v>
      </c>
      <c r="F117" t="inlineStr">
        <is>
          <t>VÄRMLANDS LÄN</t>
        </is>
      </c>
      <c r="G117" t="inlineStr">
        <is>
          <t>KRISTINEHAMN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46271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46271</v>
      </c>
      <c r="F119" t="inlineStr">
        <is>
          <t>VÄRMLANDS LÄN</t>
        </is>
      </c>
      <c r="G119" t="inlineStr">
        <is>
          <t>KRISTINEHAMN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46271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46271</v>
      </c>
      <c r="F121" t="inlineStr">
        <is>
          <t>VÄRMLANDS LÄN</t>
        </is>
      </c>
      <c r="G121" t="inlineStr">
        <is>
          <t>KRISTINEHAMN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45802</v>
      </c>
      <c r="E122" s="1" t="n">
        <v>46271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46271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46271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45701</v>
      </c>
      <c r="E125" s="1" t="n">
        <v>46271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Naturvårdsverket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46271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44497</v>
      </c>
      <c r="E127" s="1" t="n">
        <v>46271</v>
      </c>
      <c r="F127" t="inlineStr">
        <is>
          <t>VÄRMLANDS LÄN</t>
        </is>
      </c>
      <c r="G127" t="inlineStr">
        <is>
          <t>KRISTINEHAMN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46271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46271</v>
      </c>
      <c r="F129" t="inlineStr">
        <is>
          <t>VÄRMLANDS LÄN</t>
        </is>
      </c>
      <c r="G129" t="inlineStr">
        <is>
          <t>KRISTINEHAMN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46271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46271</v>
      </c>
      <c r="F131" t="inlineStr">
        <is>
          <t>VÄRMLANDS LÄN</t>
        </is>
      </c>
      <c r="G131" t="inlineStr">
        <is>
          <t>KRISTINEHAMN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46271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46271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46271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46271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45303</v>
      </c>
      <c r="E136" s="1" t="n">
        <v>46271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46271</v>
      </c>
      <c r="F137" t="inlineStr">
        <is>
          <t>VÄRMLANDS LÄN</t>
        </is>
      </c>
      <c r="G137" t="inlineStr">
        <is>
          <t>KRISTINEHAMN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46271</v>
      </c>
      <c r="F138" t="inlineStr">
        <is>
          <t>VÄRMLANDS LÄN</t>
        </is>
      </c>
      <c r="G138" t="inlineStr">
        <is>
          <t>KRISTINEHAMN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46271</v>
      </c>
      <c r="F139" t="inlineStr">
        <is>
          <t>VÄRMLANDS LÄN</t>
        </is>
      </c>
      <c r="G139" t="inlineStr">
        <is>
          <t>KRISTINEHAMN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44741</v>
      </c>
      <c r="E140" s="1" t="n">
        <v>46271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45253</v>
      </c>
      <c r="E141" s="1" t="n">
        <v>46271</v>
      </c>
      <c r="F141" t="inlineStr">
        <is>
          <t>VÄRMLANDS LÄN</t>
        </is>
      </c>
      <c r="G141" t="inlineStr">
        <is>
          <t>KRISTINEHAMN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45364</v>
      </c>
      <c r="E142" s="1" t="n">
        <v>46271</v>
      </c>
      <c r="F142" t="inlineStr">
        <is>
          <t>VÄRMLANDS LÄN</t>
        </is>
      </c>
      <c r="G142" t="inlineStr">
        <is>
          <t>KRISTINEHAMN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46271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46271</v>
      </c>
      <c r="F144" t="inlineStr">
        <is>
          <t>VÄRMLANDS LÄN</t>
        </is>
      </c>
      <c r="G144" t="inlineStr">
        <is>
          <t>KRISTINEHAMN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46271</v>
      </c>
      <c r="F145" t="inlineStr">
        <is>
          <t>VÄRMLANDS LÄN</t>
        </is>
      </c>
      <c r="G145" t="inlineStr">
        <is>
          <t>KRISTINEHAMN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46271</v>
      </c>
      <c r="F146" t="inlineStr">
        <is>
          <t>VÄRMLANDS LÄN</t>
        </is>
      </c>
      <c r="G146" t="inlineStr">
        <is>
          <t>KRISTINEHAMN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12261-2024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46271</v>
      </c>
      <c r="F147" t="inlineStr">
        <is>
          <t>VÄRMLANDS LÄN</t>
        </is>
      </c>
      <c r="G147" t="inlineStr">
        <is>
          <t>KRISTINEHAMN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46271</v>
      </c>
      <c r="F148" t="inlineStr">
        <is>
          <t>VÄRMLANDS LÄN</t>
        </is>
      </c>
      <c r="G148" t="inlineStr">
        <is>
          <t>KRISTINEHAMN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46271</v>
      </c>
      <c r="F149" t="inlineStr">
        <is>
          <t>VÄRMLANDS LÄN</t>
        </is>
      </c>
      <c r="G149" t="inlineStr">
        <is>
          <t>KRISTINEHAMN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46271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46271</v>
      </c>
      <c r="F151" t="inlineStr">
        <is>
          <t>VÄRMLANDS LÄN</t>
        </is>
      </c>
      <c r="G151" t="inlineStr">
        <is>
          <t>KRISTINEHAMN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46271</v>
      </c>
      <c r="F152" t="inlineStr">
        <is>
          <t>VÄRMLANDS LÄN</t>
        </is>
      </c>
      <c r="G152" t="inlineStr">
        <is>
          <t>KRISTINEHAMN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46271</v>
      </c>
      <c r="F153" t="inlineStr">
        <is>
          <t>VÄRMLANDS LÄN</t>
        </is>
      </c>
      <c r="G153" t="inlineStr">
        <is>
          <t>KRISTINEHAMN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46271</v>
      </c>
      <c r="F154" t="inlineStr">
        <is>
          <t>VÄRMLANDS LÄN</t>
        </is>
      </c>
      <c r="G154" t="inlineStr">
        <is>
          <t>KRISTINEHAMN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46271</v>
      </c>
      <c r="F155" t="inlineStr">
        <is>
          <t>VÄRMLANDS LÄN</t>
        </is>
      </c>
      <c r="G155" t="inlineStr">
        <is>
          <t>KRISTINEHAMN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46271</v>
      </c>
      <c r="F156" t="inlineStr">
        <is>
          <t>VÄRMLANDS LÄN</t>
        </is>
      </c>
      <c r="G156" t="inlineStr">
        <is>
          <t>KRISTINEHAMN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44742</v>
      </c>
      <c r="E157" s="1" t="n">
        <v>46271</v>
      </c>
      <c r="F157" t="inlineStr">
        <is>
          <t>VÄRMLANDS LÄN</t>
        </is>
      </c>
      <c r="G157" t="inlineStr">
        <is>
          <t>KRISTINEHAMN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46271</v>
      </c>
      <c r="F158" t="inlineStr">
        <is>
          <t>VÄRMLANDS LÄN</t>
        </is>
      </c>
      <c r="G158" t="inlineStr">
        <is>
          <t>KRISTINEHAMN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46271</v>
      </c>
      <c r="F159" t="inlineStr">
        <is>
          <t>VÄRMLANDS LÄN</t>
        </is>
      </c>
      <c r="G159" t="inlineStr">
        <is>
          <t>KRISTINEHAMN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46271</v>
      </c>
      <c r="F160" t="inlineStr">
        <is>
          <t>VÄRMLANDS LÄN</t>
        </is>
      </c>
      <c r="G160" t="inlineStr">
        <is>
          <t>KRISTINEHAMN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46271</v>
      </c>
      <c r="F161" t="inlineStr">
        <is>
          <t>VÄRMLANDS LÄN</t>
        </is>
      </c>
      <c r="G161" t="inlineStr">
        <is>
          <t>KRISTINEHAMN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46271</v>
      </c>
      <c r="F162" t="inlineStr">
        <is>
          <t>VÄRMLANDS LÄN</t>
        </is>
      </c>
      <c r="G162" t="inlineStr">
        <is>
          <t>KRISTINEHAMN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46271</v>
      </c>
      <c r="F163" t="inlineStr">
        <is>
          <t>VÄRMLANDS LÄN</t>
        </is>
      </c>
      <c r="G163" t="inlineStr">
        <is>
          <t>KRISTINEHAMN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46271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Naturvårdsverket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46271</v>
      </c>
      <c r="F165" t="inlineStr">
        <is>
          <t>VÄRMLANDS LÄN</t>
        </is>
      </c>
      <c r="G165" t="inlineStr">
        <is>
          <t>KRISTINEHAMN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46271</v>
      </c>
      <c r="F166" t="inlineStr">
        <is>
          <t>VÄRMLANDS LÄN</t>
        </is>
      </c>
      <c r="G166" t="inlineStr">
        <is>
          <t>KRISTINEHAMN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19447-2024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45429</v>
      </c>
      <c r="E167" s="1" t="n">
        <v>46271</v>
      </c>
      <c r="F167" t="inlineStr">
        <is>
          <t>VÄRMLANDS LÄN</t>
        </is>
      </c>
      <c r="G167" t="inlineStr">
        <is>
          <t>KRISTINEHAMN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45678</v>
      </c>
      <c r="E168" s="1" t="n">
        <v>46271</v>
      </c>
      <c r="F168" t="inlineStr">
        <is>
          <t>VÄRMLANDS LÄN</t>
        </is>
      </c>
      <c r="G168" t="inlineStr">
        <is>
          <t>KRISTINEHAMN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46271</v>
      </c>
      <c r="F169" t="inlineStr">
        <is>
          <t>VÄRMLANDS LÄN</t>
        </is>
      </c>
      <c r="G169" t="inlineStr">
        <is>
          <t>KRISTINEHAMN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46271</v>
      </c>
      <c r="F170" t="inlineStr">
        <is>
          <t>VÄRMLANDS LÄN</t>
        </is>
      </c>
      <c r="G170" t="inlineStr">
        <is>
          <t>KRISTINEHAMN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46271</v>
      </c>
      <c r="F171" t="inlineStr">
        <is>
          <t>VÄRMLANDS LÄN</t>
        </is>
      </c>
      <c r="G171" t="inlineStr">
        <is>
          <t>KRISTINEHAMN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46271</v>
      </c>
      <c r="F172" t="inlineStr">
        <is>
          <t>VÄRMLANDS LÄN</t>
        </is>
      </c>
      <c r="G172" t="inlineStr">
        <is>
          <t>KRISTINEHAMN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46271</v>
      </c>
      <c r="F173" t="inlineStr">
        <is>
          <t>VÄRMLANDS LÄN</t>
        </is>
      </c>
      <c r="G173" t="inlineStr">
        <is>
          <t>KRISTINEHAMN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46271</v>
      </c>
      <c r="F174" t="inlineStr">
        <is>
          <t>VÄRMLANDS LÄN</t>
        </is>
      </c>
      <c r="G174" t="inlineStr">
        <is>
          <t>KRISTINEHAMN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46271</v>
      </c>
      <c r="F175" t="inlineStr">
        <is>
          <t>VÄRMLANDS LÄN</t>
        </is>
      </c>
      <c r="G175" t="inlineStr">
        <is>
          <t>KRISTINEHAMN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46271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46271</v>
      </c>
      <c r="F177" t="inlineStr">
        <is>
          <t>VÄRMLANDS LÄN</t>
        </is>
      </c>
      <c r="G177" t="inlineStr">
        <is>
          <t>KRISTINEHAMN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46271</v>
      </c>
      <c r="F178" t="inlineStr">
        <is>
          <t>VÄRMLANDS LÄN</t>
        </is>
      </c>
      <c r="G178" t="inlineStr">
        <is>
          <t>KRISTINEHAMN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46271</v>
      </c>
      <c r="F179" t="inlineStr">
        <is>
          <t>VÄRMLANDS LÄN</t>
        </is>
      </c>
      <c r="G179" t="inlineStr">
        <is>
          <t>KRISTINEHAMN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46271</v>
      </c>
      <c r="F180" t="inlineStr">
        <is>
          <t>VÄRMLANDS LÄN</t>
        </is>
      </c>
      <c r="G180" t="inlineStr">
        <is>
          <t>KRISTINEHAMN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46271</v>
      </c>
      <c r="F181" t="inlineStr">
        <is>
          <t>VÄRMLANDS LÄN</t>
        </is>
      </c>
      <c r="G181" t="inlineStr">
        <is>
          <t>KRISTINEHAMN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46271</v>
      </c>
      <c r="F182" t="inlineStr">
        <is>
          <t>VÄRMLANDS LÄN</t>
        </is>
      </c>
      <c r="G182" t="inlineStr">
        <is>
          <t>KRISTINEHAMN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44734</v>
      </c>
      <c r="E183" s="1" t="n">
        <v>46271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46271</v>
      </c>
      <c r="F184" t="inlineStr">
        <is>
          <t>VÄRMLANDS LÄN</t>
        </is>
      </c>
      <c r="G184" t="inlineStr">
        <is>
          <t>KRISTINEHAMN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46271</v>
      </c>
      <c r="F185" t="inlineStr">
        <is>
          <t>VÄRMLANDS LÄN</t>
        </is>
      </c>
      <c r="G185" t="inlineStr">
        <is>
          <t>KRISTINEHAMN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44965</v>
      </c>
      <c r="E186" s="1" t="n">
        <v>46271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45313</v>
      </c>
      <c r="E187" s="1" t="n">
        <v>46271</v>
      </c>
      <c r="F187" t="inlineStr">
        <is>
          <t>VÄRMLANDS LÄN</t>
        </is>
      </c>
      <c r="G187" t="inlineStr">
        <is>
          <t>KRISTINEHAMN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45647</v>
      </c>
      <c r="E188" s="1" t="n">
        <v>46271</v>
      </c>
      <c r="F188" t="inlineStr">
        <is>
          <t>VÄRMLANDS LÄN</t>
        </is>
      </c>
      <c r="G188" t="inlineStr">
        <is>
          <t>KRISTINEHAMN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45876</v>
      </c>
      <c r="E189" s="1" t="n">
        <v>46271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46271</v>
      </c>
      <c r="F190" t="inlineStr">
        <is>
          <t>VÄRMLANDS LÄN</t>
        </is>
      </c>
      <c r="G190" t="inlineStr">
        <is>
          <t>KRISTINEHAMN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46271</v>
      </c>
      <c r="F191" t="inlineStr">
        <is>
          <t>VÄRMLANDS LÄN</t>
        </is>
      </c>
      <c r="G191" t="inlineStr">
        <is>
          <t>KRISTINEHAMN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46271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46271</v>
      </c>
      <c r="F193" t="inlineStr">
        <is>
          <t>VÄRMLANDS LÄN</t>
        </is>
      </c>
      <c r="G193" t="inlineStr">
        <is>
          <t>KRISTINEHAMN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46271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46271</v>
      </c>
      <c r="F195" t="inlineStr">
        <is>
          <t>VÄRMLANDS LÄN</t>
        </is>
      </c>
      <c r="G195" t="inlineStr">
        <is>
          <t>KRISTINEHAMN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13459-2024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45387</v>
      </c>
      <c r="E196" s="1" t="n">
        <v>46271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46271</v>
      </c>
      <c r="F197" t="inlineStr">
        <is>
          <t>VÄRMLANDS LÄN</t>
        </is>
      </c>
      <c r="G197" t="inlineStr">
        <is>
          <t>KRISTINEHAMN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46271</v>
      </c>
      <c r="F198" t="inlineStr">
        <is>
          <t>VÄRMLANDS LÄN</t>
        </is>
      </c>
      <c r="G198" t="inlineStr">
        <is>
          <t>KRISTINEHAMN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6259-2026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46051</v>
      </c>
      <c r="E199" s="1" t="n">
        <v>46271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19638-2025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45770</v>
      </c>
      <c r="E200" s="1" t="n">
        <v>46271</v>
      </c>
      <c r="F200" t="inlineStr">
        <is>
          <t>VÄRMLANDS LÄN</t>
        </is>
      </c>
      <c r="G200" t="inlineStr">
        <is>
          <t>KRISTINEHAMN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46271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46271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46271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Naturvårdsverket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46271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46271</v>
      </c>
      <c r="F205" t="inlineStr">
        <is>
          <t>VÄRMLANDS LÄN</t>
        </is>
      </c>
      <c r="G205" t="inlineStr">
        <is>
          <t>KRISTINEHAMN</t>
        </is>
      </c>
      <c r="I205" t="n">
        <v>19.4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46271</v>
      </c>
      <c r="F206" t="inlineStr">
        <is>
          <t>VÄRMLANDS LÄN</t>
        </is>
      </c>
      <c r="G206" t="inlineStr">
        <is>
          <t>KRISTINEHAMN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44474</v>
      </c>
      <c r="E207" s="1" t="n">
        <v>46271</v>
      </c>
      <c r="F207" t="inlineStr">
        <is>
          <t>VÄRMLANDS LÄN</t>
        </is>
      </c>
      <c r="G207" t="inlineStr">
        <is>
          <t>KRISTINEHAMN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44656</v>
      </c>
      <c r="E208" s="1" t="n">
        <v>46271</v>
      </c>
      <c r="F208" t="inlineStr">
        <is>
          <t>VÄRMLANDS LÄN</t>
        </is>
      </c>
      <c r="G208" t="inlineStr">
        <is>
          <t>KRISTINEHAMN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46271</v>
      </c>
      <c r="F209" t="inlineStr">
        <is>
          <t>VÄRMLANDS LÄN</t>
        </is>
      </c>
      <c r="G209" t="inlineStr">
        <is>
          <t>KRISTINEHAMN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46271</v>
      </c>
      <c r="F210" t="inlineStr">
        <is>
          <t>VÄRMLANDS LÄN</t>
        </is>
      </c>
      <c r="G210" t="inlineStr">
        <is>
          <t>KRISTINEHAMN</t>
        </is>
      </c>
      <c r="I210" t="n">
        <v>15.9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56315-2025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45974</v>
      </c>
      <c r="E211" s="1" t="n">
        <v>46271</v>
      </c>
      <c r="F211" t="inlineStr">
        <is>
          <t>VÄRMLANDS LÄN</t>
        </is>
      </c>
      <c r="G211" t="inlineStr">
        <is>
          <t>KRISTINEHAMN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45079</v>
      </c>
      <c r="E212" s="1" t="n">
        <v>46271</v>
      </c>
      <c r="F212" t="inlineStr">
        <is>
          <t>VÄRMLANDS LÄN</t>
        </is>
      </c>
      <c r="G212" t="inlineStr">
        <is>
          <t>KRISTINEHAMN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45681</v>
      </c>
      <c r="E213" s="1" t="n">
        <v>46271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46271</v>
      </c>
      <c r="F214" t="inlineStr">
        <is>
          <t>VÄRMLANDS LÄN</t>
        </is>
      </c>
      <c r="G214" t="inlineStr">
        <is>
          <t>KRISTINEHAMN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44648</v>
      </c>
      <c r="E215" s="1" t="n">
        <v>46271</v>
      </c>
      <c r="F215" t="inlineStr">
        <is>
          <t>VÄRMLANDS LÄN</t>
        </is>
      </c>
      <c r="G215" t="inlineStr">
        <is>
          <t>KRISTINEHAMN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46271</v>
      </c>
      <c r="F216" t="inlineStr">
        <is>
          <t>VÄRMLANDS LÄN</t>
        </is>
      </c>
      <c r="G216" t="inlineStr">
        <is>
          <t>KRISTINEHAMN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45681</v>
      </c>
      <c r="E217" s="1" t="n">
        <v>46271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46271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46271</v>
      </c>
      <c r="F219" t="inlineStr">
        <is>
          <t>VÄRMLANDS LÄN</t>
        </is>
      </c>
      <c r="G219" t="inlineStr">
        <is>
          <t>KRISTINEHAMN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46271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46271</v>
      </c>
      <c r="F221" t="inlineStr">
        <is>
          <t>VÄRMLANDS LÄN</t>
        </is>
      </c>
      <c r="G221" t="inlineStr">
        <is>
          <t>KRISTINEHAMN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45361</v>
      </c>
      <c r="E222" s="1" t="n">
        <v>46271</v>
      </c>
      <c r="F222" t="inlineStr">
        <is>
          <t>VÄRMLANDS LÄN</t>
        </is>
      </c>
      <c r="G222" t="inlineStr">
        <is>
          <t>KRISTINEHAMN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46271</v>
      </c>
      <c r="F223" t="inlineStr">
        <is>
          <t>VÄRMLANDS LÄN</t>
        </is>
      </c>
      <c r="G223" t="inlineStr">
        <is>
          <t>KRISTINEHAMN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46271</v>
      </c>
      <c r="F224" t="inlineStr">
        <is>
          <t>VÄRMLANDS LÄN</t>
        </is>
      </c>
      <c r="G224" t="inlineStr">
        <is>
          <t>KRISTINEHAMN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46271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46271</v>
      </c>
      <c r="F226" t="inlineStr">
        <is>
          <t>VÄRMLANDS LÄN</t>
        </is>
      </c>
      <c r="G226" t="inlineStr">
        <is>
          <t>KRISTINEHAMN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46271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46271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46271</v>
      </c>
      <c r="F229" t="inlineStr">
        <is>
          <t>VÄRMLANDS LÄN</t>
        </is>
      </c>
      <c r="G229" t="inlineStr">
        <is>
          <t>KRISTINEHAMN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46271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46271</v>
      </c>
      <c r="F231" t="inlineStr">
        <is>
          <t>VÄRMLANDS LÄN</t>
        </is>
      </c>
      <c r="G231" t="inlineStr">
        <is>
          <t>KRISTINEHAMN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46271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46271</v>
      </c>
      <c r="F233" t="inlineStr">
        <is>
          <t>VÄRMLANDS LÄN</t>
        </is>
      </c>
      <c r="G233" t="inlineStr">
        <is>
          <t>KRISTINEHAMN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44526</v>
      </c>
      <c r="E234" s="1" t="n">
        <v>46271</v>
      </c>
      <c r="F234" t="inlineStr">
        <is>
          <t>VÄRMLANDS LÄN</t>
        </is>
      </c>
      <c r="G234" t="inlineStr">
        <is>
          <t>KRISTINEHAMN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68530-2021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44526</v>
      </c>
      <c r="E235" s="1" t="n">
        <v>46271</v>
      </c>
      <c r="F235" t="inlineStr">
        <is>
          <t>VÄRMLANDS LÄN</t>
        </is>
      </c>
      <c r="G235" t="inlineStr">
        <is>
          <t>KRISTINEHAMN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46271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Naturvårdsverket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46271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46271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44712</v>
      </c>
      <c r="E239" s="1" t="n">
        <v>46271</v>
      </c>
      <c r="F239" t="inlineStr">
        <is>
          <t>VÄRMLANDS LÄN</t>
        </is>
      </c>
      <c r="G239" t="inlineStr">
        <is>
          <t>KRISTINEHAMN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45639</v>
      </c>
      <c r="E240" s="1" t="n">
        <v>46271</v>
      </c>
      <c r="F240" t="inlineStr">
        <is>
          <t>VÄRMLANDS LÄN</t>
        </is>
      </c>
      <c r="G240" t="inlineStr">
        <is>
          <t>KRISTINEHAMN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46271</v>
      </c>
      <c r="F241" t="inlineStr">
        <is>
          <t>VÄRMLANDS LÄN</t>
        </is>
      </c>
      <c r="G241" t="inlineStr">
        <is>
          <t>KRISTINEHAMN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46271</v>
      </c>
      <c r="F242" t="inlineStr">
        <is>
          <t>VÄRMLANDS LÄN</t>
        </is>
      </c>
      <c r="G242" t="inlineStr">
        <is>
          <t>KRISTINEHAMN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46271</v>
      </c>
      <c r="F243" t="inlineStr">
        <is>
          <t>VÄRMLANDS LÄN</t>
        </is>
      </c>
      <c r="G243" t="inlineStr">
        <is>
          <t>KRISTINEHAMN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46271</v>
      </c>
      <c r="F244" t="inlineStr">
        <is>
          <t>VÄRMLANDS LÄN</t>
        </is>
      </c>
      <c r="G244" t="inlineStr">
        <is>
          <t>KRISTINEHAMN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46271</v>
      </c>
      <c r="F245" t="inlineStr">
        <is>
          <t>VÄRMLANDS LÄN</t>
        </is>
      </c>
      <c r="G245" t="inlineStr">
        <is>
          <t>KRISTINEHAMN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29526-2022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44753</v>
      </c>
      <c r="E246" s="1" t="n">
        <v>46271</v>
      </c>
      <c r="F246" t="inlineStr">
        <is>
          <t>VÄRMLANDS LÄN</t>
        </is>
      </c>
      <c r="G246" t="inlineStr">
        <is>
          <t>KRISTINEHAMN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45477</v>
      </c>
      <c r="E247" s="1" t="n">
        <v>46271</v>
      </c>
      <c r="F247" t="inlineStr">
        <is>
          <t>VÄRMLANDS LÄN</t>
        </is>
      </c>
      <c r="G247" t="inlineStr">
        <is>
          <t>KRISTINEHAMN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46271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46271</v>
      </c>
      <c r="F249" t="inlineStr">
        <is>
          <t>VÄRMLANDS LÄN</t>
        </is>
      </c>
      <c r="G249" t="inlineStr">
        <is>
          <t>KRISTINEHAMN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46271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46271</v>
      </c>
      <c r="F251" t="inlineStr">
        <is>
          <t>VÄRMLANDS LÄN</t>
        </is>
      </c>
      <c r="G251" t="inlineStr">
        <is>
          <t>KRISTINEHAMN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46271</v>
      </c>
      <c r="F252" t="inlineStr">
        <is>
          <t>VÄRMLANDS LÄN</t>
        </is>
      </c>
      <c r="G252" t="inlineStr">
        <is>
          <t>KRISTINEHAMN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46271</v>
      </c>
      <c r="F253" t="inlineStr">
        <is>
          <t>VÄRMLANDS LÄN</t>
        </is>
      </c>
      <c r="G253" t="inlineStr">
        <is>
          <t>KRISTINEHAMN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52750-2021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44466</v>
      </c>
      <c r="E254" s="1" t="n">
        <v>46271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46271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46271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46271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46271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46271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46271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46271</v>
      </c>
      <c r="F261" t="inlineStr">
        <is>
          <t>VÄRMLANDS LÄN</t>
        </is>
      </c>
      <c r="G261" t="inlineStr">
        <is>
          <t>KRISTINEHAMN</t>
        </is>
      </c>
      <c r="I261" t="n">
        <v>8.800000000000001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46271</v>
      </c>
      <c r="F262" t="inlineStr">
        <is>
          <t>VÄRMLANDS LÄN</t>
        </is>
      </c>
      <c r="G262" t="inlineStr">
        <is>
          <t>KRISTINEHAMN</t>
        </is>
      </c>
      <c r="I262" t="n">
        <v>8.4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46271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46271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44489</v>
      </c>
      <c r="E265" s="1" t="n">
        <v>46271</v>
      </c>
      <c r="F265" t="inlineStr">
        <is>
          <t>VÄRMLANDS LÄN</t>
        </is>
      </c>
      <c r="G265" t="inlineStr">
        <is>
          <t>KRISTINEHAMN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46271</v>
      </c>
      <c r="F266" t="inlineStr">
        <is>
          <t>VÄRMLANDS LÄN</t>
        </is>
      </c>
      <c r="G266" t="inlineStr">
        <is>
          <t>KRISTINEHAMN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15646-2026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46106</v>
      </c>
      <c r="E267" s="1" t="n">
        <v>46271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46271</v>
      </c>
      <c r="F268" t="inlineStr">
        <is>
          <t>VÄRMLANDS LÄN</t>
        </is>
      </c>
      <c r="G268" t="inlineStr">
        <is>
          <t>KRISTINEHAMN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46271</v>
      </c>
      <c r="F269" t="inlineStr">
        <is>
          <t>VÄRMLANDS LÄN</t>
        </is>
      </c>
      <c r="G269" t="inlineStr">
        <is>
          <t>KRISTINEHAMN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45666</v>
      </c>
      <c r="E270" s="1" t="n">
        <v>46271</v>
      </c>
      <c r="F270" t="inlineStr">
        <is>
          <t>VÄRMLANDS LÄN</t>
        </is>
      </c>
      <c r="G270" t="inlineStr">
        <is>
          <t>KRISTINEHAMN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45322</v>
      </c>
      <c r="E271" s="1" t="n">
        <v>46271</v>
      </c>
      <c r="F271" t="inlineStr">
        <is>
          <t>VÄRMLANDS LÄN</t>
        </is>
      </c>
      <c r="G271" t="inlineStr">
        <is>
          <t>KRISTINEHAMN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46271</v>
      </c>
      <c r="F272" t="inlineStr">
        <is>
          <t>VÄRMLANDS LÄN</t>
        </is>
      </c>
      <c r="G272" t="inlineStr">
        <is>
          <t>KRISTINEHAMN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45461</v>
      </c>
      <c r="E273" s="1" t="n">
        <v>46271</v>
      </c>
      <c r="F273" t="inlineStr">
        <is>
          <t>VÄRMLANDS LÄN</t>
        </is>
      </c>
      <c r="G273" t="inlineStr">
        <is>
          <t>KRISTINEHAMN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45313</v>
      </c>
      <c r="E274" s="1" t="n">
        <v>46271</v>
      </c>
      <c r="F274" t="inlineStr">
        <is>
          <t>VÄRMLANDS LÄN</t>
        </is>
      </c>
      <c r="G274" t="inlineStr">
        <is>
          <t>KRISTINEHAMN</t>
        </is>
      </c>
      <c r="I274" t="n">
        <v>11.2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44595</v>
      </c>
      <c r="E275" s="1" t="n">
        <v>46271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44595</v>
      </c>
      <c r="E276" s="1" t="n">
        <v>46271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Kommuner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46271</v>
      </c>
      <c r="F277" t="inlineStr">
        <is>
          <t>VÄRMLANDS LÄN</t>
        </is>
      </c>
      <c r="G277" t="inlineStr">
        <is>
          <t>KRISTINEHAMN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32821-2023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45112</v>
      </c>
      <c r="E278" s="1" t="n">
        <v>46271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46271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46271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47915-2022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46271</v>
      </c>
      <c r="F281" t="inlineStr">
        <is>
          <t>VÄRMLANDS LÄN</t>
        </is>
      </c>
      <c r="G281" t="inlineStr">
        <is>
          <t>KRISTINEHAMN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32821-2023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45112</v>
      </c>
      <c r="E282" s="1" t="n">
        <v>46271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Kommuner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46271</v>
      </c>
      <c r="F283" t="inlineStr">
        <is>
          <t>VÄRMLANDS LÄN</t>
        </is>
      </c>
      <c r="G283" t="inlineStr">
        <is>
          <t>KRISTINEHAMN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45636</v>
      </c>
      <c r="E284" s="1" t="n">
        <v>46271</v>
      </c>
      <c r="F284" t="inlineStr">
        <is>
          <t>VÄRMLANDS LÄN</t>
        </is>
      </c>
      <c r="G284" t="inlineStr">
        <is>
          <t>KRISTINEHAMN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47951-2021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44448</v>
      </c>
      <c r="E285" s="1" t="n">
        <v>46271</v>
      </c>
      <c r="F285" t="inlineStr">
        <is>
          <t>VÄRMLANDS LÄN</t>
        </is>
      </c>
      <c r="G285" t="inlineStr">
        <is>
          <t>KRISTINEHAMN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46271</v>
      </c>
      <c r="F286" t="inlineStr">
        <is>
          <t>VÄRMLANDS LÄN</t>
        </is>
      </c>
      <c r="G286" t="inlineStr">
        <is>
          <t>KRISTINEHAMN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45478</v>
      </c>
      <c r="E287" s="1" t="n">
        <v>46271</v>
      </c>
      <c r="F287" t="inlineStr">
        <is>
          <t>VÄRMLANDS LÄN</t>
        </is>
      </c>
      <c r="G287" t="inlineStr">
        <is>
          <t>KRISTINEHAMN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45315</v>
      </c>
      <c r="E288" s="1" t="n">
        <v>46271</v>
      </c>
      <c r="F288" t="inlineStr">
        <is>
          <t>VÄRMLANDS LÄN</t>
        </is>
      </c>
      <c r="G288" t="inlineStr">
        <is>
          <t>KRISTINEHAMN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46271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46271</v>
      </c>
      <c r="F290" t="inlineStr">
        <is>
          <t>VÄRMLANDS LÄN</t>
        </is>
      </c>
      <c r="G290" t="inlineStr">
        <is>
          <t>KRISTINEHAMN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46271</v>
      </c>
      <c r="F291" t="inlineStr">
        <is>
          <t>VÄRMLANDS LÄN</t>
        </is>
      </c>
      <c r="G291" t="inlineStr">
        <is>
          <t>KRISTINEHAMN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44746</v>
      </c>
      <c r="E292" s="1" t="n">
        <v>46271</v>
      </c>
      <c r="F292" t="inlineStr">
        <is>
          <t>VÄRMLANDS LÄN</t>
        </is>
      </c>
      <c r="G292" t="inlineStr">
        <is>
          <t>KRISTINEHAMN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46271</v>
      </c>
      <c r="F293" t="inlineStr">
        <is>
          <t>VÄRMLANDS LÄN</t>
        </is>
      </c>
      <c r="G293" t="inlineStr">
        <is>
          <t>KRISTINEHAMN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46271</v>
      </c>
      <c r="F294" t="inlineStr">
        <is>
          <t>VÄRMLANDS LÄN</t>
        </is>
      </c>
      <c r="G294" t="inlineStr">
        <is>
          <t>KRISTINEHAMN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46271</v>
      </c>
      <c r="F295" t="inlineStr">
        <is>
          <t>VÄRMLANDS LÄN</t>
        </is>
      </c>
      <c r="G295" t="inlineStr">
        <is>
          <t>KRISTINEHAMN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46271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Naturvårdsverket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44941</v>
      </c>
      <c r="E297" s="1" t="n">
        <v>46271</v>
      </c>
      <c r="F297" t="inlineStr">
        <is>
          <t>VÄRMLANDS LÄN</t>
        </is>
      </c>
      <c r="G297" t="inlineStr">
        <is>
          <t>KRISTINEHAMN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46271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46271</v>
      </c>
      <c r="F299" t="inlineStr">
        <is>
          <t>VÄRMLANDS LÄN</t>
        </is>
      </c>
      <c r="G299" t="inlineStr">
        <is>
          <t>KRISTINEHAMN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46271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46271</v>
      </c>
      <c r="F301" t="inlineStr">
        <is>
          <t>VÄRMLANDS LÄN</t>
        </is>
      </c>
      <c r="G301" t="inlineStr">
        <is>
          <t>KRISTINEHAMN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45625</v>
      </c>
      <c r="E302" s="1" t="n">
        <v>46271</v>
      </c>
      <c r="F302" t="inlineStr">
        <is>
          <t>VÄRMLANDS LÄN</t>
        </is>
      </c>
      <c r="G302" t="inlineStr">
        <is>
          <t>KRISTINEHAMN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45450</v>
      </c>
      <c r="E303" s="1" t="n">
        <v>46271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Kommuner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46271</v>
      </c>
      <c r="F304" t="inlineStr">
        <is>
          <t>VÄRMLANDS LÄN</t>
        </is>
      </c>
      <c r="G304" t="inlineStr">
        <is>
          <t>KRISTINEHAMN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46271</v>
      </c>
      <c r="F305" t="inlineStr">
        <is>
          <t>VÄRMLANDS LÄN</t>
        </is>
      </c>
      <c r="G305" t="inlineStr">
        <is>
          <t>KRISTINEHAMN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46271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46271</v>
      </c>
      <c r="F307" t="inlineStr">
        <is>
          <t>VÄRMLANDS LÄN</t>
        </is>
      </c>
      <c r="G307" t="inlineStr">
        <is>
          <t>KRISTINEHAMN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46271</v>
      </c>
      <c r="F308" t="inlineStr">
        <is>
          <t>VÄRMLANDS LÄN</t>
        </is>
      </c>
      <c r="G308" t="inlineStr">
        <is>
          <t>KRISTINEHAMN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46271</v>
      </c>
      <c r="F309" t="inlineStr">
        <is>
          <t>VÄRMLANDS LÄN</t>
        </is>
      </c>
      <c r="G309" t="inlineStr">
        <is>
          <t>KRISTINEHAMN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46271</v>
      </c>
      <c r="F310" t="inlineStr">
        <is>
          <t>VÄRMLANDS LÄN</t>
        </is>
      </c>
      <c r="G310" t="inlineStr">
        <is>
          <t>KRISTINEHAMN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44831</v>
      </c>
      <c r="E311" s="1" t="n">
        <v>46271</v>
      </c>
      <c r="F311" t="inlineStr">
        <is>
          <t>VÄRMLANDS LÄN</t>
        </is>
      </c>
      <c r="G311" t="inlineStr">
        <is>
          <t>KRISTINEHAMN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46271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Bergvik skog väst AB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46271</v>
      </c>
      <c r="F313" t="inlineStr">
        <is>
          <t>VÄRMLANDS LÄN</t>
        </is>
      </c>
      <c r="G313" t="inlineStr">
        <is>
          <t>KRISTINEHAMN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45401</v>
      </c>
      <c r="E314" s="1" t="n">
        <v>46271</v>
      </c>
      <c r="F314" t="inlineStr">
        <is>
          <t>VÄRMLANDS LÄN</t>
        </is>
      </c>
      <c r="G314" t="inlineStr">
        <is>
          <t>KRISTINEHAMN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46271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Naturvårdsverket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46271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Naturvårdsverket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44918</v>
      </c>
      <c r="E317" s="1" t="n">
        <v>46271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Kommuner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41857-2023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45176</v>
      </c>
      <c r="E318" s="1" t="n">
        <v>46271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Naturvårdsverket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46271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46271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46271</v>
      </c>
      <c r="F321" t="inlineStr">
        <is>
          <t>VÄRMLANDS LÄN</t>
        </is>
      </c>
      <c r="G321" t="inlineStr">
        <is>
          <t>KRISTINEHAMN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46271</v>
      </c>
      <c r="F322" t="inlineStr">
        <is>
          <t>VÄRMLANDS LÄN</t>
        </is>
      </c>
      <c r="G322" t="inlineStr">
        <is>
          <t>KRISTINEHAMN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46271</v>
      </c>
      <c r="F323" t="inlineStr">
        <is>
          <t>VÄRMLANDS LÄN</t>
        </is>
      </c>
      <c r="G323" t="inlineStr">
        <is>
          <t>KRISTINEHAMN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45243</v>
      </c>
      <c r="E324" s="1" t="n">
        <v>46271</v>
      </c>
      <c r="F324" t="inlineStr">
        <is>
          <t>VÄRMLANDS LÄN</t>
        </is>
      </c>
      <c r="G324" t="inlineStr">
        <is>
          <t>KRISTINEHAMN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46271</v>
      </c>
      <c r="F325" t="inlineStr">
        <is>
          <t>VÄRMLANDS LÄN</t>
        </is>
      </c>
      <c r="G325" t="inlineStr">
        <is>
          <t>KRISTINEHAMN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46271</v>
      </c>
      <c r="F326" t="inlineStr">
        <is>
          <t>VÄRMLANDS LÄN</t>
        </is>
      </c>
      <c r="G326" t="inlineStr">
        <is>
          <t>KRISTINEHAMN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46271</v>
      </c>
      <c r="F327" t="inlineStr">
        <is>
          <t>VÄRMLANDS LÄN</t>
        </is>
      </c>
      <c r="G327" t="inlineStr">
        <is>
          <t>KRISTINEHAMN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46271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46271</v>
      </c>
      <c r="F329" t="inlineStr">
        <is>
          <t>VÄRMLANDS LÄN</t>
        </is>
      </c>
      <c r="G329" t="inlineStr">
        <is>
          <t>KRISTINEHAMN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44722</v>
      </c>
      <c r="E330" s="1" t="n">
        <v>46271</v>
      </c>
      <c r="F330" t="inlineStr">
        <is>
          <t>VÄRMLANDS LÄN</t>
        </is>
      </c>
      <c r="G330" t="inlineStr">
        <is>
          <t>KRISTINEHAMN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45002</v>
      </c>
      <c r="E331" s="1" t="n">
        <v>46271</v>
      </c>
      <c r="F331" t="inlineStr">
        <is>
          <t>VÄRMLANDS LÄN</t>
        </is>
      </c>
      <c r="G331" t="inlineStr">
        <is>
          <t>KRISTINEHAMN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46271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17110-2022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44677</v>
      </c>
      <c r="E333" s="1" t="n">
        <v>46271</v>
      </c>
      <c r="F333" t="inlineStr">
        <is>
          <t>VÄRMLANDS LÄN</t>
        </is>
      </c>
      <c r="G333" t="inlineStr">
        <is>
          <t>KRISTINEHAMN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46271</v>
      </c>
      <c r="F334" t="inlineStr">
        <is>
          <t>VÄRMLANDS LÄN</t>
        </is>
      </c>
      <c r="G334" t="inlineStr">
        <is>
          <t>KRISTINEHAMN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46271</v>
      </c>
      <c r="F335" t="inlineStr">
        <is>
          <t>VÄRMLANDS LÄN</t>
        </is>
      </c>
      <c r="G335" t="inlineStr">
        <is>
          <t>KRISTINEHAMN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46271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46271</v>
      </c>
      <c r="F337" t="inlineStr">
        <is>
          <t>VÄRMLANDS LÄN</t>
        </is>
      </c>
      <c r="G337" t="inlineStr">
        <is>
          <t>KRISTINEHAMN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22060-2026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46149</v>
      </c>
      <c r="E338" s="1" t="n">
        <v>46271</v>
      </c>
      <c r="F338" t="inlineStr">
        <is>
          <t>VÄRMLANDS LÄN</t>
        </is>
      </c>
      <c r="G338" t="inlineStr">
        <is>
          <t>KRISTINEHAMN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46271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46150</v>
      </c>
      <c r="E340" s="1" t="n">
        <v>46271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46271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55890-2023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46271</v>
      </c>
      <c r="F342" t="inlineStr">
        <is>
          <t>VÄRMLANDS LÄN</t>
        </is>
      </c>
      <c r="G342" t="inlineStr">
        <is>
          <t>KRISTINEHAMN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45058</v>
      </c>
      <c r="E343" s="1" t="n">
        <v>46271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46271</v>
      </c>
      <c r="F344" t="inlineStr">
        <is>
          <t>VÄRMLANDS LÄN</t>
        </is>
      </c>
      <c r="G344" t="inlineStr">
        <is>
          <t>KRISTINEHAMN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46271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45569</v>
      </c>
      <c r="E346" s="1" t="n">
        <v>46271</v>
      </c>
      <c r="F346" t="inlineStr">
        <is>
          <t>VÄRMLANDS LÄN</t>
        </is>
      </c>
      <c r="G346" t="inlineStr">
        <is>
          <t>KRISTINEHAMN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46271</v>
      </c>
      <c r="F347" t="inlineStr">
        <is>
          <t>VÄRMLANDS LÄN</t>
        </is>
      </c>
      <c r="G347" t="inlineStr">
        <is>
          <t>KRISTINEHAMN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45442</v>
      </c>
      <c r="E348" s="1" t="n">
        <v>46271</v>
      </c>
      <c r="F348" t="inlineStr">
        <is>
          <t>VÄRMLANDS LÄN</t>
        </is>
      </c>
      <c r="G348" t="inlineStr">
        <is>
          <t>KRISTINEHAMN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54548-2023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45226</v>
      </c>
      <c r="E349" s="1" t="n">
        <v>46271</v>
      </c>
      <c r="F349" t="inlineStr">
        <is>
          <t>VÄRMLANDS LÄN</t>
        </is>
      </c>
      <c r="G349" t="inlineStr">
        <is>
          <t>KRISTINEHAMN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45226</v>
      </c>
      <c r="E350" s="1" t="n">
        <v>46271</v>
      </c>
      <c r="F350" t="inlineStr">
        <is>
          <t>VÄRMLANDS LÄN</t>
        </is>
      </c>
      <c r="G350" t="inlineStr">
        <is>
          <t>KRISTINEHAMN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46271</v>
      </c>
      <c r="F351" t="inlineStr">
        <is>
          <t>VÄRMLANDS LÄN</t>
        </is>
      </c>
      <c r="G351" t="inlineStr">
        <is>
          <t>KRISTINEHAMN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45260</v>
      </c>
      <c r="E352" s="1" t="n">
        <v>46271</v>
      </c>
      <c r="F352" t="inlineStr">
        <is>
          <t>VÄRMLANDS LÄN</t>
        </is>
      </c>
      <c r="G352" t="inlineStr">
        <is>
          <t>KRISTINEHAMN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46271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45379</v>
      </c>
      <c r="E354" s="1" t="n">
        <v>46271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46271</v>
      </c>
      <c r="F355" t="inlineStr">
        <is>
          <t>VÄRMLANDS LÄN</t>
        </is>
      </c>
      <c r="G355" t="inlineStr">
        <is>
          <t>KRISTINEHAMN</t>
        </is>
      </c>
      <c r="I355" t="n">
        <v>12.6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46271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49335-2021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44454</v>
      </c>
      <c r="E357" s="1" t="n">
        <v>46271</v>
      </c>
      <c r="F357" t="inlineStr">
        <is>
          <t>VÄRMLANDS LÄN</t>
        </is>
      </c>
      <c r="G357" t="inlineStr">
        <is>
          <t>KRISTINEHAMN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46271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54690-2022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44883</v>
      </c>
      <c r="E359" s="1" t="n">
        <v>46271</v>
      </c>
      <c r="F359" t="inlineStr">
        <is>
          <t>VÄRMLANDS LÄN</t>
        </is>
      </c>
      <c r="G359" t="inlineStr">
        <is>
          <t>KRISTINEHAMN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46271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22896-2023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45072</v>
      </c>
      <c r="E361" s="1" t="n">
        <v>46271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44985</v>
      </c>
      <c r="E362" s="1" t="n">
        <v>46271</v>
      </c>
      <c r="F362" t="inlineStr">
        <is>
          <t>VÄRMLANDS LÄN</t>
        </is>
      </c>
      <c r="G362" t="inlineStr">
        <is>
          <t>KRISTINEHAMN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24570-2026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46170</v>
      </c>
      <c r="E363" s="1" t="n">
        <v>46271</v>
      </c>
      <c r="F363" t="inlineStr">
        <is>
          <t>VÄRMLANDS LÄN</t>
        </is>
      </c>
      <c r="G363" t="inlineStr">
        <is>
          <t>KRISTINEHAMN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46271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Sveaskog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45202</v>
      </c>
      <c r="E365" s="1" t="n">
        <v>46271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44851</v>
      </c>
      <c r="E366" s="1" t="n">
        <v>46271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45181</v>
      </c>
      <c r="E367" s="1" t="n">
        <v>46271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45082</v>
      </c>
      <c r="E368" s="1" t="n">
        <v>46271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44637</v>
      </c>
      <c r="E369" s="1" t="n">
        <v>46271</v>
      </c>
      <c r="F369" t="inlineStr">
        <is>
          <t>VÄRMLANDS LÄN</t>
        </is>
      </c>
      <c r="G369" t="inlineStr">
        <is>
          <t>KRISTINEHAMN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25258-2026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46175</v>
      </c>
      <c r="E370" s="1" t="n">
        <v>46271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45513</v>
      </c>
      <c r="E371" s="1" t="n">
        <v>46271</v>
      </c>
      <c r="F371" t="inlineStr">
        <is>
          <t>VÄRMLANDS LÄN</t>
        </is>
      </c>
      <c r="G371" t="inlineStr">
        <is>
          <t>KRISTINEHAMN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34893-2023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46271</v>
      </c>
      <c r="F372" t="inlineStr">
        <is>
          <t>VÄRMLANDS LÄN</t>
        </is>
      </c>
      <c r="G372" t="inlineStr">
        <is>
          <t>KRISTINEHAMN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45386</v>
      </c>
      <c r="E373" s="1" t="n">
        <v>46271</v>
      </c>
      <c r="F373" t="inlineStr">
        <is>
          <t>VÄRMLANDS LÄN</t>
        </is>
      </c>
      <c r="G373" t="inlineStr">
        <is>
          <t>KRISTINEHAMN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28759-2022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46271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44985</v>
      </c>
      <c r="E375" s="1" t="n">
        <v>46271</v>
      </c>
      <c r="F375" t="inlineStr">
        <is>
          <t>VÄRMLANDS LÄN</t>
        </is>
      </c>
      <c r="G375" t="inlineStr">
        <is>
          <t>KRISTINEHAMN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46271</v>
      </c>
      <c r="F376" t="inlineStr">
        <is>
          <t>VÄRMLANDS LÄN</t>
        </is>
      </c>
      <c r="G376" t="inlineStr">
        <is>
          <t>KRISTINEHAMN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46271</v>
      </c>
      <c r="F377" t="inlineStr">
        <is>
          <t>VÄRMLANDS LÄN</t>
        </is>
      </c>
      <c r="G377" t="inlineStr">
        <is>
          <t>KRISTINEHAMN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62453-2022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44924</v>
      </c>
      <c r="E378" s="1" t="n">
        <v>46271</v>
      </c>
      <c r="F378" t="inlineStr">
        <is>
          <t>VÄRMLANDS LÄN</t>
        </is>
      </c>
      <c r="G378" t="inlineStr">
        <is>
          <t>KRISTINEHAMN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48405-2023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45201</v>
      </c>
      <c r="E379" s="1" t="n">
        <v>46271</v>
      </c>
      <c r="F379" t="inlineStr">
        <is>
          <t>VÄRMLANDS LÄN</t>
        </is>
      </c>
      <c r="G379" t="inlineStr">
        <is>
          <t>KRISTINEHAMN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46271</v>
      </c>
      <c r="F380" t="inlineStr">
        <is>
          <t>VÄRMLANDS LÄN</t>
        </is>
      </c>
      <c r="G380" t="inlineStr">
        <is>
          <t>KRISTINEHAMN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46271</v>
      </c>
      <c r="F381" t="inlineStr">
        <is>
          <t>VÄRMLANDS LÄN</t>
        </is>
      </c>
      <c r="G381" t="inlineStr">
        <is>
          <t>KRISTINEHAMN</t>
        </is>
      </c>
      <c r="I381" t="n">
        <v>13.2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46271</v>
      </c>
      <c r="F382" t="inlineStr">
        <is>
          <t>VÄRMLANDS LÄN</t>
        </is>
      </c>
      <c r="G382" t="inlineStr">
        <is>
          <t>KRISTINEHAMN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46037</v>
      </c>
      <c r="E383" s="1" t="n">
        <v>46271</v>
      </c>
      <c r="F383" t="inlineStr">
        <is>
          <t>VÄRMLANDS LÄN</t>
        </is>
      </c>
      <c r="G383" t="inlineStr">
        <is>
          <t>KRISTINEHAMN</t>
        </is>
      </c>
      <c r="I383" t="n">
        <v>11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46230</v>
      </c>
      <c r="E384" s="1" t="n">
        <v>46271</v>
      </c>
      <c r="F384" t="inlineStr">
        <is>
          <t>VÄRMLANDS LÄN</t>
        </is>
      </c>
      <c r="G384" t="inlineStr">
        <is>
          <t>KRISTINEHAMN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45366</v>
      </c>
      <c r="E385" s="1" t="n">
        <v>46271</v>
      </c>
      <c r="F385" t="inlineStr">
        <is>
          <t>VÄRMLANDS LÄN</t>
        </is>
      </c>
      <c r="G385" t="inlineStr">
        <is>
          <t>KRISTINEHAMN</t>
        </is>
      </c>
      <c r="I385" t="n">
        <v>19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46271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46271</v>
      </c>
      <c r="F387" t="inlineStr">
        <is>
          <t>VÄRMLANDS LÄN</t>
        </is>
      </c>
      <c r="G387" t="inlineStr">
        <is>
          <t>KRISTINEHAMN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45656</v>
      </c>
      <c r="E388" s="1" t="n">
        <v>46271</v>
      </c>
      <c r="F388" t="inlineStr">
        <is>
          <t>VÄRMLANDS LÄN</t>
        </is>
      </c>
      <c r="G388" t="inlineStr">
        <is>
          <t>KRISTINEHAMN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46271</v>
      </c>
      <c r="F389" t="inlineStr">
        <is>
          <t>VÄRMLANDS LÄN</t>
        </is>
      </c>
      <c r="G389" t="inlineStr">
        <is>
          <t>KRISTINEHAMN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45323</v>
      </c>
      <c r="E390" s="1" t="n">
        <v>46271</v>
      </c>
      <c r="F390" t="inlineStr">
        <is>
          <t>VÄRMLANDS LÄN</t>
        </is>
      </c>
      <c r="G390" t="inlineStr">
        <is>
          <t>KRISTINEHAMN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46271</v>
      </c>
      <c r="F391" t="inlineStr">
        <is>
          <t>VÄRMLANDS LÄN</t>
        </is>
      </c>
      <c r="G391" t="inlineStr">
        <is>
          <t>KRISTINEHAMN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46271</v>
      </c>
      <c r="F392" t="inlineStr">
        <is>
          <t>VÄRMLANDS LÄN</t>
        </is>
      </c>
      <c r="G392" t="inlineStr">
        <is>
          <t>KRISTINEHAMN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46271</v>
      </c>
      <c r="F393" t="inlineStr">
        <is>
          <t>VÄRMLANDS LÄN</t>
        </is>
      </c>
      <c r="G393" t="inlineStr">
        <is>
          <t>KRISTINEHAMN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45379</v>
      </c>
      <c r="E394" s="1" t="n">
        <v>46271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46271</v>
      </c>
      <c r="F395" t="inlineStr">
        <is>
          <t>VÄRMLANDS LÄN</t>
        </is>
      </c>
      <c r="G395" t="inlineStr">
        <is>
          <t>KRISTINEHAMN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46271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46271</v>
      </c>
      <c r="F397" t="inlineStr">
        <is>
          <t>VÄRMLANDS LÄN</t>
        </is>
      </c>
      <c r="G397" t="inlineStr">
        <is>
          <t>KRISTINEHAMN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46271</v>
      </c>
      <c r="F398" t="inlineStr">
        <is>
          <t>VÄRMLANDS LÄN</t>
        </is>
      </c>
      <c r="G398" t="inlineStr">
        <is>
          <t>KRISTINEHAMN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46271</v>
      </c>
      <c r="F399" t="inlineStr">
        <is>
          <t>VÄRMLANDS LÄN</t>
        </is>
      </c>
      <c r="G399" t="inlineStr">
        <is>
          <t>KRISTINEHAMN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70126-2021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44533</v>
      </c>
      <c r="E400" s="1" t="n">
        <v>46271</v>
      </c>
      <c r="F400" t="inlineStr">
        <is>
          <t>VÄRMLANDS LÄN</t>
        </is>
      </c>
      <c r="G400" t="inlineStr">
        <is>
          <t>KRISTINEHAMN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46271</v>
      </c>
      <c r="F401" t="inlineStr">
        <is>
          <t>VÄRMLANDS LÄN</t>
        </is>
      </c>
      <c r="G401" t="inlineStr">
        <is>
          <t>KRISTINEHAMN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46271</v>
      </c>
      <c r="F402" t="inlineStr">
        <is>
          <t>VÄRMLANDS LÄN</t>
        </is>
      </c>
      <c r="G402" t="inlineStr">
        <is>
          <t>KRISTINEHAMN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45081</v>
      </c>
      <c r="E403" s="1" t="n">
        <v>46271</v>
      </c>
      <c r="F403" t="inlineStr">
        <is>
          <t>VÄRMLANDS LÄN</t>
        </is>
      </c>
      <c r="G403" t="inlineStr">
        <is>
          <t>KRISTINEHAMN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46271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Naturvårdsverket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44994</v>
      </c>
      <c r="E405" s="1" t="n">
        <v>46271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46271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46271</v>
      </c>
      <c r="F407" t="inlineStr">
        <is>
          <t>VÄRMLANDS LÄN</t>
        </is>
      </c>
      <c r="G407" t="inlineStr">
        <is>
          <t>KRISTINEHAMN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46271</v>
      </c>
      <c r="F408" t="inlineStr">
        <is>
          <t>VÄRMLANDS LÄN</t>
        </is>
      </c>
      <c r="G408" t="inlineStr">
        <is>
          <t>KRISTINEHAMN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56522-2021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44480</v>
      </c>
      <c r="E409" s="1" t="n">
        <v>46271</v>
      </c>
      <c r="F409" t="inlineStr">
        <is>
          <t>VÄRMLANDS LÄN</t>
        </is>
      </c>
      <c r="G409" t="inlineStr">
        <is>
          <t>KRISTINEHAMN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46271</v>
      </c>
      <c r="F410" t="inlineStr">
        <is>
          <t>VÄRMLANDS LÄN</t>
        </is>
      </c>
      <c r="G410" t="inlineStr">
        <is>
          <t>KRISTINEHAMN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45344</v>
      </c>
      <c r="E411" s="1" t="n">
        <v>46271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Naturvårdsverket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65050-2023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45282</v>
      </c>
      <c r="E412" s="1" t="n">
        <v>46271</v>
      </c>
      <c r="F412" t="inlineStr">
        <is>
          <t>VÄRMLANDS LÄN</t>
        </is>
      </c>
      <c r="G412" t="inlineStr">
        <is>
          <t>KRISTINEHAMN</t>
        </is>
      </c>
      <c r="I412" t="n">
        <v>9.6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46271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46271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45118</v>
      </c>
      <c r="E415" s="1" t="n">
        <v>46271</v>
      </c>
      <c r="F415" t="inlineStr">
        <is>
          <t>VÄRMLANDS LÄN</t>
        </is>
      </c>
      <c r="G415" t="inlineStr">
        <is>
          <t>KRISTINEHAMN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19292-2025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45769</v>
      </c>
      <c r="E416" s="1" t="n">
        <v>46271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46271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44888</v>
      </c>
      <c r="E418" s="1" t="n">
        <v>46271</v>
      </c>
      <c r="F418" t="inlineStr">
        <is>
          <t>VÄRMLANDS LÄN</t>
        </is>
      </c>
      <c r="G418" t="inlineStr">
        <is>
          <t>KRISTINEHAMN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46271</v>
      </c>
      <c r="F419" t="inlineStr">
        <is>
          <t>VÄRMLANDS LÄN</t>
        </is>
      </c>
      <c r="G419" t="inlineStr">
        <is>
          <t>KRISTINEHAMN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45379</v>
      </c>
      <c r="E420" s="1" t="n">
        <v>46271</v>
      </c>
      <c r="F420" t="inlineStr">
        <is>
          <t>VÄRMLANDS LÄN</t>
        </is>
      </c>
      <c r="G420" t="inlineStr">
        <is>
          <t>KRISTINEHAMN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28834-2024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45478</v>
      </c>
      <c r="E421" s="1" t="n">
        <v>46271</v>
      </c>
      <c r="F421" t="inlineStr">
        <is>
          <t>VÄRMLANDS LÄN</t>
        </is>
      </c>
      <c r="G421" t="inlineStr">
        <is>
          <t>KRISTINEHAMN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46213</v>
      </c>
      <c r="E422" s="1" t="n">
        <v>46271</v>
      </c>
      <c r="F422" t="inlineStr">
        <is>
          <t>VÄRMLANDS LÄN</t>
        </is>
      </c>
      <c r="G422" t="inlineStr">
        <is>
          <t>KRISTINEHAMN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44770</v>
      </c>
      <c r="E423" s="1" t="n">
        <v>46271</v>
      </c>
      <c r="F423" t="inlineStr">
        <is>
          <t>VÄRMLANDS LÄN</t>
        </is>
      </c>
      <c r="G423" t="inlineStr">
        <is>
          <t>KRISTINEHAMN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46271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Naturvårdsverket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21602-2025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45783</v>
      </c>
      <c r="E425" s="1" t="n">
        <v>46271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45636</v>
      </c>
      <c r="E426" s="1" t="n">
        <v>46271</v>
      </c>
      <c r="F426" t="inlineStr">
        <is>
          <t>VÄRMLANDS LÄN</t>
        </is>
      </c>
      <c r="G426" t="inlineStr">
        <is>
          <t>KRISTINEHAMN</t>
        </is>
      </c>
      <c r="I426" t="n">
        <v>8.300000000000001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44805</v>
      </c>
      <c r="E427" s="1" t="n">
        <v>46271</v>
      </c>
      <c r="F427" t="inlineStr">
        <is>
          <t>VÄRMLANDS LÄN</t>
        </is>
      </c>
      <c r="G427" t="inlineStr">
        <is>
          <t>KRISTINEHAMN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23510-2025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45792</v>
      </c>
      <c r="E428" s="1" t="n">
        <v>46271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46271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46271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46271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46271</v>
      </c>
      <c r="F432" t="inlineStr">
        <is>
          <t>VÄRMLANDS LÄN</t>
        </is>
      </c>
      <c r="G432" t="inlineStr">
        <is>
          <t>KRISTINEHAMN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45686</v>
      </c>
      <c r="E433" s="1" t="n">
        <v>46271</v>
      </c>
      <c r="F433" t="inlineStr">
        <is>
          <t>VÄRMLANDS LÄN</t>
        </is>
      </c>
      <c r="G433" t="inlineStr">
        <is>
          <t>KRISTINEHAMN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46271</v>
      </c>
      <c r="F434" t="inlineStr">
        <is>
          <t>VÄRMLANDS LÄN</t>
        </is>
      </c>
      <c r="G434" t="inlineStr">
        <is>
          <t>KRISTINEHAMN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45674</v>
      </c>
      <c r="E435" s="1" t="n">
        <v>46271</v>
      </c>
      <c r="F435" t="inlineStr">
        <is>
          <t>VÄRMLANDS LÄN</t>
        </is>
      </c>
      <c r="G435" t="inlineStr">
        <is>
          <t>KRISTINEHAMN</t>
        </is>
      </c>
      <c r="I435" t="n">
        <v>9.699999999999999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1219-2020</t>
        </is>
      </c>
      <c r="B436" t="inlineStr">
        <is>
          <t>samrådsanmälan</t>
        </is>
      </c>
      <c r="C436" t="n">
        <v/>
      </c>
      <c r="D436" s="1" t="n">
        <v>43980</v>
      </c>
      <c r="E436" s="1" t="n">
        <v>46271</v>
      </c>
      <c r="F436" t="inlineStr">
        <is>
          <t>VÄRMLANDS LÄN</t>
        </is>
      </c>
      <c r="G436" t="inlineStr">
        <is>
          <t>KRISTINEHAMN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4147-2023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46271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4149-2023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46271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1815-2022</t>
        </is>
      </c>
      <c r="B439" t="inlineStr">
        <is>
          <t>samrådsanmälan</t>
        </is>
      </c>
      <c r="C439" t="inlineStr">
        <is>
          <t>Åtgärd i nyckelbiotop</t>
        </is>
      </c>
      <c r="D439" s="1" t="n">
        <v>44657</v>
      </c>
      <c r="E439" s="1" t="n">
        <v>46271</v>
      </c>
      <c r="F439" t="inlineStr">
        <is>
          <t>VÄRMLANDS LÄN</t>
        </is>
      </c>
      <c r="G439" t="inlineStr">
        <is>
          <t>KRISTINEHAMN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46271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46271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1899-2024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46271</v>
      </c>
      <c r="F442" t="inlineStr">
        <is>
          <t>VÄRMLANDS LÄN</t>
        </is>
      </c>
      <c r="G442" t="inlineStr">
        <is>
          <t>KRISTINEHAMN</t>
        </is>
      </c>
      <c r="I442" t="n">
        <v>21.4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2301-2024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45463</v>
      </c>
      <c r="E443" s="1" t="n">
        <v>46271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28.1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2553-2024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46271</v>
      </c>
      <c r="F444" t="inlineStr">
        <is>
          <t>VÄRMLANDS LÄN</t>
        </is>
      </c>
      <c r="G444" t="inlineStr">
        <is>
          <t>KRISTINEHAMN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46271</v>
      </c>
      <c r="F445" t="inlineStr">
        <is>
          <t>VÄRMLANDS LÄN</t>
        </is>
      </c>
      <c r="G445" t="inlineStr">
        <is>
          <t>KRISTINEHAMN</t>
        </is>
      </c>
      <c r="I445" t="n">
        <v>53.7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2393-2022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44690</v>
      </c>
      <c r="E446" s="1" t="n">
        <v>46271</v>
      </c>
      <c r="F446" t="inlineStr">
        <is>
          <t>VÄRMLANDS LÄN</t>
        </is>
      </c>
      <c r="G446" t="inlineStr">
        <is>
          <t>KRISTINEHAMN</t>
        </is>
      </c>
      <c r="I446" t="n">
        <v>51.7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1903-2024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46271</v>
      </c>
      <c r="F447" t="inlineStr">
        <is>
          <t>VÄRMLANDS LÄN</t>
        </is>
      </c>
      <c r="G447" t="inlineStr">
        <is>
          <t>KRISTINEHAMN</t>
        </is>
      </c>
      <c r="I447" t="n">
        <v>104.3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717-2023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44985</v>
      </c>
      <c r="E448" s="1" t="n">
        <v>46271</v>
      </c>
      <c r="F448" t="inlineStr">
        <is>
          <t>VÄRMLANDS LÄN</t>
        </is>
      </c>
      <c r="G448" t="inlineStr">
        <is>
          <t>KRISTINEHAMN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45414</v>
      </c>
      <c r="E449" s="1" t="n">
        <v>46271</v>
      </c>
      <c r="F449" t="inlineStr">
        <is>
          <t>VÄRMLANDS LÄN</t>
        </is>
      </c>
      <c r="G449" t="inlineStr">
        <is>
          <t>KRISTINEHAMN</t>
        </is>
      </c>
      <c r="I449" t="n">
        <v>42.9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46271</v>
      </c>
      <c r="F450" t="inlineStr">
        <is>
          <t>VÄRMLANDS LÄN</t>
        </is>
      </c>
      <c r="G450" t="inlineStr">
        <is>
          <t>KRISTINEHAMN</t>
        </is>
      </c>
      <c r="I450" t="n">
        <v>63.5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3374-2024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45533</v>
      </c>
      <c r="E451" s="1" t="n">
        <v>46271</v>
      </c>
      <c r="F451" t="inlineStr">
        <is>
          <t>VÄRMLANDS LÄN</t>
        </is>
      </c>
      <c r="G451" t="inlineStr">
        <is>
          <t>KRISTINEHAMN</t>
        </is>
      </c>
      <c r="I451" t="n">
        <v>18.3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2464-2023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45118</v>
      </c>
      <c r="E452" s="1" t="n">
        <v>46271</v>
      </c>
      <c r="F452" t="inlineStr">
        <is>
          <t>VÄRMLANDS LÄN</t>
        </is>
      </c>
      <c r="G452" t="inlineStr">
        <is>
          <t>KRISTINEHAMN</t>
        </is>
      </c>
      <c r="I452" t="n">
        <v>42.3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4146-2023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46271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3007-2024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45512</v>
      </c>
      <c r="E454" s="1" t="n">
        <v>46271</v>
      </c>
      <c r="F454" t="inlineStr">
        <is>
          <t>VÄRMLANDS LÄN</t>
        </is>
      </c>
      <c r="G454" t="inlineStr">
        <is>
          <t>KRISTINEHAMN</t>
        </is>
      </c>
      <c r="I454" t="n">
        <v>56.9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45783</v>
      </c>
      <c r="E455" s="1" t="n">
        <v>46271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1546-2025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45792</v>
      </c>
      <c r="E456" s="1" t="n">
        <v>46271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1698-2025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45805</v>
      </c>
      <c r="E457" s="1" t="n">
        <v>46271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12.6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121-2026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46040</v>
      </c>
      <c r="E458" s="1" t="n">
        <v>46271</v>
      </c>
      <c r="F458" t="inlineStr">
        <is>
          <t>VÄRMLANDS LÄN</t>
        </is>
      </c>
      <c r="G458" t="inlineStr">
        <is>
          <t>KRISTINEHAMN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865-2026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46106</v>
      </c>
      <c r="E459" s="1" t="n">
        <v>46271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99-2026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46036</v>
      </c>
      <c r="E460" s="1" t="n">
        <v>46271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Naturvårdsverket</t>
        </is>
      </c>
      <c r="I460" t="n">
        <v>80.8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2026-09-06T02:06:08Z</dcterms:created>
  <dcterms:modified xmlns:dcterms="http://purl.org/dc/terms/" xmlns:xsi="http://www.w3.org/2001/XMLSchema-instance" xsi:type="dcterms:W3CDTF">2026-09-06T02:06:09Z</dcterms:modified>
</cp:coreProperties>
</file>