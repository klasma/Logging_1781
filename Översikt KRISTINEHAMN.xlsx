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46231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46231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46231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46231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46231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46231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46231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46231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46231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46231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46231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46231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46231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46231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46231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46231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46231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46231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3302-2022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44584</v>
      </c>
      <c r="E20" s="1" t="n">
        <v>46231</v>
      </c>
      <c r="F20" t="inlineStr">
        <is>
          <t>VÄRMLANDS LÄN</t>
        </is>
      </c>
      <c r="G20" t="inlineStr">
        <is>
          <t>KRISTINEHAMN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HYPERLINK("https://klasma.github.io/Logging_1781/artfynd/A 3302-2022 artfynd.xlsx", "A 3302-2022")</f>
        <v/>
      </c>
      <c r="X20">
        <f>HYPERLINK("https://klasma.github.io/Logging_1781/kartor/A 3302-2022 karta.png", "A 3302-2022")</f>
        <v/>
      </c>
      <c r="Y20">
        <f>HYPERLINK("https://klasma.github.io/Logging_1781/kartor_geotiff/A 3302-2022 georefererad karta.tif", "A 3302-2022")</f>
        <v/>
      </c>
      <c r="AA20">
        <f>HYPERLINK("https://klasma.github.io/Logging_1781/klagomål/A 3302-2022 FSC-klagomål.docx", "A 3302-2022")</f>
        <v/>
      </c>
      <c r="AB20">
        <f>HYPERLINK("https://klasma.github.io/Logging_1781/klagomålsmail/A 3302-2022 FSC-klagomål mail.docx", "A 3302-2022")</f>
        <v/>
      </c>
      <c r="AC20">
        <f>HYPERLINK("https://klasma.github.io/Logging_1781/tillsyn/A 3302-2022 tillsynsbegäran.docx", "A 3302-2022")</f>
        <v/>
      </c>
      <c r="AD20">
        <f>HYPERLINK("https://klasma.github.io/Logging_1781/tillsynsmail/A 3302-2022 tillsynsbegäran mail.docx", "A 3302-2022")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46231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46231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46231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14762-2026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46231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14762-2026 artfynd.xlsx", "A 14762-2026")</f>
        <v/>
      </c>
      <c r="X24">
        <f>HYPERLINK("https://klasma.github.io/Logging_1781/kartor/A 14762-2026 karta.png", "A 14762-2026")</f>
        <v/>
      </c>
      <c r="Y24">
        <f>HYPERLINK("https://klasma.github.io/Logging_1781/kartor_geotiff/A 14762-2026 georefererad karta.tif", "A 14762-2026")</f>
        <v/>
      </c>
      <c r="AA24">
        <f>HYPERLINK("https://klasma.github.io/Logging_1781/klagomål/A 14762-2026 FSC-klagomål.docx", "A 14762-2026")</f>
        <v/>
      </c>
      <c r="AB24">
        <f>HYPERLINK("https://klasma.github.io/Logging_1781/klagomålsmail/A 14762-2026 FSC-klagomål mail.docx", "A 14762-2026")</f>
        <v/>
      </c>
      <c r="AC24">
        <f>HYPERLINK("https://klasma.github.io/Logging_1781/tillsyn/A 14762-2026 tillsynsbegäran.docx", "A 14762-2026")</f>
        <v/>
      </c>
      <c r="AD24">
        <f>HYPERLINK("https://klasma.github.io/Logging_1781/tillsynsmail/A 14762-2026 tillsynsbegäran mail.docx", "A 14762-2026")</f>
        <v/>
      </c>
    </row>
    <row r="25" ht="15" customHeight="1">
      <c r="A25" t="inlineStr">
        <is>
          <t>A 14760-2026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46231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14760-2026 artfynd.xlsx", "A 14760-2026")</f>
        <v/>
      </c>
      <c r="X25">
        <f>HYPERLINK("https://klasma.github.io/Logging_1781/kartor/A 14760-2026 karta.png", "A 14760-2026")</f>
        <v/>
      </c>
      <c r="Y25">
        <f>HYPERLINK("https://klasma.github.io/Logging_1781/kartor_geotiff/A 14760-2026 georefererad karta.tif", "A 14760-2026")</f>
        <v/>
      </c>
      <c r="AA25">
        <f>HYPERLINK("https://klasma.github.io/Logging_1781/klagomål/A 14760-2026 FSC-klagomål.docx", "A 14760-2026")</f>
        <v/>
      </c>
      <c r="AB25">
        <f>HYPERLINK("https://klasma.github.io/Logging_1781/klagomålsmail/A 14760-2026 FSC-klagomål mail.docx", "A 14760-2026")</f>
        <v/>
      </c>
      <c r="AC25">
        <f>HYPERLINK("https://klasma.github.io/Logging_1781/tillsyn/A 14760-2026 tillsynsbegäran.docx", "A 14760-2026")</f>
        <v/>
      </c>
      <c r="AD25">
        <f>HYPERLINK("https://klasma.github.io/Logging_1781/tillsynsmail/A 14760-2026 tillsynsbegäran mail.docx", "A 14760-2026")</f>
        <v/>
      </c>
    </row>
    <row r="26" ht="15" customHeight="1">
      <c r="A26" t="inlineStr">
        <is>
          <t>A 45122-2022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44843</v>
      </c>
      <c r="E26" s="1" t="n">
        <v>46231</v>
      </c>
      <c r="F26" t="inlineStr">
        <is>
          <t>VÄRMLANDS LÄN</t>
        </is>
      </c>
      <c r="G26" t="inlineStr">
        <is>
          <t>KRISTINEHAMN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Dvärglin</t>
        </is>
      </c>
      <c r="W26">
        <f>HYPERLINK("https://klasma.github.io/Logging_1781/artfynd/A 45122-2022 artfynd.xlsx", "A 45122-2022")</f>
        <v/>
      </c>
      <c r="X26">
        <f>HYPERLINK("https://klasma.github.io/Logging_1781/kartor/A 45122-2022 karta.png", "A 45122-2022")</f>
        <v/>
      </c>
      <c r="Y26">
        <f>HYPERLINK("https://klasma.github.io/Logging_1781/kartor_geotiff/A 45122-2022 georefererad karta.tif", "A 45122-2022")</f>
        <v/>
      </c>
      <c r="AA26">
        <f>HYPERLINK("https://klasma.github.io/Logging_1781/klagomål/A 45122-2022 FSC-klagomål.docx", "A 45122-2022")</f>
        <v/>
      </c>
      <c r="AB26">
        <f>HYPERLINK("https://klasma.github.io/Logging_1781/klagomålsmail/A 45122-2022 FSC-klagomål mail.docx", "A 45122-2022")</f>
        <v/>
      </c>
      <c r="AC26">
        <f>HYPERLINK("https://klasma.github.io/Logging_1781/tillsyn/A 45122-2022 tillsynsbegäran.docx", "A 45122-2022")</f>
        <v/>
      </c>
      <c r="AD26">
        <f>HYPERLINK("https://klasma.github.io/Logging_1781/tillsynsmail/A 45122-2022 tillsynsbegäran mail.docx", "A 45122-2022")</f>
        <v/>
      </c>
    </row>
    <row r="27" ht="15" customHeight="1">
      <c r="A27" t="inlineStr">
        <is>
          <t>A 54771-2022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44883</v>
      </c>
      <c r="E27" s="1" t="n">
        <v>46231</v>
      </c>
      <c r="F27" t="inlineStr">
        <is>
          <t>VÄRMLANDS LÄN</t>
        </is>
      </c>
      <c r="G27" t="inlineStr">
        <is>
          <t>KRISTINEHAMN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HYPERLINK("https://klasma.github.io/Logging_1781/artfynd/A 54771-2022 artfynd.xlsx", "A 54771-2022")</f>
        <v/>
      </c>
      <c r="X27">
        <f>HYPERLINK("https://klasma.github.io/Logging_1781/kartor/A 54771-2022 karta.png", "A 54771-2022")</f>
        <v/>
      </c>
      <c r="Y27">
        <f>HYPERLINK("https://klasma.github.io/Logging_1781/kartor_geotiff/A 54771-2022 georefererad karta.tif", "A 54771-2022")</f>
        <v/>
      </c>
      <c r="AA27">
        <f>HYPERLINK("https://klasma.github.io/Logging_1781/klagomål/A 54771-2022 FSC-klagomål.docx", "A 54771-2022")</f>
        <v/>
      </c>
      <c r="AB27">
        <f>HYPERLINK("https://klasma.github.io/Logging_1781/klagomålsmail/A 54771-2022 FSC-klagomål mail.docx", "A 54771-2022")</f>
        <v/>
      </c>
      <c r="AC27">
        <f>HYPERLINK("https://klasma.github.io/Logging_1781/tillsyn/A 54771-2022 tillsynsbegäran.docx", "A 54771-2022")</f>
        <v/>
      </c>
      <c r="AD27">
        <f>HYPERLINK("https://klasma.github.io/Logging_1781/tillsynsmail/A 54771-2022 tillsynsbegäran mail.docx", "A 54771-2022")</f>
        <v/>
      </c>
      <c r="AE27">
        <f>HYPERLINK("https://klasma.github.io/Logging_1781/fåglar/A 54771-2022 prioriterade fågelarter.docx", "A 54771-2022")</f>
        <v/>
      </c>
    </row>
    <row r="28" ht="15" customHeight="1">
      <c r="A28" t="inlineStr">
        <is>
          <t>A 20746-2026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46231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6.3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20746-2026 artfynd.xlsx", "A 20746-2026")</f>
        <v/>
      </c>
      <c r="X28">
        <f>HYPERLINK("https://klasma.github.io/Logging_1781/kartor/A 20746-2026 karta.png", "A 20746-2026")</f>
        <v/>
      </c>
      <c r="Y28">
        <f>HYPERLINK("https://klasma.github.io/Logging_1781/kartor_geotiff/A 20746-2026 georefererad karta.tif", "A 20746-2026")</f>
        <v/>
      </c>
      <c r="AA28">
        <f>HYPERLINK("https://klasma.github.io/Logging_1781/klagomål/A 20746-2026 FSC-klagomål.docx", "A 20746-2026")</f>
        <v/>
      </c>
      <c r="AB28">
        <f>HYPERLINK("https://klasma.github.io/Logging_1781/klagomålsmail/A 20746-2026 FSC-klagomål mail.docx", "A 20746-2026")</f>
        <v/>
      </c>
      <c r="AC28">
        <f>HYPERLINK("https://klasma.github.io/Logging_1781/tillsyn/A 20746-2026 tillsynsbegäran.docx", "A 20746-2026")</f>
        <v/>
      </c>
      <c r="AD28">
        <f>HYPERLINK("https://klasma.github.io/Logging_1781/tillsynsmail/A 20746-2026 tillsynsbegäran mail.docx", "A 20746-2026")</f>
        <v/>
      </c>
    </row>
    <row r="29" ht="15" customHeight="1">
      <c r="A29" t="inlineStr">
        <is>
          <t>A 13025-2023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46231</v>
      </c>
      <c r="F29" t="inlineStr">
        <is>
          <t>VÄRMLANDS LÄN</t>
        </is>
      </c>
      <c r="G29" t="inlineStr">
        <is>
          <t>KRISTINEHAMN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Kamjordstjärna</t>
        </is>
      </c>
      <c r="W29">
        <f>HYPERLINK("https://klasma.github.io/Logging_1781/artfynd/A 13025-2023 artfynd.xlsx", "A 13025-2023")</f>
        <v/>
      </c>
      <c r="X29">
        <f>HYPERLINK("https://klasma.github.io/Logging_1781/kartor/A 13025-2023 karta.png", "A 13025-2023")</f>
        <v/>
      </c>
      <c r="Y29">
        <f>HYPERLINK("https://klasma.github.io/Logging_1781/kartor_geotiff/A 13025-2023 georefererad karta.tif", "A 13025-2023")</f>
        <v/>
      </c>
      <c r="AA29">
        <f>HYPERLINK("https://klasma.github.io/Logging_1781/klagomål/A 13025-2023 FSC-klagomål.docx", "A 13025-2023")</f>
        <v/>
      </c>
      <c r="AB29">
        <f>HYPERLINK("https://klasma.github.io/Logging_1781/klagomålsmail/A 13025-2023 FSC-klagomål mail.docx", "A 13025-2023")</f>
        <v/>
      </c>
      <c r="AC29">
        <f>HYPERLINK("https://klasma.github.io/Logging_1781/tillsyn/A 13025-2023 tillsynsbegäran.docx", "A 13025-2023")</f>
        <v/>
      </c>
      <c r="AD29">
        <f>HYPERLINK("https://klasma.github.io/Logging_1781/tillsynsmail/A 13025-2023 tillsynsbegäran mail.docx", "A 13025-2023")</f>
        <v/>
      </c>
    </row>
    <row r="30" ht="15" customHeight="1">
      <c r="A30" t="inlineStr">
        <is>
          <t>A 12593-2024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45380</v>
      </c>
      <c r="E30" s="1" t="n">
        <v>46231</v>
      </c>
      <c r="F30" t="inlineStr">
        <is>
          <t>VÄRMLANDS LÄN</t>
        </is>
      </c>
      <c r="G30" t="inlineStr">
        <is>
          <t>KRISTINEHAMN</t>
        </is>
      </c>
      <c r="I30" t="n">
        <v>5.9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Bombmurkla</t>
        </is>
      </c>
      <c r="W30">
        <f>HYPERLINK("https://klasma.github.io/Logging_1781/artfynd/A 12593-2024 artfynd.xlsx", "A 12593-2024")</f>
        <v/>
      </c>
      <c r="X30">
        <f>HYPERLINK("https://klasma.github.io/Logging_1781/kartor/A 12593-2024 karta.png", "A 12593-2024")</f>
        <v/>
      </c>
      <c r="Y30">
        <f>HYPERLINK("https://klasma.github.io/Logging_1781/kartor_geotiff/A 12593-2024 georefererad karta.tif", "A 12593-2024")</f>
        <v/>
      </c>
      <c r="AA30">
        <f>HYPERLINK("https://klasma.github.io/Logging_1781/klagomål/A 12593-2024 FSC-klagomål.docx", "A 12593-2024")</f>
        <v/>
      </c>
      <c r="AB30">
        <f>HYPERLINK("https://klasma.github.io/Logging_1781/klagomålsmail/A 12593-2024 FSC-klagomål mail.docx", "A 12593-2024")</f>
        <v/>
      </c>
      <c r="AC30">
        <f>HYPERLINK("https://klasma.github.io/Logging_1781/tillsyn/A 12593-2024 tillsynsbegäran.docx", "A 12593-2024")</f>
        <v/>
      </c>
      <c r="AD30">
        <f>HYPERLINK("https://klasma.github.io/Logging_1781/tillsynsmail/A 12593-2024 tillsynsbegäran mail.docx", "A 12593-2024")</f>
        <v/>
      </c>
    </row>
    <row r="31" ht="15" customHeight="1">
      <c r="A31" t="inlineStr">
        <is>
          <t>A 53607-2025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46231</v>
      </c>
      <c r="F31" t="inlineStr">
        <is>
          <t>VÄRMLANDS LÄN</t>
        </is>
      </c>
      <c r="G31" t="inlineStr">
        <is>
          <t>KRISTINEHAMN</t>
        </is>
      </c>
      <c r="H31" t="inlineStr">
        <is>
          <t>Naturvårdsverket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HYPERLINK("https://klasma.github.io/Logging_1781/artfynd/A 53607-2025 artfynd.xlsx", "A 53607-2025")</f>
        <v/>
      </c>
      <c r="X31">
        <f>HYPERLINK("https://klasma.github.io/Logging_1781/kartor/A 53607-2025 karta.png", "A 53607-2025")</f>
        <v/>
      </c>
      <c r="Y31">
        <f>HYPERLINK("https://klasma.github.io/Logging_1781/kartor_geotiff/A 53607-2025 georefererad karta.tif", "A 53607-2025")</f>
        <v/>
      </c>
      <c r="AA31">
        <f>HYPERLINK("https://klasma.github.io/Logging_1781/klagomål/A 53607-2025 FSC-klagomål.docx", "A 53607-2025")</f>
        <v/>
      </c>
      <c r="AB31">
        <f>HYPERLINK("https://klasma.github.io/Logging_1781/klagomålsmail/A 53607-2025 FSC-klagomål mail.docx", "A 53607-2025")</f>
        <v/>
      </c>
      <c r="AC31">
        <f>HYPERLINK("https://klasma.github.io/Logging_1781/tillsyn/A 53607-2025 tillsynsbegäran.docx", "A 53607-2025")</f>
        <v/>
      </c>
      <c r="AD31">
        <f>HYPERLINK("https://klasma.github.io/Logging_1781/tillsynsmail/A 53607-2025 tillsynsbegäran mail.docx", "A 53607-2025")</f>
        <v/>
      </c>
    </row>
    <row r="32" ht="15" customHeight="1">
      <c r="A32" t="inlineStr">
        <is>
          <t>A 53630-2025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46231</v>
      </c>
      <c r="F32" t="inlineStr">
        <is>
          <t>VÄRMLANDS LÄN</t>
        </is>
      </c>
      <c r="G32" t="inlineStr">
        <is>
          <t>KRISTINEHAMN</t>
        </is>
      </c>
      <c r="H32" t="inlineStr">
        <is>
          <t>Naturvårdsverket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HYPERLINK("https://klasma.github.io/Logging_1781/artfynd/A 53630-2025 artfynd.xlsx", "A 53630-2025")</f>
        <v/>
      </c>
      <c r="X32">
        <f>HYPERLINK("https://klasma.github.io/Logging_1781/kartor/A 53630-2025 karta.png", "A 53630-2025")</f>
        <v/>
      </c>
      <c r="Y32">
        <f>HYPERLINK("https://klasma.github.io/Logging_1781/kartor_geotiff/A 53630-2025 georefererad karta.tif", "A 53630-2025")</f>
        <v/>
      </c>
      <c r="AA32">
        <f>HYPERLINK("https://klasma.github.io/Logging_1781/klagomål/A 53630-2025 FSC-klagomål.docx", "A 53630-2025")</f>
        <v/>
      </c>
      <c r="AB32">
        <f>HYPERLINK("https://klasma.github.io/Logging_1781/klagomålsmail/A 53630-2025 FSC-klagomål mail.docx", "A 53630-2025")</f>
        <v/>
      </c>
      <c r="AC32">
        <f>HYPERLINK("https://klasma.github.io/Logging_1781/tillsyn/A 53630-2025 tillsynsbegäran.docx", "A 53630-2025")</f>
        <v/>
      </c>
      <c r="AD32">
        <f>HYPERLINK("https://klasma.github.io/Logging_1781/tillsynsmail/A 53630-2025 tillsynsbegäran mail.docx", "A 53630-2025")</f>
        <v/>
      </c>
    </row>
    <row r="33" ht="15" customHeight="1">
      <c r="A33" t="inlineStr">
        <is>
          <t>A 8714-2024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46231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Bombmurkla</t>
        </is>
      </c>
      <c r="W33">
        <f>HYPERLINK("https://klasma.github.io/Logging_1781/artfynd/A 8714-2024 artfynd.xlsx", "A 8714-2024")</f>
        <v/>
      </c>
      <c r="X33">
        <f>HYPERLINK("https://klasma.github.io/Logging_1781/kartor/A 8714-2024 karta.png", "A 8714-2024")</f>
        <v/>
      </c>
      <c r="Y33">
        <f>HYPERLINK("https://klasma.github.io/Logging_1781/kartor_geotiff/A 8714-2024 georefererad karta.tif", "A 8714-2024")</f>
        <v/>
      </c>
      <c r="AA33">
        <f>HYPERLINK("https://klasma.github.io/Logging_1781/klagomål/A 8714-2024 FSC-klagomål.docx", "A 8714-2024")</f>
        <v/>
      </c>
      <c r="AB33">
        <f>HYPERLINK("https://klasma.github.io/Logging_1781/klagomålsmail/A 8714-2024 FSC-klagomål mail.docx", "A 8714-2024")</f>
        <v/>
      </c>
      <c r="AC33">
        <f>HYPERLINK("https://klasma.github.io/Logging_1781/tillsyn/A 8714-2024 tillsynsbegäran.docx", "A 8714-2024")</f>
        <v/>
      </c>
      <c r="AD33">
        <f>HYPERLINK("https://klasma.github.io/Logging_1781/tillsynsmail/A 8714-2024 tillsynsbegäran mail.docx", "A 8714-2024")</f>
        <v/>
      </c>
    </row>
    <row r="34" ht="15" customHeight="1">
      <c r="A34" t="inlineStr">
        <is>
          <t>A 58021-2025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45982</v>
      </c>
      <c r="E34" s="1" t="n">
        <v>46231</v>
      </c>
      <c r="F34" t="inlineStr">
        <is>
          <t>VÄRMLANDS LÄN</t>
        </is>
      </c>
      <c r="G34" t="inlineStr">
        <is>
          <t>KRISTINEHAMN</t>
        </is>
      </c>
      <c r="I34" t="n">
        <v>4.2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HYPERLINK("https://klasma.github.io/Logging_1781/artfynd/A 58021-2025 artfynd.xlsx", "A 58021-2025")</f>
        <v/>
      </c>
      <c r="X34">
        <f>HYPERLINK("https://klasma.github.io/Logging_1781/kartor/A 58021-2025 karta.png", "A 58021-2025")</f>
        <v/>
      </c>
      <c r="Y34">
        <f>HYPERLINK("https://klasma.github.io/Logging_1781/kartor_geotiff/A 58021-2025 georefererad karta.tif", "A 58021-2025")</f>
        <v/>
      </c>
      <c r="AA34">
        <f>HYPERLINK("https://klasma.github.io/Logging_1781/klagomål/A 58021-2025 FSC-klagomål.docx", "A 58021-2025")</f>
        <v/>
      </c>
      <c r="AB34">
        <f>HYPERLINK("https://klasma.github.io/Logging_1781/klagomålsmail/A 58021-2025 FSC-klagomål mail.docx", "A 58021-2025")</f>
        <v/>
      </c>
      <c r="AC34">
        <f>HYPERLINK("https://klasma.github.io/Logging_1781/tillsyn/A 58021-2025 tillsynsbegäran.docx", "A 58021-2025")</f>
        <v/>
      </c>
      <c r="AD34">
        <f>HYPERLINK("https://klasma.github.io/Logging_1781/tillsynsmail/A 58021-2025 tillsynsbegäran mail.docx", "A 58021-2025")</f>
        <v/>
      </c>
    </row>
    <row r="35" ht="15" customHeight="1">
      <c r="A35" t="inlineStr">
        <is>
          <t>A 61238-2025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46231</v>
      </c>
      <c r="F35" t="inlineStr">
        <is>
          <t>VÄRMLANDS LÄN</t>
        </is>
      </c>
      <c r="G35" t="inlineStr">
        <is>
          <t>KRISTINEHAMN</t>
        </is>
      </c>
      <c r="I35" t="n">
        <v>5.8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Sparvuggla</t>
        </is>
      </c>
      <c r="W35">
        <f>HYPERLINK("https://klasma.github.io/Logging_1781/artfynd/A 61238-2025 artfynd.xlsx", "A 61238-2025")</f>
        <v/>
      </c>
      <c r="X35">
        <f>HYPERLINK("https://klasma.github.io/Logging_1781/kartor/A 61238-2025 karta.png", "A 61238-2025")</f>
        <v/>
      </c>
      <c r="Y35">
        <f>HYPERLINK("https://klasma.github.io/Logging_1781/kartor_geotiff/A 61238-2025 georefererad karta.tif", "A 61238-2025")</f>
        <v/>
      </c>
      <c r="AA35">
        <f>HYPERLINK("https://klasma.github.io/Logging_1781/klagomål/A 61238-2025 FSC-klagomål.docx", "A 61238-2025")</f>
        <v/>
      </c>
      <c r="AB35">
        <f>HYPERLINK("https://klasma.github.io/Logging_1781/klagomålsmail/A 61238-2025 FSC-klagomål mail.docx", "A 61238-2025")</f>
        <v/>
      </c>
      <c r="AC35">
        <f>HYPERLINK("https://klasma.github.io/Logging_1781/tillsyn/A 61238-2025 tillsynsbegäran.docx", "A 61238-2025")</f>
        <v/>
      </c>
      <c r="AD35">
        <f>HYPERLINK("https://klasma.github.io/Logging_1781/tillsynsmail/A 61238-2025 tillsynsbegäran mail.docx", "A 61238-2025")</f>
        <v/>
      </c>
      <c r="AE35">
        <f>HYPERLINK("https://klasma.github.io/Logging_1781/fåglar/A 61238-2025 prioriterade fågelarter.docx", "A 61238-2025")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46231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46231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46231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46231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46231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46231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46231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46231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46231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46231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46231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46231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46231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46231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46231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46231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46231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46231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46231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46231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46231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46231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46231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46231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46231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46231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46231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46231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46231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46231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46231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46231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46231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46231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46231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46231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46231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46231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46231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46231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46231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46231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46231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46231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46231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46231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46231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46231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46231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46231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46231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46231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46231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46231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46231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46231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46231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46231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46231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46231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46231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46231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46231</v>
      </c>
      <c r="F98" t="inlineStr">
        <is>
          <t>VÄRMLANDS LÄN</t>
        </is>
      </c>
      <c r="G98" t="inlineStr">
        <is>
          <t>KRISTINEHAMN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46231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45202</v>
      </c>
      <c r="E100" s="1" t="n">
        <v>46231</v>
      </c>
      <c r="F100" t="inlineStr">
        <is>
          <t>VÄRMLANDS LÄN</t>
        </is>
      </c>
      <c r="G100" t="inlineStr">
        <is>
          <t>KRISTINEHAMN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46231</v>
      </c>
      <c r="F101" t="inlineStr">
        <is>
          <t>VÄRMLANDS LÄN</t>
        </is>
      </c>
      <c r="G101" t="inlineStr">
        <is>
          <t>KRISTINEHAMN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44770</v>
      </c>
      <c r="E102" s="1" t="n">
        <v>46231</v>
      </c>
      <c r="F102" t="inlineStr">
        <is>
          <t>VÄRMLANDS LÄN</t>
        </is>
      </c>
      <c r="G102" t="inlineStr">
        <is>
          <t>KRISTINEHAMN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46231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Naturvårdsverket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45095</v>
      </c>
      <c r="E104" s="1" t="n">
        <v>46231</v>
      </c>
      <c r="F104" t="inlineStr">
        <is>
          <t>VÄRMLANDS LÄN</t>
        </is>
      </c>
      <c r="G104" t="inlineStr">
        <is>
          <t>KRISTINEHAMN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19447-2024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46231</v>
      </c>
      <c r="F105" t="inlineStr">
        <is>
          <t>VÄRMLANDS LÄN</t>
        </is>
      </c>
      <c r="G105" t="inlineStr">
        <is>
          <t>KRISTINEHAMN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46231</v>
      </c>
      <c r="F106" t="inlineStr">
        <is>
          <t>VÄRMLANDS LÄN</t>
        </is>
      </c>
      <c r="G106" t="inlineStr">
        <is>
          <t>KRISTINEHAMN</t>
        </is>
      </c>
      <c r="I106" t="n">
        <v>9.6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46231</v>
      </c>
      <c r="F107" t="inlineStr">
        <is>
          <t>VÄRMLANDS LÄN</t>
        </is>
      </c>
      <c r="G107" t="inlineStr">
        <is>
          <t>KRISTINEHAMN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55003-2021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44474</v>
      </c>
      <c r="E108" s="1" t="n">
        <v>46231</v>
      </c>
      <c r="F108" t="inlineStr">
        <is>
          <t>VÄRMLANDS LÄN</t>
        </is>
      </c>
      <c r="G108" t="inlineStr">
        <is>
          <t>KRISTINEHAMN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50103-2023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45208</v>
      </c>
      <c r="E109" s="1" t="n">
        <v>46231</v>
      </c>
      <c r="F109" t="inlineStr">
        <is>
          <t>VÄRMLANDS LÄN</t>
        </is>
      </c>
      <c r="G109" t="inlineStr">
        <is>
          <t>KRISTINEHAMN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46231</v>
      </c>
      <c r="F110" t="inlineStr">
        <is>
          <t>VÄRMLANDS LÄN</t>
        </is>
      </c>
      <c r="G110" t="inlineStr">
        <is>
          <t>KRISTINEHAMN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46231</v>
      </c>
      <c r="F111" t="inlineStr">
        <is>
          <t>VÄRMLANDS LÄN</t>
        </is>
      </c>
      <c r="G111" t="inlineStr">
        <is>
          <t>KRISTINEHAMN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46231</v>
      </c>
      <c r="F112" t="inlineStr">
        <is>
          <t>VÄRMLANDS LÄN</t>
        </is>
      </c>
      <c r="G112" t="inlineStr">
        <is>
          <t>KRISTINEHAMN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54690-2022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44883</v>
      </c>
      <c r="E113" s="1" t="n">
        <v>46231</v>
      </c>
      <c r="F113" t="inlineStr">
        <is>
          <t>VÄRMLANDS LÄN</t>
        </is>
      </c>
      <c r="G113" t="inlineStr">
        <is>
          <t>KRISTINEHAMN</t>
        </is>
      </c>
      <c r="I113" t="n">
        <v>11.1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45377</v>
      </c>
      <c r="E114" s="1" t="n">
        <v>46231</v>
      </c>
      <c r="F114" t="inlineStr">
        <is>
          <t>VÄRMLANDS LÄN</t>
        </is>
      </c>
      <c r="G114" t="inlineStr">
        <is>
          <t>KRISTINEHAMN</t>
        </is>
      </c>
      <c r="I114" t="n">
        <v>13.2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46231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46231</v>
      </c>
      <c r="F116" t="inlineStr">
        <is>
          <t>VÄRMLANDS LÄN</t>
        </is>
      </c>
      <c r="G116" t="inlineStr">
        <is>
          <t>KRISTINEHAMN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46231</v>
      </c>
      <c r="F117" t="inlineStr">
        <is>
          <t>VÄRMLANDS LÄN</t>
        </is>
      </c>
      <c r="G117" t="inlineStr">
        <is>
          <t>KRISTINEHAMN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44941</v>
      </c>
      <c r="E118" s="1" t="n">
        <v>46231</v>
      </c>
      <c r="F118" t="inlineStr">
        <is>
          <t>VÄRMLANDS LÄN</t>
        </is>
      </c>
      <c r="G118" t="inlineStr">
        <is>
          <t>KRISTINEHAMN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45513</v>
      </c>
      <c r="E119" s="1" t="n">
        <v>46231</v>
      </c>
      <c r="F119" t="inlineStr">
        <is>
          <t>VÄRMLANDS LÄN</t>
        </is>
      </c>
      <c r="G119" t="inlineStr">
        <is>
          <t>KRISTINEHAMN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46231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25484-2025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45802</v>
      </c>
      <c r="E121" s="1" t="n">
        <v>46231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Naturvårdsverket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46231</v>
      </c>
      <c r="F122" t="inlineStr">
        <is>
          <t>VÄRMLANDS LÄN</t>
        </is>
      </c>
      <c r="G122" t="inlineStr">
        <is>
          <t>KRISTINEHAMN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46231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46231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46231</v>
      </c>
      <c r="F125" t="inlineStr">
        <is>
          <t>VÄRMLANDS LÄN</t>
        </is>
      </c>
      <c r="G125" t="inlineStr">
        <is>
          <t>KRISTINEHAMN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46231</v>
      </c>
      <c r="F126" t="inlineStr">
        <is>
          <t>VÄRMLANDS LÄN</t>
        </is>
      </c>
      <c r="G126" t="inlineStr">
        <is>
          <t>KRISTINEHAMN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46231</v>
      </c>
      <c r="F127" t="inlineStr">
        <is>
          <t>VÄRMLANDS LÄN</t>
        </is>
      </c>
      <c r="G127" t="inlineStr">
        <is>
          <t>KRISTINEHAMN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46231</v>
      </c>
      <c r="F128" t="inlineStr">
        <is>
          <t>VÄRMLANDS LÄN</t>
        </is>
      </c>
      <c r="G128" t="inlineStr">
        <is>
          <t>KRISTINEHAMN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46231</v>
      </c>
      <c r="F129" t="inlineStr">
        <is>
          <t>VÄRMLANDS LÄN</t>
        </is>
      </c>
      <c r="G129" t="inlineStr">
        <is>
          <t>KRISTINEHAMN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46231</v>
      </c>
      <c r="F130" t="inlineStr">
        <is>
          <t>VÄRMLANDS LÄN</t>
        </is>
      </c>
      <c r="G130" t="inlineStr">
        <is>
          <t>KRISTINEHAMN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46231</v>
      </c>
      <c r="F131" t="inlineStr">
        <is>
          <t>VÄRMLANDS LÄN</t>
        </is>
      </c>
      <c r="G131" t="inlineStr">
        <is>
          <t>KRISTINEHAMN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46038</v>
      </c>
      <c r="E132" s="1" t="n">
        <v>46231</v>
      </c>
      <c r="F132" t="inlineStr">
        <is>
          <t>VÄRMLANDS LÄN</t>
        </is>
      </c>
      <c r="G132" t="inlineStr">
        <is>
          <t>KRISTINEHAMN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46231</v>
      </c>
      <c r="F133" t="inlineStr">
        <is>
          <t>VÄRMLANDS LÄN</t>
        </is>
      </c>
      <c r="G133" t="inlineStr">
        <is>
          <t>KRISTINEHAMN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61942-2022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46231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46231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46231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46231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46231</v>
      </c>
      <c r="F138" t="inlineStr">
        <is>
          <t>VÄRMLANDS LÄN</t>
        </is>
      </c>
      <c r="G138" t="inlineStr">
        <is>
          <t>KRISTINEHAMN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10548-2024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45366</v>
      </c>
      <c r="E139" s="1" t="n">
        <v>46231</v>
      </c>
      <c r="F139" t="inlineStr">
        <is>
          <t>VÄRMLANDS LÄN</t>
        </is>
      </c>
      <c r="G139" t="inlineStr">
        <is>
          <t>KRISTINEHAMN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45121</v>
      </c>
      <c r="E140" s="1" t="n">
        <v>46231</v>
      </c>
      <c r="F140" t="inlineStr">
        <is>
          <t>VÄRMLANDS LÄN</t>
        </is>
      </c>
      <c r="G140" t="inlineStr">
        <is>
          <t>KRISTINEHAMN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60567-2024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45644</v>
      </c>
      <c r="E141" s="1" t="n">
        <v>46231</v>
      </c>
      <c r="F141" t="inlineStr">
        <is>
          <t>VÄRMLANDS LÄN</t>
        </is>
      </c>
      <c r="G141" t="inlineStr">
        <is>
          <t>KRISTINEHAMN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59144-2021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46231</v>
      </c>
      <c r="F142" t="inlineStr">
        <is>
          <t>VÄRMLANDS LÄN</t>
        </is>
      </c>
      <c r="G142" t="inlineStr">
        <is>
          <t>KRISTINEHAMN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46049</v>
      </c>
      <c r="E143" s="1" t="n">
        <v>46231</v>
      </c>
      <c r="F143" t="inlineStr">
        <is>
          <t>VÄRMLANDS LÄN</t>
        </is>
      </c>
      <c r="G143" t="inlineStr">
        <is>
          <t>KRISTINEHAMN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46231</v>
      </c>
      <c r="F144" t="inlineStr">
        <is>
          <t>VÄRMLANDS LÄN</t>
        </is>
      </c>
      <c r="G144" t="inlineStr">
        <is>
          <t>KRISTINEHAMN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62517-2022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46231</v>
      </c>
      <c r="F145" t="inlineStr">
        <is>
          <t>VÄRMLANDS LÄN</t>
        </is>
      </c>
      <c r="G145" t="inlineStr">
        <is>
          <t>KRISTINEHAMN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46049</v>
      </c>
      <c r="E146" s="1" t="n">
        <v>46231</v>
      </c>
      <c r="F146" t="inlineStr">
        <is>
          <t>VÄRMLANDS LÄN</t>
        </is>
      </c>
      <c r="G146" t="inlineStr">
        <is>
          <t>KRISTINEHAMN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6259-2026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46051</v>
      </c>
      <c r="E147" s="1" t="n">
        <v>46231</v>
      </c>
      <c r="F147" t="inlineStr">
        <is>
          <t>VÄRMLANDS LÄN</t>
        </is>
      </c>
      <c r="G147" t="inlineStr">
        <is>
          <t>KRISTINEHAMN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46231</v>
      </c>
      <c r="F148" t="inlineStr">
        <is>
          <t>VÄRMLANDS LÄN</t>
        </is>
      </c>
      <c r="G148" t="inlineStr">
        <is>
          <t>KRISTINEHAMN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45364</v>
      </c>
      <c r="E149" s="1" t="n">
        <v>46231</v>
      </c>
      <c r="F149" t="inlineStr">
        <is>
          <t>VÄRMLANDS LÄN</t>
        </is>
      </c>
      <c r="G149" t="inlineStr">
        <is>
          <t>KRISTINEHAMN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12261-2024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46231</v>
      </c>
      <c r="F150" t="inlineStr">
        <is>
          <t>VÄRMLANDS LÄN</t>
        </is>
      </c>
      <c r="G150" t="inlineStr">
        <is>
          <t>KRISTINEHAMN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45385</v>
      </c>
      <c r="E151" s="1" t="n">
        <v>46231</v>
      </c>
      <c r="F151" t="inlineStr">
        <is>
          <t>VÄRMLANDS LÄN</t>
        </is>
      </c>
      <c r="G151" t="inlineStr">
        <is>
          <t>KRISTINEHAMN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45364</v>
      </c>
      <c r="E152" s="1" t="n">
        <v>46231</v>
      </c>
      <c r="F152" t="inlineStr">
        <is>
          <t>VÄRMLANDS LÄN</t>
        </is>
      </c>
      <c r="G152" t="inlineStr">
        <is>
          <t>KRISTINEHAMN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46231</v>
      </c>
      <c r="F153" t="inlineStr">
        <is>
          <t>VÄRMLANDS LÄN</t>
        </is>
      </c>
      <c r="G153" t="inlineStr">
        <is>
          <t>KRISTINEHAMN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45359</v>
      </c>
      <c r="E154" s="1" t="n">
        <v>46231</v>
      </c>
      <c r="F154" t="inlineStr">
        <is>
          <t>VÄRMLANDS LÄN</t>
        </is>
      </c>
      <c r="G154" t="inlineStr">
        <is>
          <t>KRISTINEHAMN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48416-2021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44452</v>
      </c>
      <c r="E155" s="1" t="n">
        <v>46231</v>
      </c>
      <c r="F155" t="inlineStr">
        <is>
          <t>VÄRMLANDS LÄN</t>
        </is>
      </c>
      <c r="G155" t="inlineStr">
        <is>
          <t>KRISTINEHAMN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45833</v>
      </c>
      <c r="E156" s="1" t="n">
        <v>46231</v>
      </c>
      <c r="F156" t="inlineStr">
        <is>
          <t>VÄRMLANDS LÄN</t>
        </is>
      </c>
      <c r="G156" t="inlineStr">
        <is>
          <t>KRISTINEHAMN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45833</v>
      </c>
      <c r="E157" s="1" t="n">
        <v>46231</v>
      </c>
      <c r="F157" t="inlineStr">
        <is>
          <t>VÄRMLANDS LÄN</t>
        </is>
      </c>
      <c r="G157" t="inlineStr">
        <is>
          <t>KRISTINEHAMN</t>
        </is>
      </c>
      <c r="I157" t="n">
        <v>20.1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45832</v>
      </c>
      <c r="E158" s="1" t="n">
        <v>46231</v>
      </c>
      <c r="F158" t="inlineStr">
        <is>
          <t>VÄRMLANDS LÄN</t>
        </is>
      </c>
      <c r="G158" t="inlineStr">
        <is>
          <t>KRISTINEHAMN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46231</v>
      </c>
      <c r="F159" t="inlineStr">
        <is>
          <t>VÄRMLANDS LÄN</t>
        </is>
      </c>
      <c r="G159" t="inlineStr">
        <is>
          <t>KRISTINEHAMN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44677</v>
      </c>
      <c r="E160" s="1" t="n">
        <v>46231</v>
      </c>
      <c r="F160" t="inlineStr">
        <is>
          <t>VÄRMLANDS LÄN</t>
        </is>
      </c>
      <c r="G160" t="inlineStr">
        <is>
          <t>KRISTINEHAMN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46231</v>
      </c>
      <c r="F161" t="inlineStr">
        <is>
          <t>VÄRMLANDS LÄN</t>
        </is>
      </c>
      <c r="G161" t="inlineStr">
        <is>
          <t>KRISTINEHAMN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46231</v>
      </c>
      <c r="F162" t="inlineStr">
        <is>
          <t>VÄRMLANDS LÄN</t>
        </is>
      </c>
      <c r="G162" t="inlineStr">
        <is>
          <t>KRISTINEHAMN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46231</v>
      </c>
      <c r="F163" t="inlineStr">
        <is>
          <t>VÄRMLANDS LÄN</t>
        </is>
      </c>
      <c r="G163" t="inlineStr">
        <is>
          <t>KRISTINEHAMN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45379</v>
      </c>
      <c r="E164" s="1" t="n">
        <v>46231</v>
      </c>
      <c r="F164" t="inlineStr">
        <is>
          <t>VÄRMLANDS LÄN</t>
        </is>
      </c>
      <c r="G164" t="inlineStr">
        <is>
          <t>KRISTINEHAMN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45477</v>
      </c>
      <c r="E165" s="1" t="n">
        <v>46231</v>
      </c>
      <c r="F165" t="inlineStr">
        <is>
          <t>VÄRMLANDS LÄN</t>
        </is>
      </c>
      <c r="G165" t="inlineStr">
        <is>
          <t>KRISTINEHAMN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45625</v>
      </c>
      <c r="E166" s="1" t="n">
        <v>46231</v>
      </c>
      <c r="F166" t="inlineStr">
        <is>
          <t>VÄRMLANDS LÄN</t>
        </is>
      </c>
      <c r="G166" t="inlineStr">
        <is>
          <t>KRISTINEHAMN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44722</v>
      </c>
      <c r="E167" s="1" t="n">
        <v>46231</v>
      </c>
      <c r="F167" t="inlineStr">
        <is>
          <t>VÄRMLANDS LÄN</t>
        </is>
      </c>
      <c r="G167" t="inlineStr">
        <is>
          <t>KRISTINEHAMN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46231</v>
      </c>
      <c r="F168" t="inlineStr">
        <is>
          <t>VÄRMLANDS LÄN</t>
        </is>
      </c>
      <c r="G168" t="inlineStr">
        <is>
          <t>KRISTINEHAMN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12319-2022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44637</v>
      </c>
      <c r="E169" s="1" t="n">
        <v>46231</v>
      </c>
      <c r="F169" t="inlineStr">
        <is>
          <t>VÄRMLANDS LÄN</t>
        </is>
      </c>
      <c r="G169" t="inlineStr">
        <is>
          <t>KRISTINEHAMN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45453</v>
      </c>
      <c r="E170" s="1" t="n">
        <v>46231</v>
      </c>
      <c r="F170" t="inlineStr">
        <is>
          <t>VÄRMLANDS LÄN</t>
        </is>
      </c>
      <c r="G170" t="inlineStr">
        <is>
          <t>KRISTINEHAMN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46083</v>
      </c>
      <c r="E171" s="1" t="n">
        <v>46231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Bergvik skog väst AB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44965</v>
      </c>
      <c r="E172" s="1" t="n">
        <v>46231</v>
      </c>
      <c r="F172" t="inlineStr">
        <is>
          <t>VÄRMLANDS LÄN</t>
        </is>
      </c>
      <c r="G172" t="inlineStr">
        <is>
          <t>KRISTINEHAMN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46231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46231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46231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45876</v>
      </c>
      <c r="E176" s="1" t="n">
        <v>46231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46231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45239</v>
      </c>
      <c r="E178" s="1" t="n">
        <v>46231</v>
      </c>
      <c r="F178" t="inlineStr">
        <is>
          <t>VÄRMLANDS LÄN</t>
        </is>
      </c>
      <c r="G178" t="inlineStr">
        <is>
          <t>KRISTINEHAMN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46231</v>
      </c>
      <c r="F179" t="inlineStr">
        <is>
          <t>VÄRMLANDS LÄN</t>
        </is>
      </c>
      <c r="G179" t="inlineStr">
        <is>
          <t>KRISTINEHAMN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44722</v>
      </c>
      <c r="E180" s="1" t="n">
        <v>46231</v>
      </c>
      <c r="F180" t="inlineStr">
        <is>
          <t>VÄRMLANDS LÄN</t>
        </is>
      </c>
      <c r="G180" t="inlineStr">
        <is>
          <t>KRISTINEHAMN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45041</v>
      </c>
      <c r="E181" s="1" t="n">
        <v>46231</v>
      </c>
      <c r="F181" t="inlineStr">
        <is>
          <t>VÄRMLANDS LÄN</t>
        </is>
      </c>
      <c r="G181" t="inlineStr">
        <is>
          <t>KRISTINEHAMN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52750-2021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44466</v>
      </c>
      <c r="E182" s="1" t="n">
        <v>46231</v>
      </c>
      <c r="F182" t="inlineStr">
        <is>
          <t>VÄRMLANDS LÄN</t>
        </is>
      </c>
      <c r="G182" t="inlineStr">
        <is>
          <t>KRISTINEHAMN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46231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46231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46231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Sveaskog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62623-2023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46231</v>
      </c>
      <c r="F186" t="inlineStr">
        <is>
          <t>VÄRMLANDS LÄN</t>
        </is>
      </c>
      <c r="G186" t="inlineStr">
        <is>
          <t>KRISTINEHAMN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29526-2022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44753</v>
      </c>
      <c r="E187" s="1" t="n">
        <v>46231</v>
      </c>
      <c r="F187" t="inlineStr">
        <is>
          <t>VÄRMLANDS LÄN</t>
        </is>
      </c>
      <c r="G187" t="inlineStr">
        <is>
          <t>KRISTINEHAMN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61034-2021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44497</v>
      </c>
      <c r="E188" s="1" t="n">
        <v>46231</v>
      </c>
      <c r="F188" t="inlineStr">
        <is>
          <t>VÄRMLANDS LÄN</t>
        </is>
      </c>
      <c r="G188" t="inlineStr">
        <is>
          <t>KRISTINEHAMN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45361</v>
      </c>
      <c r="E189" s="1" t="n">
        <v>46231</v>
      </c>
      <c r="F189" t="inlineStr">
        <is>
          <t>VÄRMLANDS LÄN</t>
        </is>
      </c>
      <c r="G189" t="inlineStr">
        <is>
          <t>KRISTINEHAMN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46101</v>
      </c>
      <c r="E190" s="1" t="n">
        <v>46231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46231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50174-2024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46231</v>
      </c>
      <c r="F192" t="inlineStr">
        <is>
          <t>VÄRMLANDS LÄN</t>
        </is>
      </c>
      <c r="G192" t="inlineStr">
        <is>
          <t>KRISTINEHAMN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46104</v>
      </c>
      <c r="E193" s="1" t="n">
        <v>46231</v>
      </c>
      <c r="F193" t="inlineStr">
        <is>
          <t>VÄRMLANDS LÄN</t>
        </is>
      </c>
      <c r="G193" t="inlineStr">
        <is>
          <t>KRISTINEHAMN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15646-2026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46106</v>
      </c>
      <c r="E194" s="1" t="n">
        <v>46231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45690-2021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44441</v>
      </c>
      <c r="E195" s="1" t="n">
        <v>46231</v>
      </c>
      <c r="F195" t="inlineStr">
        <is>
          <t>VÄRMLANDS LÄN</t>
        </is>
      </c>
      <c r="G195" t="inlineStr">
        <is>
          <t>KRISTINEHAMN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41297-2021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44424</v>
      </c>
      <c r="E196" s="1" t="n">
        <v>46231</v>
      </c>
      <c r="F196" t="inlineStr">
        <is>
          <t>VÄRMLANDS LÄN</t>
        </is>
      </c>
      <c r="G196" t="inlineStr">
        <is>
          <t>KRISTINEHAMN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46107</v>
      </c>
      <c r="E197" s="1" t="n">
        <v>46231</v>
      </c>
      <c r="F197" t="inlineStr">
        <is>
          <t>VÄRMLANDS LÄN</t>
        </is>
      </c>
      <c r="G197" t="inlineStr">
        <is>
          <t>KRISTINEHAMN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45118</v>
      </c>
      <c r="E198" s="1" t="n">
        <v>46231</v>
      </c>
      <c r="F198" t="inlineStr">
        <is>
          <t>VÄRMLANDS LÄN</t>
        </is>
      </c>
      <c r="G198" t="inlineStr">
        <is>
          <t>KRISTINEHAMN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45058</v>
      </c>
      <c r="E199" s="1" t="n">
        <v>46231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Kommuner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44712</v>
      </c>
      <c r="E200" s="1" t="n">
        <v>46231</v>
      </c>
      <c r="F200" t="inlineStr">
        <is>
          <t>VÄRMLANDS LÄN</t>
        </is>
      </c>
      <c r="G200" t="inlineStr">
        <is>
          <t>KRISTINEHAMN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46231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45662</v>
      </c>
      <c r="E202" s="1" t="n">
        <v>46231</v>
      </c>
      <c r="F202" t="inlineStr">
        <is>
          <t>VÄRMLANDS LÄN</t>
        </is>
      </c>
      <c r="G202" t="inlineStr">
        <is>
          <t>KRISTINEHAMN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44924</v>
      </c>
      <c r="E203" s="1" t="n">
        <v>46231</v>
      </c>
      <c r="F203" t="inlineStr">
        <is>
          <t>VÄRMLANDS LÄN</t>
        </is>
      </c>
      <c r="G203" t="inlineStr">
        <is>
          <t>KRISTINEHAMN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42178-2025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45904</v>
      </c>
      <c r="E204" s="1" t="n">
        <v>46231</v>
      </c>
      <c r="F204" t="inlineStr">
        <is>
          <t>VÄRMLANDS LÄN</t>
        </is>
      </c>
      <c r="G204" t="inlineStr">
        <is>
          <t>KRISTINEHAMN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32161-2023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46231</v>
      </c>
      <c r="F205" t="inlineStr">
        <is>
          <t>VÄRMLANDS LÄN</t>
        </is>
      </c>
      <c r="G205" t="inlineStr">
        <is>
          <t>KRISTINEHAMN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45141</v>
      </c>
      <c r="E206" s="1" t="n">
        <v>46231</v>
      </c>
      <c r="F206" t="inlineStr">
        <is>
          <t>VÄRMLANDS LÄN</t>
        </is>
      </c>
      <c r="G206" t="inlineStr">
        <is>
          <t>KRISTINEHAMN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46231</v>
      </c>
      <c r="F207" t="inlineStr">
        <is>
          <t>VÄRMLANDS LÄN</t>
        </is>
      </c>
      <c r="G207" t="inlineStr">
        <is>
          <t>KRISTINEHAMN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46231</v>
      </c>
      <c r="F208" t="inlineStr">
        <is>
          <t>VÄRMLANDS LÄN</t>
        </is>
      </c>
      <c r="G208" t="inlineStr">
        <is>
          <t>KRISTINEHAMN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45202</v>
      </c>
      <c r="E209" s="1" t="n">
        <v>46231</v>
      </c>
      <c r="F209" t="inlineStr">
        <is>
          <t>VÄRMLANDS LÄN</t>
        </is>
      </c>
      <c r="G209" t="inlineStr">
        <is>
          <t>KRISTINEHAMN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46231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32821-2023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45112</v>
      </c>
      <c r="E211" s="1" t="n">
        <v>46231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Kommuner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18902-2026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46129</v>
      </c>
      <c r="E212" s="1" t="n">
        <v>46231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46129</v>
      </c>
      <c r="E213" s="1" t="n">
        <v>46231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32821-2023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45112</v>
      </c>
      <c r="E214" s="1" t="n">
        <v>46231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Kommuner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45666</v>
      </c>
      <c r="E215" s="1" t="n">
        <v>46231</v>
      </c>
      <c r="F215" t="inlineStr">
        <is>
          <t>VÄRMLANDS LÄN</t>
        </is>
      </c>
      <c r="G215" t="inlineStr">
        <is>
          <t>KRISTINEHAMN</t>
        </is>
      </c>
      <c r="I215" t="n">
        <v>9.300000000000001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19226-2026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46132</v>
      </c>
      <c r="E216" s="1" t="n">
        <v>46231</v>
      </c>
      <c r="F216" t="inlineStr">
        <is>
          <t>VÄRMLANDS LÄN</t>
        </is>
      </c>
      <c r="G216" t="inlineStr">
        <is>
          <t>KRISTINEHAMN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45656</v>
      </c>
      <c r="E217" s="1" t="n">
        <v>46231</v>
      </c>
      <c r="F217" t="inlineStr">
        <is>
          <t>VÄRMLANDS LÄN</t>
        </is>
      </c>
      <c r="G217" t="inlineStr">
        <is>
          <t>KRISTINEHAMN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45442</v>
      </c>
      <c r="E218" s="1" t="n">
        <v>46231</v>
      </c>
      <c r="F218" t="inlineStr">
        <is>
          <t>VÄRMLANDS LÄN</t>
        </is>
      </c>
      <c r="G218" t="inlineStr">
        <is>
          <t>KRISTINEHAMN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44987</v>
      </c>
      <c r="E219" s="1" t="n">
        <v>46231</v>
      </c>
      <c r="F219" t="inlineStr">
        <is>
          <t>VÄRMLANDS LÄN</t>
        </is>
      </c>
      <c r="G219" t="inlineStr">
        <is>
          <t>KRISTINEHAMN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45647</v>
      </c>
      <c r="E220" s="1" t="n">
        <v>46231</v>
      </c>
      <c r="F220" t="inlineStr">
        <is>
          <t>VÄRMLANDS LÄN</t>
        </is>
      </c>
      <c r="G220" t="inlineStr">
        <is>
          <t>KRISTINEHAMN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46231</v>
      </c>
      <c r="F221" t="inlineStr">
        <is>
          <t>VÄRMLANDS LÄN</t>
        </is>
      </c>
      <c r="G221" t="inlineStr">
        <is>
          <t>KRISTINEHAMN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45002</v>
      </c>
      <c r="E222" s="1" t="n">
        <v>46231</v>
      </c>
      <c r="F222" t="inlineStr">
        <is>
          <t>VÄRMLANDS LÄN</t>
        </is>
      </c>
      <c r="G222" t="inlineStr">
        <is>
          <t>KRISTINEHAMN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41857-2023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45176</v>
      </c>
      <c r="E223" s="1" t="n">
        <v>46231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45686</v>
      </c>
      <c r="E224" s="1" t="n">
        <v>46231</v>
      </c>
      <c r="F224" t="inlineStr">
        <is>
          <t>VÄRMLANDS LÄN</t>
        </is>
      </c>
      <c r="G224" t="inlineStr">
        <is>
          <t>KRISTINEHAMN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44894</v>
      </c>
      <c r="E225" s="1" t="n">
        <v>46231</v>
      </c>
      <c r="F225" t="inlineStr">
        <is>
          <t>VÄRMLANDS LÄN</t>
        </is>
      </c>
      <c r="G225" t="inlineStr">
        <is>
          <t>KRISTINEHAMN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46231</v>
      </c>
      <c r="F226" t="inlineStr">
        <is>
          <t>VÄRMLANDS LÄN</t>
        </is>
      </c>
      <c r="G226" t="inlineStr">
        <is>
          <t>KRISTINEHAMN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42177-2025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45904</v>
      </c>
      <c r="E227" s="1" t="n">
        <v>46231</v>
      </c>
      <c r="F227" t="inlineStr">
        <is>
          <t>VÄRMLANDS LÄN</t>
        </is>
      </c>
      <c r="G227" t="inlineStr">
        <is>
          <t>KRISTINEHAMN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45888</v>
      </c>
      <c r="E228" s="1" t="n">
        <v>46231</v>
      </c>
      <c r="F228" t="inlineStr">
        <is>
          <t>VÄRMLANDS LÄN</t>
        </is>
      </c>
      <c r="G228" t="inlineStr">
        <is>
          <t>KRISTINEHAMN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46140</v>
      </c>
      <c r="E229" s="1" t="n">
        <v>46231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46231</v>
      </c>
      <c r="F230" t="inlineStr">
        <is>
          <t>VÄRMLANDS LÄN</t>
        </is>
      </c>
      <c r="G230" t="inlineStr">
        <is>
          <t>KRISTINEHAMN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70126-2021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44533</v>
      </c>
      <c r="E231" s="1" t="n">
        <v>46231</v>
      </c>
      <c r="F231" t="inlineStr">
        <is>
          <t>VÄRMLANDS LÄN</t>
        </is>
      </c>
      <c r="G231" t="inlineStr">
        <is>
          <t>KRISTINEHAMN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39159-2025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46231</v>
      </c>
      <c r="F232" t="inlineStr">
        <is>
          <t>VÄRMLANDS LÄN</t>
        </is>
      </c>
      <c r="G232" t="inlineStr">
        <is>
          <t>KRISTINEHAMN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20484-2026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46231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Bergvik skog väst AB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20168-2026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46139</v>
      </c>
      <c r="E234" s="1" t="n">
        <v>46231</v>
      </c>
      <c r="F234" t="inlineStr">
        <is>
          <t>VÄRMLANDS LÄN</t>
        </is>
      </c>
      <c r="G234" t="inlineStr">
        <is>
          <t>KRISTINEHAMN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48128-2025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45933</v>
      </c>
      <c r="E235" s="1" t="n">
        <v>46231</v>
      </c>
      <c r="F235" t="inlineStr">
        <is>
          <t>VÄRMLANDS LÄN</t>
        </is>
      </c>
      <c r="G235" t="inlineStr">
        <is>
          <t>KRISTINEHAMN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62495-2022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44917</v>
      </c>
      <c r="E236" s="1" t="n">
        <v>46231</v>
      </c>
      <c r="F236" t="inlineStr">
        <is>
          <t>VÄRMLANDS LÄN</t>
        </is>
      </c>
      <c r="G236" t="inlineStr">
        <is>
          <t>KRISTINEHAMN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45260</v>
      </c>
      <c r="E237" s="1" t="n">
        <v>46231</v>
      </c>
      <c r="F237" t="inlineStr">
        <is>
          <t>VÄRMLANDS LÄN</t>
        </is>
      </c>
      <c r="G237" t="inlineStr">
        <is>
          <t>KRISTINEHAMN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45803</v>
      </c>
      <c r="E238" s="1" t="n">
        <v>46231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46231</v>
      </c>
      <c r="F239" t="inlineStr">
        <is>
          <t>VÄRMLANDS LÄN</t>
        </is>
      </c>
      <c r="G239" t="inlineStr">
        <is>
          <t>KRISTINEHAMN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46231</v>
      </c>
      <c r="F240" t="inlineStr">
        <is>
          <t>VÄRMLANDS LÄN</t>
        </is>
      </c>
      <c r="G240" t="inlineStr">
        <is>
          <t>KRISTINEHAMN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20102-2026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46231</v>
      </c>
      <c r="F241" t="inlineStr">
        <is>
          <t>VÄRMLANDS LÄN</t>
        </is>
      </c>
      <c r="G241" t="inlineStr">
        <is>
          <t>KRISTINEHAMN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46231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14.2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46526-2022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44847</v>
      </c>
      <c r="E243" s="1" t="n">
        <v>46231</v>
      </c>
      <c r="F243" t="inlineStr">
        <is>
          <t>VÄRMLANDS LÄN</t>
        </is>
      </c>
      <c r="G243" t="inlineStr">
        <is>
          <t>KRISTINEHAMN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49335-2021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44454</v>
      </c>
      <c r="E244" s="1" t="n">
        <v>46231</v>
      </c>
      <c r="F244" t="inlineStr">
        <is>
          <t>VÄRMLANDS LÄN</t>
        </is>
      </c>
      <c r="G244" t="inlineStr">
        <is>
          <t>KRISTINEHAMN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17245-2025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45756</v>
      </c>
      <c r="E245" s="1" t="n">
        <v>46231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45226</v>
      </c>
      <c r="E246" s="1" t="n">
        <v>46231</v>
      </c>
      <c r="F246" t="inlineStr">
        <is>
          <t>VÄRMLANDS LÄN</t>
        </is>
      </c>
      <c r="G246" t="inlineStr">
        <is>
          <t>KRISTINEHAMN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45226</v>
      </c>
      <c r="E247" s="1" t="n">
        <v>46231</v>
      </c>
      <c r="F247" t="inlineStr">
        <is>
          <t>VÄRMLANDS LÄN</t>
        </is>
      </c>
      <c r="G247" t="inlineStr">
        <is>
          <t>KRISTINEHAMN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54603-2021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44473</v>
      </c>
      <c r="E248" s="1" t="n">
        <v>46231</v>
      </c>
      <c r="F248" t="inlineStr">
        <is>
          <t>VÄRMLANDS LÄN</t>
        </is>
      </c>
      <c r="G248" t="inlineStr">
        <is>
          <t>KRISTINEHAMN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45076</v>
      </c>
      <c r="E249" s="1" t="n">
        <v>46231</v>
      </c>
      <c r="F249" t="inlineStr">
        <is>
          <t>VÄRMLANDS LÄN</t>
        </is>
      </c>
      <c r="G249" t="inlineStr">
        <is>
          <t>KRISTINEHAMN</t>
        </is>
      </c>
      <c r="I249" t="n">
        <v>15.9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60805-2025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46231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Naturvårdsverket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68505-2021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44525</v>
      </c>
      <c r="E251" s="1" t="n">
        <v>46231</v>
      </c>
      <c r="F251" t="inlineStr">
        <is>
          <t>VÄRMLANDS LÄN</t>
        </is>
      </c>
      <c r="G251" t="inlineStr">
        <is>
          <t>KRISTINEHAMN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45127</v>
      </c>
      <c r="E252" s="1" t="n">
        <v>46231</v>
      </c>
      <c r="F252" t="inlineStr">
        <is>
          <t>VÄRMLANDS LÄN</t>
        </is>
      </c>
      <c r="G252" t="inlineStr">
        <is>
          <t>KRISTINEHAMN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45366</v>
      </c>
      <c r="E253" s="1" t="n">
        <v>46231</v>
      </c>
      <c r="F253" t="inlineStr">
        <is>
          <t>VÄRMLANDS LÄN</t>
        </is>
      </c>
      <c r="G253" t="inlineStr">
        <is>
          <t>KRISTINEHAMN</t>
        </is>
      </c>
      <c r="I253" t="n">
        <v>19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46141</v>
      </c>
      <c r="E254" s="1" t="n">
        <v>46231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Naturvårdsverket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46231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44923</v>
      </c>
      <c r="E256" s="1" t="n">
        <v>46231</v>
      </c>
      <c r="F256" t="inlineStr">
        <is>
          <t>VÄRMLANDS LÄN</t>
        </is>
      </c>
      <c r="G256" t="inlineStr">
        <is>
          <t>KRISTINEHAMN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62864-2023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45272</v>
      </c>
      <c r="E257" s="1" t="n">
        <v>46231</v>
      </c>
      <c r="F257" t="inlineStr">
        <is>
          <t>VÄRMLANDS LÄN</t>
        </is>
      </c>
      <c r="G257" t="inlineStr">
        <is>
          <t>KRISTINEHAMN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39781-2023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46231</v>
      </c>
      <c r="F258" t="inlineStr">
        <is>
          <t>VÄRMLANDS LÄN</t>
        </is>
      </c>
      <c r="G258" t="inlineStr">
        <is>
          <t>KRISTINEHAMN</t>
        </is>
      </c>
      <c r="I258" t="n">
        <v>8.4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25494-2023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45081</v>
      </c>
      <c r="E259" s="1" t="n">
        <v>46231</v>
      </c>
      <c r="F259" t="inlineStr">
        <is>
          <t>VÄRMLANDS LÄN</t>
        </is>
      </c>
      <c r="G259" t="inlineStr">
        <is>
          <t>KRISTINEHAMN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20982-2026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46142</v>
      </c>
      <c r="E260" s="1" t="n">
        <v>46231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Sveaskog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46231</v>
      </c>
      <c r="F261" t="inlineStr">
        <is>
          <t>VÄRMLANDS LÄN</t>
        </is>
      </c>
      <c r="G261" t="inlineStr">
        <is>
          <t>KRISTINEHAMN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46141</v>
      </c>
      <c r="E262" s="1" t="n">
        <v>46231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Naturvårdsverket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46146</v>
      </c>
      <c r="E263" s="1" t="n">
        <v>46231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Sveaskog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46231</v>
      </c>
      <c r="F264" t="inlineStr">
        <is>
          <t>VÄRMLANDS LÄN</t>
        </is>
      </c>
      <c r="G264" t="inlineStr">
        <is>
          <t>KRISTINEHAMN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46231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46190</v>
      </c>
      <c r="E266" s="1" t="n">
        <v>46231</v>
      </c>
      <c r="F266" t="inlineStr">
        <is>
          <t>VÄRMLANDS LÄN</t>
        </is>
      </c>
      <c r="G266" t="inlineStr">
        <is>
          <t>KRISTINEHAMN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45313</v>
      </c>
      <c r="E267" s="1" t="n">
        <v>46231</v>
      </c>
      <c r="F267" t="inlineStr">
        <is>
          <t>VÄRMLANDS LÄN</t>
        </is>
      </c>
      <c r="G267" t="inlineStr">
        <is>
          <t>KRISTINEHAMN</t>
        </is>
      </c>
      <c r="I267" t="n">
        <v>11.2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45679</v>
      </c>
      <c r="E268" s="1" t="n">
        <v>46231</v>
      </c>
      <c r="F268" t="inlineStr">
        <is>
          <t>VÄRMLANDS LÄN</t>
        </is>
      </c>
      <c r="G268" t="inlineStr">
        <is>
          <t>KRISTINEHAMN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11784-2023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44994</v>
      </c>
      <c r="E269" s="1" t="n">
        <v>46231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Sveaskog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32404-2023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46231</v>
      </c>
      <c r="F270" t="inlineStr">
        <is>
          <t>VÄRMLANDS LÄN</t>
        </is>
      </c>
      <c r="G270" t="inlineStr">
        <is>
          <t>KRISTINEHAMN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46150</v>
      </c>
      <c r="E271" s="1" t="n">
        <v>46231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22060-2026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46149</v>
      </c>
      <c r="E272" s="1" t="n">
        <v>46231</v>
      </c>
      <c r="F272" t="inlineStr">
        <is>
          <t>VÄRMLANDS LÄN</t>
        </is>
      </c>
      <c r="G272" t="inlineStr">
        <is>
          <t>KRISTINEHAMN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21842-2026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46150</v>
      </c>
      <c r="E273" s="1" t="n">
        <v>46231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45081</v>
      </c>
      <c r="E274" s="1" t="n">
        <v>46231</v>
      </c>
      <c r="F274" t="inlineStr">
        <is>
          <t>VÄRMLANDS LÄN</t>
        </is>
      </c>
      <c r="G274" t="inlineStr">
        <is>
          <t>KRISTINEHAMN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45252</v>
      </c>
      <c r="E275" s="1" t="n">
        <v>46231</v>
      </c>
      <c r="F275" t="inlineStr">
        <is>
          <t>VÄRMLANDS LÄN</t>
        </is>
      </c>
      <c r="G275" t="inlineStr">
        <is>
          <t>KRISTINEHAMN</t>
        </is>
      </c>
      <c r="I275" t="n">
        <v>19.4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45379</v>
      </c>
      <c r="E276" s="1" t="n">
        <v>46231</v>
      </c>
      <c r="F276" t="inlineStr">
        <is>
          <t>VÄRMLANDS LÄN</t>
        </is>
      </c>
      <c r="G276" t="inlineStr">
        <is>
          <t>KRISTINEHAMN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55363-2023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46231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Kommuner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45379</v>
      </c>
      <c r="E278" s="1" t="n">
        <v>46231</v>
      </c>
      <c r="F278" t="inlineStr">
        <is>
          <t>VÄRMLANDS LÄN</t>
        </is>
      </c>
      <c r="G278" t="inlineStr">
        <is>
          <t>KRISTINEHAMN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45379</v>
      </c>
      <c r="E279" s="1" t="n">
        <v>46231</v>
      </c>
      <c r="F279" t="inlineStr">
        <is>
          <t>VÄRMLANDS LÄN</t>
        </is>
      </c>
      <c r="G279" t="inlineStr">
        <is>
          <t>KRISTINEHAMN</t>
        </is>
      </c>
      <c r="I279" t="n">
        <v>12.6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10030-2023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44985</v>
      </c>
      <c r="E280" s="1" t="n">
        <v>46231</v>
      </c>
      <c r="F280" t="inlineStr">
        <is>
          <t>VÄRMLANDS LÄN</t>
        </is>
      </c>
      <c r="G280" t="inlineStr">
        <is>
          <t>KRISTINEHAMN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13459-2024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45387</v>
      </c>
      <c r="E281" s="1" t="n">
        <v>46231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Naturvårdsverket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22255-2026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46231</v>
      </c>
      <c r="F282" t="inlineStr">
        <is>
          <t>VÄRMLANDS LÄN</t>
        </is>
      </c>
      <c r="G282" t="inlineStr">
        <is>
          <t>KRISTINEHAMN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45022</v>
      </c>
      <c r="E283" s="1" t="n">
        <v>46231</v>
      </c>
      <c r="F283" t="inlineStr">
        <is>
          <t>VÄRMLANDS LÄN</t>
        </is>
      </c>
      <c r="G283" t="inlineStr">
        <is>
          <t>KRISTINEHAMN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6644-2024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45341</v>
      </c>
      <c r="E284" s="1" t="n">
        <v>46231</v>
      </c>
      <c r="F284" t="inlineStr">
        <is>
          <t>VÄRMLANDS LÄN</t>
        </is>
      </c>
      <c r="G284" t="inlineStr">
        <is>
          <t>KRISTINEHAMN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45341</v>
      </c>
      <c r="E285" s="1" t="n">
        <v>46231</v>
      </c>
      <c r="F285" t="inlineStr">
        <is>
          <t>VÄRMLANDS LÄN</t>
        </is>
      </c>
      <c r="G285" t="inlineStr">
        <is>
          <t>KRISTINEHAMN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50420-2025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45944</v>
      </c>
      <c r="E286" s="1" t="n">
        <v>46231</v>
      </c>
      <c r="F286" t="inlineStr">
        <is>
          <t>VÄRMLANDS LÄN</t>
        </is>
      </c>
      <c r="G286" t="inlineStr">
        <is>
          <t>KRISTINEHAMN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45324</v>
      </c>
      <c r="E287" s="1" t="n">
        <v>46231</v>
      </c>
      <c r="F287" t="inlineStr">
        <is>
          <t>VÄRMLANDS LÄN</t>
        </is>
      </c>
      <c r="G287" t="inlineStr">
        <is>
          <t>KRISTINEHAMN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45569</v>
      </c>
      <c r="E288" s="1" t="n">
        <v>46231</v>
      </c>
      <c r="F288" t="inlineStr">
        <is>
          <t>VÄRMLANDS LÄN</t>
        </is>
      </c>
      <c r="G288" t="inlineStr">
        <is>
          <t>KRISTINEHAMN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44959</v>
      </c>
      <c r="E289" s="1" t="n">
        <v>46231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47091-2022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44851</v>
      </c>
      <c r="E290" s="1" t="n">
        <v>46231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Kommuner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45392</v>
      </c>
      <c r="E291" s="1" t="n">
        <v>46231</v>
      </c>
      <c r="F291" t="inlineStr">
        <is>
          <t>VÄRMLANDS LÄN</t>
        </is>
      </c>
      <c r="G291" t="inlineStr">
        <is>
          <t>KRISTINEHAMN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12568-2023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45000</v>
      </c>
      <c r="E292" s="1" t="n">
        <v>46231</v>
      </c>
      <c r="F292" t="inlineStr">
        <is>
          <t>VÄRMLANDS LÄN</t>
        </is>
      </c>
      <c r="G292" t="inlineStr">
        <is>
          <t>KRISTINEHAMN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32409-2023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45110</v>
      </c>
      <c r="E293" s="1" t="n">
        <v>46231</v>
      </c>
      <c r="F293" t="inlineStr">
        <is>
          <t>VÄRMLANDS LÄN</t>
        </is>
      </c>
      <c r="G293" t="inlineStr">
        <is>
          <t>KRISTINEHAMN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24883-2024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45461</v>
      </c>
      <c r="E294" s="1" t="n">
        <v>46231</v>
      </c>
      <c r="F294" t="inlineStr">
        <is>
          <t>VÄRMLANDS LÄN</t>
        </is>
      </c>
      <c r="G294" t="inlineStr">
        <is>
          <t>KRISTINEHAMN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45698</v>
      </c>
      <c r="E295" s="1" t="n">
        <v>46231</v>
      </c>
      <c r="F295" t="inlineStr">
        <is>
          <t>VÄRMLANDS LÄN</t>
        </is>
      </c>
      <c r="G295" t="inlineStr">
        <is>
          <t>KRISTINEHAMN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45456</v>
      </c>
      <c r="E296" s="1" t="n">
        <v>46231</v>
      </c>
      <c r="F296" t="inlineStr">
        <is>
          <t>VÄRMLANDS LÄN</t>
        </is>
      </c>
      <c r="G296" t="inlineStr">
        <is>
          <t>KRISTINEHAMN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23147-2026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46161</v>
      </c>
      <c r="E297" s="1" t="n">
        <v>46231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23294-2026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46162</v>
      </c>
      <c r="E298" s="1" t="n">
        <v>46231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45079</v>
      </c>
      <c r="E299" s="1" t="n">
        <v>46231</v>
      </c>
      <c r="F299" t="inlineStr">
        <is>
          <t>VÄRMLANDS LÄN</t>
        </is>
      </c>
      <c r="G299" t="inlineStr">
        <is>
          <t>KRISTINEHAMN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45188</v>
      </c>
      <c r="E300" s="1" t="n">
        <v>46231</v>
      </c>
      <c r="F300" t="inlineStr">
        <is>
          <t>VÄRMLANDS LÄN</t>
        </is>
      </c>
      <c r="G300" t="inlineStr">
        <is>
          <t>KRISTINEHAMN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46231</v>
      </c>
      <c r="F301" t="inlineStr">
        <is>
          <t>VÄRMLANDS LÄN</t>
        </is>
      </c>
      <c r="G301" t="inlineStr">
        <is>
          <t>KRISTINEHAMN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21702-2024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45442</v>
      </c>
      <c r="E302" s="1" t="n">
        <v>46231</v>
      </c>
      <c r="F302" t="inlineStr">
        <is>
          <t>VÄRMLANDS LÄN</t>
        </is>
      </c>
      <c r="G302" t="inlineStr">
        <is>
          <t>KRISTINEHAMN</t>
        </is>
      </c>
      <c r="I302" t="n">
        <v>14.9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46231</v>
      </c>
      <c r="F303" t="inlineStr">
        <is>
          <t>VÄRMLANDS LÄN</t>
        </is>
      </c>
      <c r="G303" t="inlineStr">
        <is>
          <t>KRISTINEHAMN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45622</v>
      </c>
      <c r="E304" s="1" t="n">
        <v>46231</v>
      </c>
      <c r="F304" t="inlineStr">
        <is>
          <t>VÄRMLANDS LÄN</t>
        </is>
      </c>
      <c r="G304" t="inlineStr">
        <is>
          <t>KRISTINEHAMN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44588</v>
      </c>
      <c r="E305" s="1" t="n">
        <v>46231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44588</v>
      </c>
      <c r="E306" s="1" t="n">
        <v>46231</v>
      </c>
      <c r="F306" t="inlineStr">
        <is>
          <t>VÄRMLANDS LÄN</t>
        </is>
      </c>
      <c r="G306" t="inlineStr">
        <is>
          <t>KRISTINEHAMN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50159-2024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46231</v>
      </c>
      <c r="F307" t="inlineStr">
        <is>
          <t>VÄRMLANDS LÄN</t>
        </is>
      </c>
      <c r="G307" t="inlineStr">
        <is>
          <t>KRISTINEHAMN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46231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25570-2023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45082</v>
      </c>
      <c r="E309" s="1" t="n">
        <v>46231</v>
      </c>
      <c r="F309" t="inlineStr">
        <is>
          <t>VÄRMLANDS LÄN</t>
        </is>
      </c>
      <c r="G309" t="inlineStr">
        <is>
          <t>KRISTINEHAMN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45268</v>
      </c>
      <c r="E310" s="1" t="n">
        <v>46231</v>
      </c>
      <c r="F310" t="inlineStr">
        <is>
          <t>VÄRMLANDS LÄN</t>
        </is>
      </c>
      <c r="G310" t="inlineStr">
        <is>
          <t>KRISTINEHAMN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46205</v>
      </c>
      <c r="E311" s="1" t="n">
        <v>46231</v>
      </c>
      <c r="F311" t="inlineStr">
        <is>
          <t>VÄRMLANDS LÄN</t>
        </is>
      </c>
      <c r="G311" t="inlineStr">
        <is>
          <t>KRISTINEHAMN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46205</v>
      </c>
      <c r="E312" s="1" t="n">
        <v>46231</v>
      </c>
      <c r="F312" t="inlineStr">
        <is>
          <t>VÄRMLANDS LÄN</t>
        </is>
      </c>
      <c r="G312" t="inlineStr">
        <is>
          <t>KRISTINEHAMN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28834-2024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45478</v>
      </c>
      <c r="E313" s="1" t="n">
        <v>46231</v>
      </c>
      <c r="F313" t="inlineStr">
        <is>
          <t>VÄRMLANDS LÄN</t>
        </is>
      </c>
      <c r="G313" t="inlineStr">
        <is>
          <t>KRISTINEHAMN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46231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Naturvårdsverket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23270-2024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45450</v>
      </c>
      <c r="E315" s="1" t="n">
        <v>46231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Kommuner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13505-2022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44648</v>
      </c>
      <c r="E316" s="1" t="n">
        <v>46231</v>
      </c>
      <c r="F316" t="inlineStr">
        <is>
          <t>VÄRMLANDS LÄN</t>
        </is>
      </c>
      <c r="G316" t="inlineStr">
        <is>
          <t>KRISTINEHAMN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46231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Naturvårdsverket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46231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Naturvårdsverket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46231</v>
      </c>
      <c r="F319" t="inlineStr">
        <is>
          <t>VÄRMLANDS LÄN</t>
        </is>
      </c>
      <c r="G319" t="inlineStr">
        <is>
          <t>KRISTINEHAMN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46231</v>
      </c>
      <c r="F320" t="inlineStr">
        <is>
          <t>VÄRMLANDS LÄN</t>
        </is>
      </c>
      <c r="G320" t="inlineStr">
        <is>
          <t>KRISTINEHAMN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46231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24570-2026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46170</v>
      </c>
      <c r="E322" s="1" t="n">
        <v>46231</v>
      </c>
      <c r="F322" t="inlineStr">
        <is>
          <t>VÄRMLANDS LÄN</t>
        </is>
      </c>
      <c r="G322" t="inlineStr">
        <is>
          <t>KRISTINEHAMN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46231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45044</v>
      </c>
      <c r="E324" s="1" t="n">
        <v>46231</v>
      </c>
      <c r="F324" t="inlineStr">
        <is>
          <t>VÄRMLANDS LÄN</t>
        </is>
      </c>
      <c r="G324" t="inlineStr">
        <is>
          <t>KRISTINEHAMN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45313</v>
      </c>
      <c r="E325" s="1" t="n">
        <v>46231</v>
      </c>
      <c r="F325" t="inlineStr">
        <is>
          <t>VÄRMLANDS LÄN</t>
        </is>
      </c>
      <c r="G325" t="inlineStr">
        <is>
          <t>KRISTINEHAMN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25258-2026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46175</v>
      </c>
      <c r="E326" s="1" t="n">
        <v>46231</v>
      </c>
      <c r="F326" t="inlineStr">
        <is>
          <t>VÄRMLANDS LÄN</t>
        </is>
      </c>
      <c r="G326" t="inlineStr">
        <is>
          <t>KRISTINEHAMN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24117-2024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45456</v>
      </c>
      <c r="E327" s="1" t="n">
        <v>46231</v>
      </c>
      <c r="F327" t="inlineStr">
        <is>
          <t>VÄRMLANDS LÄN</t>
        </is>
      </c>
      <c r="G327" t="inlineStr">
        <is>
          <t>KRISTINEHAMN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44812</v>
      </c>
      <c r="E328" s="1" t="n">
        <v>46231</v>
      </c>
      <c r="F328" t="inlineStr">
        <is>
          <t>VÄRMLANDS LÄN</t>
        </is>
      </c>
      <c r="G328" t="inlineStr">
        <is>
          <t>KRISTINEHAMN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44734</v>
      </c>
      <c r="E329" s="1" t="n">
        <v>46231</v>
      </c>
      <c r="F329" t="inlineStr">
        <is>
          <t>VÄRMLANDS LÄN</t>
        </is>
      </c>
      <c r="G329" t="inlineStr">
        <is>
          <t>KRISTINEHAMN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44722</v>
      </c>
      <c r="E330" s="1" t="n">
        <v>46231</v>
      </c>
      <c r="F330" t="inlineStr">
        <is>
          <t>VÄRMLANDS LÄN</t>
        </is>
      </c>
      <c r="G330" t="inlineStr">
        <is>
          <t>KRISTINEHAMN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23706-2022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44722</v>
      </c>
      <c r="E331" s="1" t="n">
        <v>46231</v>
      </c>
      <c r="F331" t="inlineStr">
        <is>
          <t>VÄRMLANDS LÄN</t>
        </is>
      </c>
      <c r="G331" t="inlineStr">
        <is>
          <t>KRISTINEHAMN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56315-2025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45974</v>
      </c>
      <c r="E332" s="1" t="n">
        <v>46231</v>
      </c>
      <c r="F332" t="inlineStr">
        <is>
          <t>VÄRMLANDS LÄN</t>
        </is>
      </c>
      <c r="G332" t="inlineStr">
        <is>
          <t>KRISTINEHAMN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45666</v>
      </c>
      <c r="E333" s="1" t="n">
        <v>46231</v>
      </c>
      <c r="F333" t="inlineStr">
        <is>
          <t>VÄRMLANDS LÄN</t>
        </is>
      </c>
      <c r="G333" t="inlineStr">
        <is>
          <t>KRISTINEHAMN</t>
        </is>
      </c>
      <c r="I333" t="n">
        <v>8.699999999999999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46037</v>
      </c>
      <c r="E334" s="1" t="n">
        <v>46231</v>
      </c>
      <c r="F334" t="inlineStr">
        <is>
          <t>VÄRMLANDS LÄN</t>
        </is>
      </c>
      <c r="G334" t="inlineStr">
        <is>
          <t>KRISTINEHAMN</t>
        </is>
      </c>
      <c r="I334" t="n">
        <v>11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42597-2023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45181</v>
      </c>
      <c r="E335" s="1" t="n">
        <v>46231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47371-2023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46231</v>
      </c>
      <c r="F336" t="inlineStr">
        <is>
          <t>VÄRMLANDS LÄN</t>
        </is>
      </c>
      <c r="G336" t="inlineStr">
        <is>
          <t>KRISTINEHAMN</t>
        </is>
      </c>
      <c r="I336" t="n">
        <v>10.1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45769</v>
      </c>
      <c r="E337" s="1" t="n">
        <v>46231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Kyrkan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56671-2023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46231</v>
      </c>
      <c r="F338" t="inlineStr">
        <is>
          <t>VÄRMLANDS LÄN</t>
        </is>
      </c>
      <c r="G338" t="inlineStr">
        <is>
          <t>KRISTINEHAMN</t>
        </is>
      </c>
      <c r="I338" t="n">
        <v>8.699999999999999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44749</v>
      </c>
      <c r="E339" s="1" t="n">
        <v>46231</v>
      </c>
      <c r="F339" t="inlineStr">
        <is>
          <t>VÄRMLANDS LÄN</t>
        </is>
      </c>
      <c r="G339" t="inlineStr">
        <is>
          <t>KRISTINEHAMN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46230</v>
      </c>
      <c r="E340" s="1" t="n">
        <v>46231</v>
      </c>
      <c r="F340" t="inlineStr">
        <is>
          <t>VÄRMLANDS LÄN</t>
        </is>
      </c>
      <c r="G340" t="inlineStr">
        <is>
          <t>KRISTINEHAMN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46231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Naturvårdsverket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45631</v>
      </c>
      <c r="E342" s="1" t="n">
        <v>46231</v>
      </c>
      <c r="F342" t="inlineStr">
        <is>
          <t>VÄRMLANDS LÄN</t>
        </is>
      </c>
      <c r="G342" t="inlineStr">
        <is>
          <t>KRISTINEHAMN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45191</v>
      </c>
      <c r="E343" s="1" t="n">
        <v>46231</v>
      </c>
      <c r="F343" t="inlineStr">
        <is>
          <t>VÄRMLANDS LÄN</t>
        </is>
      </c>
      <c r="G343" t="inlineStr">
        <is>
          <t>KRISTINEHAMN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48405-2023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45201</v>
      </c>
      <c r="E344" s="1" t="n">
        <v>46231</v>
      </c>
      <c r="F344" t="inlineStr">
        <is>
          <t>VÄRMLANDS LÄN</t>
        </is>
      </c>
      <c r="G344" t="inlineStr">
        <is>
          <t>KRISTINEHAMN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46231</v>
      </c>
      <c r="F345" t="inlineStr">
        <is>
          <t>VÄRMLANDS LÄN</t>
        </is>
      </c>
      <c r="G345" t="inlineStr">
        <is>
          <t>KRISTINEHAMN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37742-2023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45159</v>
      </c>
      <c r="E346" s="1" t="n">
        <v>46231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45315</v>
      </c>
      <c r="E347" s="1" t="n">
        <v>46231</v>
      </c>
      <c r="F347" t="inlineStr">
        <is>
          <t>VÄRMLANDS LÄN</t>
        </is>
      </c>
      <c r="G347" t="inlineStr">
        <is>
          <t>KRISTINEHAMN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46231</v>
      </c>
      <c r="F348" t="inlineStr">
        <is>
          <t>VÄRMLANDS LÄN</t>
        </is>
      </c>
      <c r="G348" t="inlineStr">
        <is>
          <t>KRISTINEHAMN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60381-2025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45995</v>
      </c>
      <c r="E349" s="1" t="n">
        <v>46231</v>
      </c>
      <c r="F349" t="inlineStr">
        <is>
          <t>VÄRMLANDS LÄN</t>
        </is>
      </c>
      <c r="G349" t="inlineStr">
        <is>
          <t>KRISTINEHAMN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7222-2024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45344</v>
      </c>
      <c r="E350" s="1" t="n">
        <v>46231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Naturvårdsverket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42408-2022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44831</v>
      </c>
      <c r="E351" s="1" t="n">
        <v>46231</v>
      </c>
      <c r="F351" t="inlineStr">
        <is>
          <t>VÄRMLANDS LÄN</t>
        </is>
      </c>
      <c r="G351" t="inlineStr">
        <is>
          <t>KRISTINEHAMN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60363-2025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46231</v>
      </c>
      <c r="F352" t="inlineStr">
        <is>
          <t>VÄRMLANDS LÄN</t>
        </is>
      </c>
      <c r="G352" t="inlineStr">
        <is>
          <t>KRISTINEHAMN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61048-2025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46231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Bergvik skog väst AB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46231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Naturvårdsverket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61081-2025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46000</v>
      </c>
      <c r="E355" s="1" t="n">
        <v>46231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Naturvårdsverket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46231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46231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Bergvik skog väst AB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46231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45097</v>
      </c>
      <c r="E359" s="1" t="n">
        <v>46231</v>
      </c>
      <c r="F359" t="inlineStr">
        <is>
          <t>VÄRMLANDS LÄN</t>
        </is>
      </c>
      <c r="G359" t="inlineStr">
        <is>
          <t>KRISTINEHAMN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45202</v>
      </c>
      <c r="E360" s="1" t="n">
        <v>46231</v>
      </c>
      <c r="F360" t="inlineStr">
        <is>
          <t>VÄRMLANDS LÄN</t>
        </is>
      </c>
      <c r="G360" t="inlineStr">
        <is>
          <t>KRISTINEHAMN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56522-2021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44480</v>
      </c>
      <c r="E361" s="1" t="n">
        <v>46231</v>
      </c>
      <c r="F361" t="inlineStr">
        <is>
          <t>VÄRMLANDS LÄN</t>
        </is>
      </c>
      <c r="G361" t="inlineStr">
        <is>
          <t>KRISTINEHAMN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46001</v>
      </c>
      <c r="E362" s="1" t="n">
        <v>46231</v>
      </c>
      <c r="F362" t="inlineStr">
        <is>
          <t>VÄRMLANDS LÄN</t>
        </is>
      </c>
      <c r="G362" t="inlineStr">
        <is>
          <t>KRISTINEHAMN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45303</v>
      </c>
      <c r="E363" s="1" t="n">
        <v>46231</v>
      </c>
      <c r="F363" t="inlineStr">
        <is>
          <t>VÄRMLANDS LÄN</t>
        </is>
      </c>
      <c r="G363" t="inlineStr">
        <is>
          <t>KRISTINEHAMN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12395-2024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45379</v>
      </c>
      <c r="E364" s="1" t="n">
        <v>46231</v>
      </c>
      <c r="F364" t="inlineStr">
        <is>
          <t>VÄRMLANDS LÄN</t>
        </is>
      </c>
      <c r="G364" t="inlineStr">
        <is>
          <t>KRISTINEHAMN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46003</v>
      </c>
      <c r="E365" s="1" t="n">
        <v>46231</v>
      </c>
      <c r="F365" t="inlineStr">
        <is>
          <t>VÄRMLANDS LÄN</t>
        </is>
      </c>
      <c r="G365" t="inlineStr">
        <is>
          <t>KRISTINEHAMN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46231</v>
      </c>
      <c r="F366" t="inlineStr">
        <is>
          <t>VÄRMLANDS LÄN</t>
        </is>
      </c>
      <c r="G366" t="inlineStr">
        <is>
          <t>KRISTINEHAMN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62349-2025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46006</v>
      </c>
      <c r="E367" s="1" t="n">
        <v>46231</v>
      </c>
      <c r="F367" t="inlineStr">
        <is>
          <t>VÄRMLANDS LÄN</t>
        </is>
      </c>
      <c r="G367" t="inlineStr">
        <is>
          <t>KRISTINEHAMN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63016-2025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46009</v>
      </c>
      <c r="E368" s="1" t="n">
        <v>46231</v>
      </c>
      <c r="F368" t="inlineStr">
        <is>
          <t>VÄRMLANDS LÄN</t>
        </is>
      </c>
      <c r="G368" t="inlineStr">
        <is>
          <t>KRISTINEHAMN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63018-2025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46231</v>
      </c>
      <c r="F369" t="inlineStr">
        <is>
          <t>VÄRMLANDS LÄN</t>
        </is>
      </c>
      <c r="G369" t="inlineStr">
        <is>
          <t>KRISTINEHAMN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45244</v>
      </c>
      <c r="E370" s="1" t="n">
        <v>46231</v>
      </c>
      <c r="F370" t="inlineStr">
        <is>
          <t>VÄRMLANDS LÄN</t>
        </is>
      </c>
      <c r="G370" t="inlineStr">
        <is>
          <t>KRISTINEHAMN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45681</v>
      </c>
      <c r="E371" s="1" t="n">
        <v>46231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Kommuner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45678</v>
      </c>
      <c r="E372" s="1" t="n">
        <v>46231</v>
      </c>
      <c r="F372" t="inlineStr">
        <is>
          <t>VÄRMLANDS LÄN</t>
        </is>
      </c>
      <c r="G372" t="inlineStr">
        <is>
          <t>KRISTINEHAMN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47951-2021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44448</v>
      </c>
      <c r="E373" s="1" t="n">
        <v>46231</v>
      </c>
      <c r="F373" t="inlineStr">
        <is>
          <t>VÄRMLANDS LÄN</t>
        </is>
      </c>
      <c r="G373" t="inlineStr">
        <is>
          <t>KRISTINEHAMN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13293-2024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45386</v>
      </c>
      <c r="E374" s="1" t="n">
        <v>46231</v>
      </c>
      <c r="F374" t="inlineStr">
        <is>
          <t>VÄRMLANDS LÄN</t>
        </is>
      </c>
      <c r="G374" t="inlineStr">
        <is>
          <t>KRISTINEHAMN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45302</v>
      </c>
      <c r="E375" s="1" t="n">
        <v>46231</v>
      </c>
      <c r="F375" t="inlineStr">
        <is>
          <t>VÄRMLANDS LÄN</t>
        </is>
      </c>
      <c r="G375" t="inlineStr">
        <is>
          <t>KRISTINEHAMN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45681</v>
      </c>
      <c r="E376" s="1" t="n">
        <v>46231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Kommuner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42947-2021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44431</v>
      </c>
      <c r="E377" s="1" t="n">
        <v>46231</v>
      </c>
      <c r="F377" t="inlineStr">
        <is>
          <t>VÄRMLANDS LÄN</t>
        </is>
      </c>
      <c r="G377" t="inlineStr">
        <is>
          <t>KRISTINEHAMN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38490-2021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44407</v>
      </c>
      <c r="E378" s="1" t="n">
        <v>46231</v>
      </c>
      <c r="F378" t="inlineStr">
        <is>
          <t>VÄRMLANDS LÄN</t>
        </is>
      </c>
      <c r="G378" t="inlineStr">
        <is>
          <t>KRISTINEHAMN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45477</v>
      </c>
      <c r="E379" s="1" t="n">
        <v>46231</v>
      </c>
      <c r="F379" t="inlineStr">
        <is>
          <t>VÄRMLANDS LÄN</t>
        </is>
      </c>
      <c r="G379" t="inlineStr">
        <is>
          <t>KRISTINEHAMN</t>
        </is>
      </c>
      <c r="I379" t="n">
        <v>6.8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46231</v>
      </c>
      <c r="F380" t="inlineStr">
        <is>
          <t>VÄRMLANDS LÄN</t>
        </is>
      </c>
      <c r="G380" t="inlineStr">
        <is>
          <t>KRISTINEHAMN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44651</v>
      </c>
      <c r="E381" s="1" t="n">
        <v>46231</v>
      </c>
      <c r="F381" t="inlineStr">
        <is>
          <t>VÄRMLANDS LÄN</t>
        </is>
      </c>
      <c r="G381" t="inlineStr">
        <is>
          <t>KRISTINEHAMN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45563-2022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44841</v>
      </c>
      <c r="E382" s="1" t="n">
        <v>46231</v>
      </c>
      <c r="F382" t="inlineStr">
        <is>
          <t>VÄRMLANDS LÄN</t>
        </is>
      </c>
      <c r="G382" t="inlineStr">
        <is>
          <t>KRISTINEHAMN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27210-2022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44741</v>
      </c>
      <c r="E383" s="1" t="n">
        <v>46231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45302</v>
      </c>
      <c r="E384" s="1" t="n">
        <v>46231</v>
      </c>
      <c r="F384" t="inlineStr">
        <is>
          <t>VÄRMLANDS LÄN</t>
        </is>
      </c>
      <c r="G384" t="inlineStr">
        <is>
          <t>KRISTINEHAMN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40988-2021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44421</v>
      </c>
      <c r="E385" s="1" t="n">
        <v>46231</v>
      </c>
      <c r="F385" t="inlineStr">
        <is>
          <t>VÄRMLANDS LÄN</t>
        </is>
      </c>
      <c r="G385" t="inlineStr">
        <is>
          <t>KRISTINEHAMN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45203</v>
      </c>
      <c r="E386" s="1" t="n">
        <v>46231</v>
      </c>
      <c r="F386" t="inlineStr">
        <is>
          <t>VÄRMLANDS LÄN</t>
        </is>
      </c>
      <c r="G386" t="inlineStr">
        <is>
          <t>KRISTINEHAMN</t>
        </is>
      </c>
      <c r="I386" t="n">
        <v>9.300000000000001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24710-2024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45460</v>
      </c>
      <c r="E387" s="1" t="n">
        <v>46231</v>
      </c>
      <c r="F387" t="inlineStr">
        <is>
          <t>VÄRMLANDS LÄN</t>
        </is>
      </c>
      <c r="G387" t="inlineStr">
        <is>
          <t>KRISTINEHAMN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51616-2023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45222</v>
      </c>
      <c r="E388" s="1" t="n">
        <v>46231</v>
      </c>
      <c r="F388" t="inlineStr">
        <is>
          <t>VÄRMLANDS LÄN</t>
        </is>
      </c>
      <c r="G388" t="inlineStr">
        <is>
          <t>KRISTINEHAMN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58616-2021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44489</v>
      </c>
      <c r="E389" s="1" t="n">
        <v>46231</v>
      </c>
      <c r="F389" t="inlineStr">
        <is>
          <t>VÄRMLANDS LÄN</t>
        </is>
      </c>
      <c r="G389" t="inlineStr">
        <is>
          <t>KRISTINEHAMN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28827-2024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45478</v>
      </c>
      <c r="E390" s="1" t="n">
        <v>46231</v>
      </c>
      <c r="F390" t="inlineStr">
        <is>
          <t>VÄRMLANDS LÄN</t>
        </is>
      </c>
      <c r="G390" t="inlineStr">
        <is>
          <t>KRISTINEHAMN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45478</v>
      </c>
      <c r="E391" s="1" t="n">
        <v>46231</v>
      </c>
      <c r="F391" t="inlineStr">
        <is>
          <t>VÄRMLANDS LÄN</t>
        </is>
      </c>
      <c r="G391" t="inlineStr">
        <is>
          <t>KRISTINEHAMN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36792-2023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45154</v>
      </c>
      <c r="E392" s="1" t="n">
        <v>46231</v>
      </c>
      <c r="F392" t="inlineStr">
        <is>
          <t>VÄRMLANDS LÄN</t>
        </is>
      </c>
      <c r="G392" t="inlineStr">
        <is>
          <t>KRISTINEHAMN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46231</v>
      </c>
      <c r="F393" t="inlineStr">
        <is>
          <t>VÄRMLANDS LÄN</t>
        </is>
      </c>
      <c r="G393" t="inlineStr">
        <is>
          <t>KRISTINEHAMN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45098</v>
      </c>
      <c r="E394" s="1" t="n">
        <v>46231</v>
      </c>
      <c r="F394" t="inlineStr">
        <is>
          <t>VÄRMLANDS LÄN</t>
        </is>
      </c>
      <c r="G394" t="inlineStr">
        <is>
          <t>KRISTINEHAMN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45701</v>
      </c>
      <c r="E395" s="1" t="n">
        <v>46231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Naturvårdsverket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68526-2021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44526</v>
      </c>
      <c r="E396" s="1" t="n">
        <v>46231</v>
      </c>
      <c r="F396" t="inlineStr">
        <is>
          <t>VÄRMLANDS LÄN</t>
        </is>
      </c>
      <c r="G396" t="inlineStr">
        <is>
          <t>KRISTINEHAMN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68530-2021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44526</v>
      </c>
      <c r="E397" s="1" t="n">
        <v>46231</v>
      </c>
      <c r="F397" t="inlineStr">
        <is>
          <t>VÄRMLANDS LÄN</t>
        </is>
      </c>
      <c r="G397" t="inlineStr">
        <is>
          <t>KRISTINEHAMN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29017-2023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46231</v>
      </c>
      <c r="F398" t="inlineStr">
        <is>
          <t>VÄRMLANDS LÄN</t>
        </is>
      </c>
      <c r="G398" t="inlineStr">
        <is>
          <t>KRISTINEHAMN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5505-2022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44595</v>
      </c>
      <c r="E399" s="1" t="n">
        <v>46231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Kommuner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5507-2022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44595</v>
      </c>
      <c r="E400" s="1" t="n">
        <v>46231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Kommuner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46231</v>
      </c>
      <c r="F401" t="inlineStr">
        <is>
          <t>VÄRMLANDS LÄN</t>
        </is>
      </c>
      <c r="G401" t="inlineStr">
        <is>
          <t>KRISTINEHAMN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45243</v>
      </c>
      <c r="E402" s="1" t="n">
        <v>46231</v>
      </c>
      <c r="F402" t="inlineStr">
        <is>
          <t>VÄRMLANDS LÄN</t>
        </is>
      </c>
      <c r="G402" t="inlineStr">
        <is>
          <t>KRISTINEHAMN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46231</v>
      </c>
      <c r="F403" t="inlineStr">
        <is>
          <t>VÄRMLANDS LÄN</t>
        </is>
      </c>
      <c r="G403" t="inlineStr">
        <is>
          <t>KRISTINEHAMN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45322</v>
      </c>
      <c r="E404" s="1" t="n">
        <v>46231</v>
      </c>
      <c r="F404" t="inlineStr">
        <is>
          <t>VÄRMLANDS LÄN</t>
        </is>
      </c>
      <c r="G404" t="inlineStr">
        <is>
          <t>KRISTINEHAMN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45266</v>
      </c>
      <c r="E405" s="1" t="n">
        <v>46231</v>
      </c>
      <c r="F405" t="inlineStr">
        <is>
          <t>VÄRMLANDS LÄN</t>
        </is>
      </c>
      <c r="G405" t="inlineStr">
        <is>
          <t>KRISTINEHAMN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8758-2023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44978</v>
      </c>
      <c r="E406" s="1" t="n">
        <v>46231</v>
      </c>
      <c r="F406" t="inlineStr">
        <is>
          <t>VÄRMLANDS LÄN</t>
        </is>
      </c>
      <c r="G406" t="inlineStr">
        <is>
          <t>KRISTINEHAMN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28152-2022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44746</v>
      </c>
      <c r="E407" s="1" t="n">
        <v>46231</v>
      </c>
      <c r="F407" t="inlineStr">
        <is>
          <t>VÄRMLANDS LÄN</t>
        </is>
      </c>
      <c r="G407" t="inlineStr">
        <is>
          <t>KRISTINEHAMN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59862-2024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45639</v>
      </c>
      <c r="E408" s="1" t="n">
        <v>46231</v>
      </c>
      <c r="F408" t="inlineStr">
        <is>
          <t>VÄRMLANDS LÄN</t>
        </is>
      </c>
      <c r="G408" t="inlineStr">
        <is>
          <t>KRISTINEHAMN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23246-2024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45450</v>
      </c>
      <c r="E409" s="1" t="n">
        <v>46231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Kommuner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22896-2023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45072</v>
      </c>
      <c r="E410" s="1" t="n">
        <v>46231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Bergvik skog väst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39779-2023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45167</v>
      </c>
      <c r="E411" s="1" t="n">
        <v>46231</v>
      </c>
      <c r="F411" t="inlineStr">
        <is>
          <t>VÄRMLANDS LÄN</t>
        </is>
      </c>
      <c r="G411" t="inlineStr">
        <is>
          <t>KRISTINEHAMN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8557-2023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44972</v>
      </c>
      <c r="E412" s="1" t="n">
        <v>46231</v>
      </c>
      <c r="F412" t="inlineStr">
        <is>
          <t>VÄRMLANDS LÄN</t>
        </is>
      </c>
      <c r="G412" t="inlineStr">
        <is>
          <t>KRISTINEHAMN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21861-2023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45068</v>
      </c>
      <c r="E413" s="1" t="n">
        <v>46231</v>
      </c>
      <c r="F413" t="inlineStr">
        <is>
          <t>VÄRMLANDS LÄN</t>
        </is>
      </c>
      <c r="G413" t="inlineStr">
        <is>
          <t>KRISTINEHAMN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45202</v>
      </c>
      <c r="E414" s="1" t="n">
        <v>46231</v>
      </c>
      <c r="F414" t="inlineStr">
        <is>
          <t>VÄRMLANDS LÄN</t>
        </is>
      </c>
      <c r="G414" t="inlineStr">
        <is>
          <t>KRISTINEHAMN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45401</v>
      </c>
      <c r="E415" s="1" t="n">
        <v>46231</v>
      </c>
      <c r="F415" t="inlineStr">
        <is>
          <t>VÄRMLANDS LÄN</t>
        </is>
      </c>
      <c r="G415" t="inlineStr">
        <is>
          <t>KRISTINEHAMN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45141</v>
      </c>
      <c r="E416" s="1" t="n">
        <v>46231</v>
      </c>
      <c r="F416" t="inlineStr">
        <is>
          <t>VÄRMLANDS LÄN</t>
        </is>
      </c>
      <c r="G416" t="inlineStr">
        <is>
          <t>KRISTINEHAMN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46231</v>
      </c>
      <c r="F417" t="inlineStr">
        <is>
          <t>VÄRMLANDS LÄN</t>
        </is>
      </c>
      <c r="G417" t="inlineStr">
        <is>
          <t>KRISTINEHAMN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56664-2023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45243</v>
      </c>
      <c r="E418" s="1" t="n">
        <v>46231</v>
      </c>
      <c r="F418" t="inlineStr">
        <is>
          <t>VÄRMLANDS LÄN</t>
        </is>
      </c>
      <c r="G418" t="inlineStr">
        <is>
          <t>KRISTINEHAMN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45315</v>
      </c>
      <c r="E419" s="1" t="n">
        <v>46231</v>
      </c>
      <c r="F419" t="inlineStr">
        <is>
          <t>VÄRMLANDS LÄN</t>
        </is>
      </c>
      <c r="G419" t="inlineStr">
        <is>
          <t>KRISTINEHAMN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56668-2023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45243</v>
      </c>
      <c r="E420" s="1" t="n">
        <v>46231</v>
      </c>
      <c r="F420" t="inlineStr">
        <is>
          <t>VÄRMLANDS LÄN</t>
        </is>
      </c>
      <c r="G420" t="inlineStr">
        <is>
          <t>KRISTINEHAMN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39778-2023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45167</v>
      </c>
      <c r="E421" s="1" t="n">
        <v>46231</v>
      </c>
      <c r="F421" t="inlineStr">
        <is>
          <t>VÄRMLANDS LÄN</t>
        </is>
      </c>
      <c r="G421" t="inlineStr">
        <is>
          <t>KRISTINEHAMN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45323</v>
      </c>
      <c r="E422" s="1" t="n">
        <v>46231</v>
      </c>
      <c r="F422" t="inlineStr">
        <is>
          <t>VÄRMLANDS LÄN</t>
        </is>
      </c>
      <c r="G422" t="inlineStr">
        <is>
          <t>KRISTINEHAMN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10032-2023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44985</v>
      </c>
      <c r="E423" s="1" t="n">
        <v>46231</v>
      </c>
      <c r="F423" t="inlineStr">
        <is>
          <t>VÄRMLANDS LÄN</t>
        </is>
      </c>
      <c r="G423" t="inlineStr">
        <is>
          <t>KRISTINEHAMN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11020-2023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44991</v>
      </c>
      <c r="E424" s="1" t="n">
        <v>46231</v>
      </c>
      <c r="F424" t="inlineStr">
        <is>
          <t>VÄRMLANDS LÄN</t>
        </is>
      </c>
      <c r="G424" t="inlineStr">
        <is>
          <t>KRISTINEHAMN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58284-2024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45631</v>
      </c>
      <c r="E425" s="1" t="n">
        <v>46231</v>
      </c>
      <c r="F425" t="inlineStr">
        <is>
          <t>VÄRMLANDS LÄN</t>
        </is>
      </c>
      <c r="G425" t="inlineStr">
        <is>
          <t>KRISTINEHAMN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27531-2022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44742</v>
      </c>
      <c r="E426" s="1" t="n">
        <v>46231</v>
      </c>
      <c r="F426" t="inlineStr">
        <is>
          <t>VÄRMLANDS LÄN</t>
        </is>
      </c>
      <c r="G426" t="inlineStr">
        <is>
          <t>KRISTINEHAMN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7695-2025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45705</v>
      </c>
      <c r="E427" s="1" t="n">
        <v>46231</v>
      </c>
      <c r="F427" t="inlineStr">
        <is>
          <t>VÄRMLANDS LÄN</t>
        </is>
      </c>
      <c r="G427" t="inlineStr">
        <is>
          <t>KRISTINEHAMN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13118-2025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45734</v>
      </c>
      <c r="E428" s="1" t="n">
        <v>46231</v>
      </c>
      <c r="F428" t="inlineStr">
        <is>
          <t>VÄRMLANDS LÄN</t>
        </is>
      </c>
      <c r="G428" t="inlineStr">
        <is>
          <t>KRISTINEHAMN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45202</v>
      </c>
      <c r="E429" s="1" t="n">
        <v>46231</v>
      </c>
      <c r="F429" t="inlineStr">
        <is>
          <t>VÄRMLANDS LÄN</t>
        </is>
      </c>
      <c r="G429" t="inlineStr">
        <is>
          <t>KRISTINEHAMN</t>
        </is>
      </c>
      <c r="I429" t="n">
        <v>10.4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51700-2023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45222</v>
      </c>
      <c r="E430" s="1" t="n">
        <v>46231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Bergvik skog väst AB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12458-2024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45379</v>
      </c>
      <c r="E431" s="1" t="n">
        <v>46231</v>
      </c>
      <c r="F431" t="inlineStr">
        <is>
          <t>VÄRMLANDS LÄN</t>
        </is>
      </c>
      <c r="G431" t="inlineStr">
        <is>
          <t>KRISTINEHAMN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59203-2024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45636</v>
      </c>
      <c r="E432" s="1" t="n">
        <v>46231</v>
      </c>
      <c r="F432" t="inlineStr">
        <is>
          <t>VÄRMLANDS LÄN</t>
        </is>
      </c>
      <c r="G432" t="inlineStr">
        <is>
          <t>KRISTINEHAMN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45679</v>
      </c>
      <c r="E433" s="1" t="n">
        <v>46231</v>
      </c>
      <c r="F433" t="inlineStr">
        <is>
          <t>VÄRMLANDS LÄN</t>
        </is>
      </c>
      <c r="G433" t="inlineStr">
        <is>
          <t>KRISTINEHAMN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45693</v>
      </c>
      <c r="E434" s="1" t="n">
        <v>46231</v>
      </c>
      <c r="F434" t="inlineStr">
        <is>
          <t>VÄRMLANDS LÄN</t>
        </is>
      </c>
      <c r="G434" t="inlineStr">
        <is>
          <t>KRISTINEHAMN</t>
        </is>
      </c>
      <c r="I434" t="n">
        <v>8.699999999999999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45685</v>
      </c>
      <c r="E435" s="1" t="n">
        <v>46231</v>
      </c>
      <c r="F435" t="inlineStr">
        <is>
          <t>VÄRMLANDS LÄN</t>
        </is>
      </c>
      <c r="G435" t="inlineStr">
        <is>
          <t>KRISTINEHAMN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21602-2025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45783</v>
      </c>
      <c r="E436" s="1" t="n">
        <v>46231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59190-2024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45636</v>
      </c>
      <c r="E437" s="1" t="n">
        <v>46231</v>
      </c>
      <c r="F437" t="inlineStr">
        <is>
          <t>VÄRMLANDS LÄN</t>
        </is>
      </c>
      <c r="G437" t="inlineStr">
        <is>
          <t>KRISTINEHAMN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45792</v>
      </c>
      <c r="E438" s="1" t="n">
        <v>46231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45792</v>
      </c>
      <c r="E439" s="1" t="n">
        <v>46231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45792</v>
      </c>
      <c r="E440" s="1" t="n">
        <v>46231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23511-2025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45792</v>
      </c>
      <c r="E441" s="1" t="n">
        <v>46231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36774-2022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44805</v>
      </c>
      <c r="E442" s="1" t="n">
        <v>46231</v>
      </c>
      <c r="F442" t="inlineStr">
        <is>
          <t>VÄRMLANDS LÄN</t>
        </is>
      </c>
      <c r="G442" t="inlineStr">
        <is>
          <t>KRISTINEHAMN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23510-2025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45792</v>
      </c>
      <c r="E443" s="1" t="n">
        <v>46231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45686</v>
      </c>
      <c r="E444" s="1" t="n">
        <v>46231</v>
      </c>
      <c r="F444" t="inlineStr">
        <is>
          <t>VÄRMLANDS LÄN</t>
        </is>
      </c>
      <c r="G444" t="inlineStr">
        <is>
          <t>KRISTINEHAMN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65055-2023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45282</v>
      </c>
      <c r="E445" s="1" t="n">
        <v>46231</v>
      </c>
      <c r="F445" t="inlineStr">
        <is>
          <t>VÄRMLANDS LÄN</t>
        </is>
      </c>
      <c r="G445" t="inlineStr">
        <is>
          <t>KRISTINEHAMN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45407</v>
      </c>
      <c r="E446" s="1" t="n">
        <v>46231</v>
      </c>
      <c r="F446" t="inlineStr">
        <is>
          <t>VÄRMLANDS LÄN</t>
        </is>
      </c>
      <c r="G446" t="inlineStr">
        <is>
          <t>KRISTINEHAMN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45674</v>
      </c>
      <c r="E447" s="1" t="n">
        <v>46231</v>
      </c>
      <c r="F447" t="inlineStr">
        <is>
          <t>VÄRMLANDS LÄN</t>
        </is>
      </c>
      <c r="G447" t="inlineStr">
        <is>
          <t>KRISTINEHAMN</t>
        </is>
      </c>
      <c r="I447" t="n">
        <v>9.699999999999999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6609-2025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46231</v>
      </c>
      <c r="F448" t="inlineStr">
        <is>
          <t>VÄRMLANDS LÄN</t>
        </is>
      </c>
      <c r="G448" t="inlineStr">
        <is>
          <t>KRISTINEHAMN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39997-2024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45553</v>
      </c>
      <c r="E449" s="1" t="n">
        <v>46231</v>
      </c>
      <c r="F449" t="inlineStr">
        <is>
          <t>VÄRMLANDS LÄN</t>
        </is>
      </c>
      <c r="G449" t="inlineStr">
        <is>
          <t>KRISTINEHAMN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45012-2024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45575</v>
      </c>
      <c r="E450" s="1" t="n">
        <v>46231</v>
      </c>
      <c r="F450" t="inlineStr">
        <is>
          <t>VÄRMLANDS LÄN</t>
        </is>
      </c>
      <c r="G450" t="inlineStr">
        <is>
          <t>KRISTINEHAMN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24655-2025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45798</v>
      </c>
      <c r="E451" s="1" t="n">
        <v>46231</v>
      </c>
      <c r="F451" t="inlineStr">
        <is>
          <t>VÄRMLANDS LÄN</t>
        </is>
      </c>
      <c r="G451" t="inlineStr">
        <is>
          <t>KRISTINEHAMN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1219-2020</t>
        </is>
      </c>
      <c r="B452" t="inlineStr">
        <is>
          <t>samrådsanmälan</t>
        </is>
      </c>
      <c r="C452" t="n">
        <v/>
      </c>
      <c r="D452" s="1" t="n">
        <v>43980</v>
      </c>
      <c r="E452" s="1" t="n">
        <v>46231</v>
      </c>
      <c r="F452" t="inlineStr">
        <is>
          <t>VÄRMLANDS LÄN</t>
        </is>
      </c>
      <c r="G452" t="inlineStr">
        <is>
          <t>KRISTINEHAMN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1815-2022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44657</v>
      </c>
      <c r="E453" s="1" t="n">
        <v>46231</v>
      </c>
      <c r="F453" t="inlineStr">
        <is>
          <t>VÄRMLANDS LÄN</t>
        </is>
      </c>
      <c r="G453" t="inlineStr">
        <is>
          <t>KRISTINEHAMN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2879-2022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44711</v>
      </c>
      <c r="E454" s="1" t="n">
        <v>46231</v>
      </c>
      <c r="F454" t="inlineStr">
        <is>
          <t>VÄRMLANDS LÄN</t>
        </is>
      </c>
      <c r="G454" t="inlineStr">
        <is>
          <t>KRISTINEHAMN</t>
        </is>
      </c>
      <c r="I454" t="n">
        <v>25.9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2393-2022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44690</v>
      </c>
      <c r="E455" s="1" t="n">
        <v>46231</v>
      </c>
      <c r="F455" t="inlineStr">
        <is>
          <t>VÄRMLANDS LÄN</t>
        </is>
      </c>
      <c r="G455" t="inlineStr">
        <is>
          <t>KRISTINEHAMN</t>
        </is>
      </c>
      <c r="I455" t="n">
        <v>51.7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4147-2023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46231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4149-2023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45247</v>
      </c>
      <c r="E457" s="1" t="n">
        <v>46231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9.5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2254-2023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45103</v>
      </c>
      <c r="E458" s="1" t="n">
        <v>46231</v>
      </c>
      <c r="F458" t="inlineStr">
        <is>
          <t>VÄRMLANDS LÄN</t>
        </is>
      </c>
      <c r="G458" t="inlineStr">
        <is>
          <t>KRISTINEHAMN</t>
        </is>
      </c>
      <c r="I458" t="n">
        <v>51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1899-2024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45442</v>
      </c>
      <c r="E459" s="1" t="n">
        <v>46231</v>
      </c>
      <c r="F459" t="inlineStr">
        <is>
          <t>VÄRMLANDS LÄN</t>
        </is>
      </c>
      <c r="G459" t="inlineStr">
        <is>
          <t>KRISTINEHAMN</t>
        </is>
      </c>
      <c r="I459" t="n">
        <v>21.4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2301-2024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45463</v>
      </c>
      <c r="E460" s="1" t="n">
        <v>46231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Bergvik skog väst AB</t>
        </is>
      </c>
      <c r="I460" t="n">
        <v>28.1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2553-2024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46231</v>
      </c>
      <c r="F461" t="inlineStr">
        <is>
          <t>VÄRMLANDS LÄN</t>
        </is>
      </c>
      <c r="G461" t="inlineStr">
        <is>
          <t>KRISTINEHAMN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3378-2024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45533</v>
      </c>
      <c r="E462" s="1" t="n">
        <v>46231</v>
      </c>
      <c r="F462" t="inlineStr">
        <is>
          <t>VÄRMLANDS LÄN</t>
        </is>
      </c>
      <c r="G462" t="inlineStr">
        <is>
          <t>KRISTINEHAMN</t>
        </is>
      </c>
      <c r="I462" t="n">
        <v>53.7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1903-2024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45442</v>
      </c>
      <c r="E463" s="1" t="n">
        <v>46231</v>
      </c>
      <c r="F463" t="inlineStr">
        <is>
          <t>VÄRMLANDS LÄN</t>
        </is>
      </c>
      <c r="G463" t="inlineStr">
        <is>
          <t>KRISTINEHAMN</t>
        </is>
      </c>
      <c r="I463" t="n">
        <v>104.3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717-2023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44985</v>
      </c>
      <c r="E464" s="1" t="n">
        <v>46231</v>
      </c>
      <c r="F464" t="inlineStr">
        <is>
          <t>VÄRMLANDS LÄN</t>
        </is>
      </c>
      <c r="G464" t="inlineStr">
        <is>
          <t>KRISTINEHAMN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1412-2024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45414</v>
      </c>
      <c r="E465" s="1" t="n">
        <v>46231</v>
      </c>
      <c r="F465" t="inlineStr">
        <is>
          <t>VÄRMLANDS LÄN</t>
        </is>
      </c>
      <c r="G465" t="inlineStr">
        <is>
          <t>KRISTINEHAMN</t>
        </is>
      </c>
      <c r="I465" t="n">
        <v>42.9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1900-2024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45442</v>
      </c>
      <c r="E466" s="1" t="n">
        <v>46231</v>
      </c>
      <c r="F466" t="inlineStr">
        <is>
          <t>VÄRMLANDS LÄN</t>
        </is>
      </c>
      <c r="G466" t="inlineStr">
        <is>
          <t>KRISTINEHAMN</t>
        </is>
      </c>
      <c r="I466" t="n">
        <v>63.5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3374-2024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45533</v>
      </c>
      <c r="E467" s="1" t="n">
        <v>46231</v>
      </c>
      <c r="F467" t="inlineStr">
        <is>
          <t>VÄRMLANDS LÄN</t>
        </is>
      </c>
      <c r="G467" t="inlineStr">
        <is>
          <t>KRISTINEHAMN</t>
        </is>
      </c>
      <c r="I467" t="n">
        <v>18.3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2464-2023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45118</v>
      </c>
      <c r="E468" s="1" t="n">
        <v>46231</v>
      </c>
      <c r="F468" t="inlineStr">
        <is>
          <t>VÄRMLANDS LÄN</t>
        </is>
      </c>
      <c r="G468" t="inlineStr">
        <is>
          <t>KRISTINEHAMN</t>
        </is>
      </c>
      <c r="I468" t="n">
        <v>42.3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4146-2023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45247</v>
      </c>
      <c r="E469" s="1" t="n">
        <v>46231</v>
      </c>
      <c r="F469" t="inlineStr">
        <is>
          <t>VÄRMLANDS LÄN</t>
        </is>
      </c>
      <c r="G469" t="inlineStr">
        <is>
          <t>KRISTINEHAMN</t>
        </is>
      </c>
      <c r="H469" t="inlineStr">
        <is>
          <t>Bergvik skog väst AB</t>
        </is>
      </c>
      <c r="I469" t="n">
        <v>11.6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3007-2024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45512</v>
      </c>
      <c r="E470" s="1" t="n">
        <v>46231</v>
      </c>
      <c r="F470" t="inlineStr">
        <is>
          <t>VÄRMLANDS LÄN</t>
        </is>
      </c>
      <c r="G470" t="inlineStr">
        <is>
          <t>KRISTINEHAMN</t>
        </is>
      </c>
      <c r="I470" t="n">
        <v>56.9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1418-2025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45783</v>
      </c>
      <c r="E471" s="1" t="n">
        <v>46231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1546-2025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45792</v>
      </c>
      <c r="E472" s="1" t="n">
        <v>46231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1698-2025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45805</v>
      </c>
      <c r="E473" s="1" t="n">
        <v>46231</v>
      </c>
      <c r="F473" t="inlineStr">
        <is>
          <t>VÄRMLANDS LÄN</t>
        </is>
      </c>
      <c r="G473" t="inlineStr">
        <is>
          <t>KRISTINEHAMN</t>
        </is>
      </c>
      <c r="H473" t="inlineStr">
        <is>
          <t>Sveaskog</t>
        </is>
      </c>
      <c r="I473" t="n">
        <v>12.6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121-2026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46040</v>
      </c>
      <c r="E474" s="1" t="n">
        <v>46231</v>
      </c>
      <c r="F474" t="inlineStr">
        <is>
          <t>VÄRMLANDS LÄN</t>
        </is>
      </c>
      <c r="G474" t="inlineStr">
        <is>
          <t>KRISTINEHAMN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46106</v>
      </c>
      <c r="E475" s="1" t="n">
        <v>46231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Sveaskog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99-2026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46036</v>
      </c>
      <c r="E476" s="1" t="n">
        <v>46231</v>
      </c>
      <c r="F476" t="inlineStr">
        <is>
          <t>VÄRMLANDS LÄN</t>
        </is>
      </c>
      <c r="G476" t="inlineStr">
        <is>
          <t>KRISTINEHAMN</t>
        </is>
      </c>
      <c r="H476" t="inlineStr">
        <is>
          <t>Naturvårdsverket</t>
        </is>
      </c>
      <c r="I476" t="n">
        <v>80.8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2026-07-28T01:48:42Z</dcterms:created>
  <dcterms:modified xmlns:dcterms="http://purl.org/dc/terms/" xmlns:xsi="http://www.w3.org/2001/XMLSchema-instance" xsi:type="dcterms:W3CDTF">2026-07-28T01:48:42Z</dcterms:modified>
</cp:coreProperties>
</file>