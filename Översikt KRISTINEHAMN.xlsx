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46296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46296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46296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46296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31115-2022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44769</v>
      </c>
      <c r="E17" s="1" t="n">
        <v>46296</v>
      </c>
      <c r="F17" t="inlineStr">
        <is>
          <t>VÄRMLANDS LÄN</t>
        </is>
      </c>
      <c r="G17" t="inlineStr">
        <is>
          <t>KRISTINEHAMN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HYPERLINK("https://klasma.github.io/Logging_1781/artfynd/A 31115-2022 artfynd.xlsx", "A 31115-2022")</f>
        <v/>
      </c>
      <c r="X17">
        <f>HYPERLINK("https://klasma.github.io/Logging_1781/kartor/A 31115-2022 karta.png", "A 31115-2022")</f>
        <v/>
      </c>
      <c r="Y17">
        <f>HYPERLINK("https://klasma.github.io/Logging_1781/kartor_geotiff/A 31115-2022 georefererad karta.tif", "A 31115-2022")</f>
        <v/>
      </c>
      <c r="AA17">
        <f>HYPERLINK("https://klasma.github.io/Logging_1781/klagomål/A 31115-2022 FSC-klagomål.docx", "A 31115-2022")</f>
        <v/>
      </c>
      <c r="AB17">
        <f>HYPERLINK("https://klasma.github.io/Logging_1781/klagomålsmail/A 31115-2022 FSC-klagomål mail.docx", "A 31115-2022")</f>
        <v/>
      </c>
      <c r="AC17">
        <f>HYPERLINK("https://klasma.github.io/Logging_1781/tillsyn/A 31115-2022 tillsynsbegäran.docx", "A 31115-2022")</f>
        <v/>
      </c>
      <c r="AD17">
        <f>HYPERLINK("https://klasma.github.io/Logging_1781/tillsynsmail/A 31115-2022 tillsynsbegäran mail.docx", "A 31115-2022")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8714-2024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45356</v>
      </c>
      <c r="E20" s="1" t="n">
        <v>46296</v>
      </c>
      <c r="F20" t="inlineStr">
        <is>
          <t>VÄRMLANDS LÄN</t>
        </is>
      </c>
      <c r="G20" t="inlineStr">
        <is>
          <t>KRISTINEHAMN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8714-2024 artfynd.xlsx", "A 8714-2024")</f>
        <v/>
      </c>
      <c r="X20">
        <f>HYPERLINK("https://klasma.github.io/Logging_1781/kartor/A 8714-2024 karta.png", "A 8714-2024")</f>
        <v/>
      </c>
      <c r="Y20">
        <f>HYPERLINK("https://klasma.github.io/Logging_1781/kartor_geotiff/A 8714-2024 georefererad karta.tif", "A 8714-2024")</f>
        <v/>
      </c>
      <c r="AA20">
        <f>HYPERLINK("https://klasma.github.io/Logging_1781/klagomål/A 8714-2024 FSC-klagomål.docx", "A 8714-2024")</f>
        <v/>
      </c>
      <c r="AB20">
        <f>HYPERLINK("https://klasma.github.io/Logging_1781/klagomålsmail/A 8714-2024 FSC-klagomål mail.docx", "A 8714-2024")</f>
        <v/>
      </c>
      <c r="AC20">
        <f>HYPERLINK("https://klasma.github.io/Logging_1781/tillsyn/A 8714-2024 tillsynsbegäran.docx", "A 8714-2024")</f>
        <v/>
      </c>
      <c r="AD20">
        <f>HYPERLINK("https://klasma.github.io/Logging_1781/tillsynsmail/A 8714-2024 tillsynsbegäran mail.docx", "A 8714-2024")</f>
        <v/>
      </c>
    </row>
    <row r="21" ht="15" customHeight="1">
      <c r="A21" t="inlineStr">
        <is>
          <t>A 36792-2023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45154</v>
      </c>
      <c r="E21" s="1" t="n">
        <v>46296</v>
      </c>
      <c r="F21" t="inlineStr">
        <is>
          <t>VÄRMLANDS LÄN</t>
        </is>
      </c>
      <c r="G21" t="inlineStr">
        <is>
          <t>KRISTINEHAMN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HYPERLINK("https://klasma.github.io/Logging_1781/artfynd/A 36792-2023 artfynd.xlsx", "A 36792-2023")</f>
        <v/>
      </c>
      <c r="X21">
        <f>HYPERLINK("https://klasma.github.io/Logging_1781/kartor/A 36792-2023 karta.png", "A 36792-2023")</f>
        <v/>
      </c>
      <c r="Y21">
        <f>HYPERLINK("https://klasma.github.io/Logging_1781/kartor_geotiff/A 36792-2023 georefererad karta.tif", "A 36792-2023")</f>
        <v/>
      </c>
      <c r="AA21">
        <f>HYPERLINK("https://klasma.github.io/Logging_1781/klagomål/A 36792-2023 FSC-klagomål.docx", "A 36792-2023")</f>
        <v/>
      </c>
      <c r="AB21">
        <f>HYPERLINK("https://klasma.github.io/Logging_1781/klagomålsmail/A 36792-2023 FSC-klagomål mail.docx", "A 36792-2023")</f>
        <v/>
      </c>
      <c r="AC21">
        <f>HYPERLINK("https://klasma.github.io/Logging_1781/tillsyn/A 36792-2023 tillsynsbegäran.docx", "A 36792-2023")</f>
        <v/>
      </c>
      <c r="AD21">
        <f>HYPERLINK("https://klasma.github.io/Logging_1781/tillsynsmail/A 36792-2023 tillsynsbegäran mail.docx", "A 36792-2023")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46296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45122-2022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44843</v>
      </c>
      <c r="E23" s="1" t="n">
        <v>46296</v>
      </c>
      <c r="F23" t="inlineStr">
        <is>
          <t>VÄRMLANDS LÄN</t>
        </is>
      </c>
      <c r="G23" t="inlineStr">
        <is>
          <t>KRISTINEHAMN</t>
        </is>
      </c>
      <c r="I23" t="n">
        <v>3.3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Dvärglin</t>
        </is>
      </c>
      <c r="W23">
        <f>HYPERLINK("https://klasma.github.io/Logging_1781/artfynd/A 45122-2022 artfynd.xlsx", "A 45122-2022")</f>
        <v/>
      </c>
      <c r="X23">
        <f>HYPERLINK("https://klasma.github.io/Logging_1781/kartor/A 45122-2022 karta.png", "A 45122-2022")</f>
        <v/>
      </c>
      <c r="Y23">
        <f>HYPERLINK("https://klasma.github.io/Logging_1781/kartor_geotiff/A 45122-2022 georefererad karta.tif", "A 45122-2022")</f>
        <v/>
      </c>
      <c r="AA23">
        <f>HYPERLINK("https://klasma.github.io/Logging_1781/klagomål/A 45122-2022 FSC-klagomål.docx", "A 45122-2022")</f>
        <v/>
      </c>
      <c r="AB23">
        <f>HYPERLINK("https://klasma.github.io/Logging_1781/klagomålsmail/A 45122-2022 FSC-klagomål mail.docx", "A 45122-2022")</f>
        <v/>
      </c>
      <c r="AC23">
        <f>HYPERLINK("https://klasma.github.io/Logging_1781/tillsyn/A 45122-2022 tillsynsbegäran.docx", "A 45122-2022")</f>
        <v/>
      </c>
      <c r="AD23">
        <f>HYPERLINK("https://klasma.github.io/Logging_1781/tillsynsmail/A 45122-2022 tillsynsbegäran mail.docx", "A 45122-2022")</f>
        <v/>
      </c>
    </row>
    <row r="24" ht="15" customHeight="1">
      <c r="A24" t="inlineStr">
        <is>
          <t>A 54771-2022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44883</v>
      </c>
      <c r="E24" s="1" t="n">
        <v>46296</v>
      </c>
      <c r="F24" t="inlineStr">
        <is>
          <t>VÄRMLANDS LÄN</t>
        </is>
      </c>
      <c r="G24" t="inlineStr">
        <is>
          <t>KRISTINEHAMN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HYPERLINK("https://klasma.github.io/Logging_1781/artfynd/A 54771-2022 artfynd.xlsx", "A 54771-2022")</f>
        <v/>
      </c>
      <c r="X24">
        <f>HYPERLINK("https://klasma.github.io/Logging_1781/kartor/A 54771-2022 karta.png", "A 54771-2022")</f>
        <v/>
      </c>
      <c r="Y24">
        <f>HYPERLINK("https://klasma.github.io/Logging_1781/kartor_geotiff/A 54771-2022 georefererad karta.tif", "A 54771-2022")</f>
        <v/>
      </c>
      <c r="AA24">
        <f>HYPERLINK("https://klasma.github.io/Logging_1781/klagomål/A 54771-2022 FSC-klagomål.docx", "A 54771-2022")</f>
        <v/>
      </c>
      <c r="AB24">
        <f>HYPERLINK("https://klasma.github.io/Logging_1781/klagomålsmail/A 54771-2022 FSC-klagomål mail.docx", "A 54771-2022")</f>
        <v/>
      </c>
      <c r="AC24">
        <f>HYPERLINK("https://klasma.github.io/Logging_1781/tillsyn/A 54771-2022 tillsynsbegäran.docx", "A 54771-2022")</f>
        <v/>
      </c>
      <c r="AD24">
        <f>HYPERLINK("https://klasma.github.io/Logging_1781/tillsynsmail/A 54771-2022 tillsynsbegäran mail.docx", "A 54771-2022")</f>
        <v/>
      </c>
      <c r="AE24">
        <f>HYPERLINK("https://klasma.github.io/Logging_1781/fåglar/A 54771-2022 prioriterade fågelarter.docx", "A 54771-2022")</f>
        <v/>
      </c>
    </row>
    <row r="25" ht="15" customHeight="1">
      <c r="A25" t="inlineStr">
        <is>
          <t>A 5494-2025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46296</v>
      </c>
      <c r="F25" t="inlineStr">
        <is>
          <t>VÄRMLANDS LÄN</t>
        </is>
      </c>
      <c r="G25" t="inlineStr">
        <is>
          <t>KRISTINEHAMN</t>
        </is>
      </c>
      <c r="I25" t="n">
        <v>8.699999999999999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HYPERLINK("https://klasma.github.io/Logging_1781/artfynd/A 5494-2025 artfynd.xlsx", "A 5494-2025")</f>
        <v/>
      </c>
      <c r="X25">
        <f>HYPERLINK("https://klasma.github.io/Logging_1781/kartor/A 5494-2025 karta.png", "A 5494-2025")</f>
        <v/>
      </c>
      <c r="Y25">
        <f>HYPERLINK("https://klasma.github.io/Logging_1781/kartor_geotiff/A 5494-2025 georefererad karta.tif", "A 5494-2025")</f>
        <v/>
      </c>
      <c r="AA25">
        <f>HYPERLINK("https://klasma.github.io/Logging_1781/klagomål/A 5494-2025 FSC-klagomål.docx", "A 5494-2025")</f>
        <v/>
      </c>
      <c r="AB25">
        <f>HYPERLINK("https://klasma.github.io/Logging_1781/klagomålsmail/A 5494-2025 FSC-klagomål mail.docx", "A 5494-2025")</f>
        <v/>
      </c>
      <c r="AC25">
        <f>HYPERLINK("https://klasma.github.io/Logging_1781/tillsyn/A 5494-2025 tillsynsbegäran.docx", "A 5494-2025")</f>
        <v/>
      </c>
      <c r="AD25">
        <f>HYPERLINK("https://klasma.github.io/Logging_1781/tillsynsmail/A 5494-2025 tillsynsbegäran mail.docx", "A 5494-2025")</f>
        <v/>
      </c>
    </row>
    <row r="26" ht="15" customHeight="1">
      <c r="A26" t="inlineStr">
        <is>
          <t>A 2406-2025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45674</v>
      </c>
      <c r="E26" s="1" t="n">
        <v>46296</v>
      </c>
      <c r="F26" t="inlineStr">
        <is>
          <t>VÄRMLANDS LÄN</t>
        </is>
      </c>
      <c r="G26" t="inlineStr">
        <is>
          <t>KRISTINEHAMN</t>
        </is>
      </c>
      <c r="I26" t="n">
        <v>9.699999999999999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HYPERLINK("https://klasma.github.io/Logging_1781/artfynd/A 2406-2025 artfynd.xlsx", "A 2406-2025")</f>
        <v/>
      </c>
      <c r="X26">
        <f>HYPERLINK("https://klasma.github.io/Logging_1781/kartor/A 2406-2025 karta.png", "A 2406-2025")</f>
        <v/>
      </c>
      <c r="Y26">
        <f>HYPERLINK("https://klasma.github.io/Logging_1781/kartor_geotiff/A 2406-2025 georefererad karta.tif", "A 2406-2025")</f>
        <v/>
      </c>
      <c r="AA26">
        <f>HYPERLINK("https://klasma.github.io/Logging_1781/klagomål/A 2406-2025 FSC-klagomål.docx", "A 2406-2025")</f>
        <v/>
      </c>
      <c r="AB26">
        <f>HYPERLINK("https://klasma.github.io/Logging_1781/klagomålsmail/A 2406-2025 FSC-klagomål mail.docx", "A 2406-2025")</f>
        <v/>
      </c>
      <c r="AC26">
        <f>HYPERLINK("https://klasma.github.io/Logging_1781/tillsyn/A 2406-2025 tillsynsbegäran.docx", "A 2406-2025")</f>
        <v/>
      </c>
      <c r="AD26">
        <f>HYPERLINK("https://klasma.github.io/Logging_1781/tillsynsmail/A 2406-2025 tillsynsbegäran mail.docx", "A 2406-2025")</f>
        <v/>
      </c>
    </row>
    <row r="27" ht="15" customHeight="1">
      <c r="A27" t="inlineStr">
        <is>
          <t>A 25888-2025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45804</v>
      </c>
      <c r="E27" s="1" t="n">
        <v>46296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Trana</t>
        </is>
      </c>
      <c r="W27">
        <f>HYPERLINK("https://klasma.github.io/Logging_1781/artfynd/A 25888-2025 artfynd.xlsx", "A 25888-2025")</f>
        <v/>
      </c>
      <c r="X27">
        <f>HYPERLINK("https://klasma.github.io/Logging_1781/kartor/A 25888-2025 karta.png", "A 25888-2025")</f>
        <v/>
      </c>
      <c r="Y27">
        <f>HYPERLINK("https://klasma.github.io/Logging_1781/kartor_geotiff/A 25888-2025 georefererad karta.tif", "A 25888-2025")</f>
        <v/>
      </c>
      <c r="AA27">
        <f>HYPERLINK("https://klasma.github.io/Logging_1781/klagomål/A 25888-2025 FSC-klagomål.docx", "A 25888-2025")</f>
        <v/>
      </c>
      <c r="AB27">
        <f>HYPERLINK("https://klasma.github.io/Logging_1781/klagomålsmail/A 25888-2025 FSC-klagomål mail.docx", "A 25888-2025")</f>
        <v/>
      </c>
      <c r="AC27">
        <f>HYPERLINK("https://klasma.github.io/Logging_1781/tillsyn/A 25888-2025 tillsynsbegäran.docx", "A 25888-2025")</f>
        <v/>
      </c>
      <c r="AD27">
        <f>HYPERLINK("https://klasma.github.io/Logging_1781/tillsynsmail/A 25888-2025 tillsynsbegäran mail.docx", "A 25888-2025")</f>
        <v/>
      </c>
      <c r="AE27">
        <f>HYPERLINK("https://klasma.github.io/Logging_1781/fåglar/A 25888-2025 prioriterade fågelarter.docx", "A 25888-2025")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46296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28394-2025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45819</v>
      </c>
      <c r="E29" s="1" t="n">
        <v>46296</v>
      </c>
      <c r="F29" t="inlineStr">
        <is>
          <t>VÄRMLANDS LÄN</t>
        </is>
      </c>
      <c r="G29" t="inlineStr">
        <is>
          <t>KRISTINEHAMN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vårtrattskivling</t>
        </is>
      </c>
      <c r="W29">
        <f>HYPERLINK("https://klasma.github.io/Logging_1781/artfynd/A 28394-2025 artfynd.xlsx", "A 28394-2025")</f>
        <v/>
      </c>
      <c r="X29">
        <f>HYPERLINK("https://klasma.github.io/Logging_1781/kartor/A 28394-2025 karta.png", "A 28394-2025")</f>
        <v/>
      </c>
      <c r="Y29">
        <f>HYPERLINK("https://klasma.github.io/Logging_1781/kartor_geotiff/A 28394-2025 georefererad karta.tif", "A 28394-2025")</f>
        <v/>
      </c>
      <c r="AA29">
        <f>HYPERLINK("https://klasma.github.io/Logging_1781/klagomål/A 28394-2025 FSC-klagomål.docx", "A 28394-2025")</f>
        <v/>
      </c>
      <c r="AB29">
        <f>HYPERLINK("https://klasma.github.io/Logging_1781/klagomålsmail/A 28394-2025 FSC-klagomål mail.docx", "A 28394-2025")</f>
        <v/>
      </c>
      <c r="AC29">
        <f>HYPERLINK("https://klasma.github.io/Logging_1781/tillsyn/A 28394-2025 tillsynsbegäran.docx", "A 28394-2025")</f>
        <v/>
      </c>
      <c r="AD29">
        <f>HYPERLINK("https://klasma.github.io/Logging_1781/tillsynsmail/A 28394-2025 tillsynsbegäran mail.docx", "A 28394-2025")</f>
        <v/>
      </c>
    </row>
    <row r="30" ht="15" customHeight="1">
      <c r="A30" t="inlineStr">
        <is>
          <t>A 3302-2022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46296</v>
      </c>
      <c r="F30" t="inlineStr">
        <is>
          <t>VÄRMLANDS LÄN</t>
        </is>
      </c>
      <c r="G30" t="inlineStr">
        <is>
          <t>KRISTINEHAMN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3302-2022 artfynd.xlsx", "A 3302-2022")</f>
        <v/>
      </c>
      <c r="X30">
        <f>HYPERLINK("https://klasma.github.io/Logging_1781/kartor/A 3302-2022 karta.png", "A 3302-2022")</f>
        <v/>
      </c>
      <c r="Y30">
        <f>HYPERLINK("https://klasma.github.io/Logging_1781/kartor_geotiff/A 3302-2022 georefererad karta.tif", "A 3302-2022")</f>
        <v/>
      </c>
      <c r="AA30">
        <f>HYPERLINK("https://klasma.github.io/Logging_1781/klagomål/A 3302-2022 FSC-klagomål.docx", "A 3302-2022")</f>
        <v/>
      </c>
      <c r="AB30">
        <f>HYPERLINK("https://klasma.github.io/Logging_1781/klagomålsmail/A 3302-2022 FSC-klagomål mail.docx", "A 3302-2022")</f>
        <v/>
      </c>
      <c r="AC30">
        <f>HYPERLINK("https://klasma.github.io/Logging_1781/tillsyn/A 3302-2022 tillsynsbegäran.docx", "A 3302-2022")</f>
        <v/>
      </c>
      <c r="AD30">
        <f>HYPERLINK("https://klasma.github.io/Logging_1781/tillsynsmail/A 3302-2022 tillsynsbegäran mail.docx", "A 3302-2022")</f>
        <v/>
      </c>
    </row>
    <row r="31" ht="15" customHeight="1">
      <c r="A31" t="inlineStr">
        <is>
          <t>A 53607-2025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46296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53607-2025 artfynd.xlsx", "A 53607-2025")</f>
        <v/>
      </c>
      <c r="X31">
        <f>HYPERLINK("https://klasma.github.io/Logging_1781/kartor/A 53607-2025 karta.png", "A 53607-2025")</f>
        <v/>
      </c>
      <c r="Y31">
        <f>HYPERLINK("https://klasma.github.io/Logging_1781/kartor_geotiff/A 53607-2025 georefererad karta.tif", "A 53607-2025")</f>
        <v/>
      </c>
      <c r="AA31">
        <f>HYPERLINK("https://klasma.github.io/Logging_1781/klagomål/A 53607-2025 FSC-klagomål.docx", "A 53607-2025")</f>
        <v/>
      </c>
      <c r="AB31">
        <f>HYPERLINK("https://klasma.github.io/Logging_1781/klagomålsmail/A 53607-2025 FSC-klagomål mail.docx", "A 53607-2025")</f>
        <v/>
      </c>
      <c r="AC31">
        <f>HYPERLINK("https://klasma.github.io/Logging_1781/tillsyn/A 53607-2025 tillsynsbegäran.docx", "A 53607-2025")</f>
        <v/>
      </c>
      <c r="AD31">
        <f>HYPERLINK("https://klasma.github.io/Logging_1781/tillsynsmail/A 53607-2025 tillsynsbegäran mail.docx", "A 53607-2025")</f>
        <v/>
      </c>
    </row>
    <row r="32" ht="15" customHeight="1">
      <c r="A32" t="inlineStr">
        <is>
          <t>A 53630-2025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46296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53630-2025 artfynd.xlsx", "A 53630-2025")</f>
        <v/>
      </c>
      <c r="X32">
        <f>HYPERLINK("https://klasma.github.io/Logging_1781/kartor/A 53630-2025 karta.png", "A 53630-2025")</f>
        <v/>
      </c>
      <c r="Y32">
        <f>HYPERLINK("https://klasma.github.io/Logging_1781/kartor_geotiff/A 53630-2025 georefererad karta.tif", "A 53630-2025")</f>
        <v/>
      </c>
      <c r="AA32">
        <f>HYPERLINK("https://klasma.github.io/Logging_1781/klagomål/A 53630-2025 FSC-klagomål.docx", "A 53630-2025")</f>
        <v/>
      </c>
      <c r="AB32">
        <f>HYPERLINK("https://klasma.github.io/Logging_1781/klagomålsmail/A 53630-2025 FSC-klagomål mail.docx", "A 53630-2025")</f>
        <v/>
      </c>
      <c r="AC32">
        <f>HYPERLINK("https://klasma.github.io/Logging_1781/tillsyn/A 53630-2025 tillsynsbegäran.docx", "A 53630-2025")</f>
        <v/>
      </c>
      <c r="AD32">
        <f>HYPERLINK("https://klasma.github.io/Logging_1781/tillsynsmail/A 53630-2025 tillsynsbegäran mail.docx", "A 53630-2025")</f>
        <v/>
      </c>
    </row>
    <row r="33" ht="15" customHeight="1">
      <c r="A33" t="inlineStr">
        <is>
          <t>A 58021-2025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45982</v>
      </c>
      <c r="E33" s="1" t="n">
        <v>46296</v>
      </c>
      <c r="F33" t="inlineStr">
        <is>
          <t>VÄRMLANDS LÄN</t>
        </is>
      </c>
      <c r="G33" t="inlineStr">
        <is>
          <t>KRISTINEHAMN</t>
        </is>
      </c>
      <c r="I33" t="n">
        <v>4.2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HYPERLINK("https://klasma.github.io/Logging_1781/artfynd/A 58021-2025 artfynd.xlsx", "A 58021-2025")</f>
        <v/>
      </c>
      <c r="X33">
        <f>HYPERLINK("https://klasma.github.io/Logging_1781/kartor/A 58021-2025 karta.png", "A 58021-2025")</f>
        <v/>
      </c>
      <c r="Y33">
        <f>HYPERLINK("https://klasma.github.io/Logging_1781/kartor_geotiff/A 58021-2025 georefererad karta.tif", "A 58021-2025")</f>
        <v/>
      </c>
      <c r="AA33">
        <f>HYPERLINK("https://klasma.github.io/Logging_1781/klagomål/A 58021-2025 FSC-klagomål.docx", "A 58021-2025")</f>
        <v/>
      </c>
      <c r="AB33">
        <f>HYPERLINK("https://klasma.github.io/Logging_1781/klagomålsmail/A 58021-2025 FSC-klagomål mail.docx", "A 58021-2025")</f>
        <v/>
      </c>
      <c r="AC33">
        <f>HYPERLINK("https://klasma.github.io/Logging_1781/tillsyn/A 58021-2025 tillsynsbegäran.docx", "A 58021-2025")</f>
        <v/>
      </c>
      <c r="AD33">
        <f>HYPERLINK("https://klasma.github.io/Logging_1781/tillsynsmail/A 58021-2025 tillsynsbegäran mail.docx", "A 58021-2025")</f>
        <v/>
      </c>
    </row>
    <row r="34" ht="15" customHeight="1">
      <c r="A34" t="inlineStr">
        <is>
          <t>A 61238-2025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46296</v>
      </c>
      <c r="F34" t="inlineStr">
        <is>
          <t>VÄRMLANDS LÄN</t>
        </is>
      </c>
      <c r="G34" t="inlineStr">
        <is>
          <t>KRISTINEHAMN</t>
        </is>
      </c>
      <c r="I34" t="n">
        <v>5.8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Sparvuggla</t>
        </is>
      </c>
      <c r="W34">
        <f>HYPERLINK("https://klasma.github.io/Logging_1781/artfynd/A 61238-2025 artfynd.xlsx", "A 61238-2025")</f>
        <v/>
      </c>
      <c r="X34">
        <f>HYPERLINK("https://klasma.github.io/Logging_1781/kartor/A 61238-2025 karta.png", "A 61238-2025")</f>
        <v/>
      </c>
      <c r="Y34">
        <f>HYPERLINK("https://klasma.github.io/Logging_1781/kartor_geotiff/A 61238-2025 georefererad karta.tif", "A 61238-2025")</f>
        <v/>
      </c>
      <c r="AA34">
        <f>HYPERLINK("https://klasma.github.io/Logging_1781/klagomål/A 61238-2025 FSC-klagomål.docx", "A 61238-2025")</f>
        <v/>
      </c>
      <c r="AB34">
        <f>HYPERLINK("https://klasma.github.io/Logging_1781/klagomålsmail/A 61238-2025 FSC-klagomål mail.docx", "A 61238-2025")</f>
        <v/>
      </c>
      <c r="AC34">
        <f>HYPERLINK("https://klasma.github.io/Logging_1781/tillsyn/A 61238-2025 tillsynsbegäran.docx", "A 61238-2025")</f>
        <v/>
      </c>
      <c r="AD34">
        <f>HYPERLINK("https://klasma.github.io/Logging_1781/tillsynsmail/A 61238-2025 tillsynsbegäran mail.docx", "A 61238-2025")</f>
        <v/>
      </c>
      <c r="AE34">
        <f>HYPERLINK("https://klasma.github.io/Logging_1781/fåglar/A 61238-2025 prioriterade fågelarter.docx", "A 61238-2025")</f>
        <v/>
      </c>
    </row>
    <row r="35" ht="15" customHeight="1">
      <c r="A35" t="inlineStr">
        <is>
          <t>A 60714-2025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46296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Björksplintborre</t>
        </is>
      </c>
      <c r="W35">
        <f>HYPERLINK("https://klasma.github.io/Logging_1781/artfynd/A 60714-2025 artfynd.xlsx", "A 60714-2025")</f>
        <v/>
      </c>
      <c r="X35">
        <f>HYPERLINK("https://klasma.github.io/Logging_1781/kartor/A 60714-2025 karta.png", "A 60714-2025")</f>
        <v/>
      </c>
      <c r="Y35">
        <f>HYPERLINK("https://klasma.github.io/Logging_1781/kartor_geotiff/A 60714-2025 georefererad karta.tif", "A 60714-2025")</f>
        <v/>
      </c>
      <c r="AA35">
        <f>HYPERLINK("https://klasma.github.io/Logging_1781/klagomål/A 60714-2025 FSC-klagomål.docx", "A 60714-2025")</f>
        <v/>
      </c>
      <c r="AB35">
        <f>HYPERLINK("https://klasma.github.io/Logging_1781/klagomålsmail/A 60714-2025 FSC-klagomål mail.docx", "A 60714-2025")</f>
        <v/>
      </c>
      <c r="AC35">
        <f>HYPERLINK("https://klasma.github.io/Logging_1781/tillsyn/A 60714-2025 tillsynsbegäran.docx", "A 60714-2025")</f>
        <v/>
      </c>
      <c r="AD35">
        <f>HYPERLINK("https://klasma.github.io/Logging_1781/tillsynsmail/A 60714-2025 tillsynsbegäran mail.docx", "A 60714-2025")</f>
        <v/>
      </c>
    </row>
    <row r="36" ht="15" customHeight="1">
      <c r="A36" t="inlineStr">
        <is>
          <t>A 14760-2026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46101</v>
      </c>
      <c r="E36" s="1" t="n">
        <v>46296</v>
      </c>
      <c r="F36" t="inlineStr">
        <is>
          <t>VÄRMLANDS LÄN</t>
        </is>
      </c>
      <c r="G36" t="inlineStr">
        <is>
          <t>KRISTINEHAMN</t>
        </is>
      </c>
      <c r="H36" t="inlineStr">
        <is>
          <t>Sveaskog</t>
        </is>
      </c>
      <c r="I36" t="n">
        <v>8.300000000000001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Fläcknycklar</t>
        </is>
      </c>
      <c r="W36">
        <f>HYPERLINK("https://klasma.github.io/Logging_1781/artfynd/A 14760-2026 artfynd.xlsx", "A 14760-2026")</f>
        <v/>
      </c>
      <c r="X36">
        <f>HYPERLINK("https://klasma.github.io/Logging_1781/kartor/A 14760-2026 karta.png", "A 14760-2026")</f>
        <v/>
      </c>
      <c r="Y36">
        <f>HYPERLINK("https://klasma.github.io/Logging_1781/kartor_geotiff/A 14760-2026 georefererad karta.tif", "A 14760-2026")</f>
        <v/>
      </c>
      <c r="AA36">
        <f>HYPERLINK("https://klasma.github.io/Logging_1781/klagomål/A 14760-2026 FSC-klagomål.docx", "A 14760-2026")</f>
        <v/>
      </c>
      <c r="AB36">
        <f>HYPERLINK("https://klasma.github.io/Logging_1781/klagomålsmail/A 14760-2026 FSC-klagomål mail.docx", "A 14760-2026")</f>
        <v/>
      </c>
      <c r="AC36">
        <f>HYPERLINK("https://klasma.github.io/Logging_1781/tillsyn/A 14760-2026 tillsynsbegäran.docx", "A 14760-2026")</f>
        <v/>
      </c>
      <c r="AD36">
        <f>HYPERLINK("https://klasma.github.io/Logging_1781/tillsynsmail/A 14760-2026 tillsynsbegäran mail.docx", "A 14760-2026")</f>
        <v/>
      </c>
    </row>
    <row r="37" ht="15" customHeight="1">
      <c r="A37" t="inlineStr">
        <is>
          <t>A 14762-2026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46101</v>
      </c>
      <c r="E37" s="1" t="n">
        <v>46296</v>
      </c>
      <c r="F37" t="inlineStr">
        <is>
          <t>VÄRMLANDS LÄN</t>
        </is>
      </c>
      <c r="G37" t="inlineStr">
        <is>
          <t>KRISTINEHAMN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Fläcknycklar</t>
        </is>
      </c>
      <c r="W37">
        <f>HYPERLINK("https://klasma.github.io/Logging_1781/artfynd/A 14762-2026 artfynd.xlsx", "A 14762-2026")</f>
        <v/>
      </c>
      <c r="X37">
        <f>HYPERLINK("https://klasma.github.io/Logging_1781/kartor/A 14762-2026 karta.png", "A 14762-2026")</f>
        <v/>
      </c>
      <c r="Y37">
        <f>HYPERLINK("https://klasma.github.io/Logging_1781/kartor_geotiff/A 14762-2026 georefererad karta.tif", "A 14762-2026")</f>
        <v/>
      </c>
      <c r="AA37">
        <f>HYPERLINK("https://klasma.github.io/Logging_1781/klagomål/A 14762-2026 FSC-klagomål.docx", "A 14762-2026")</f>
        <v/>
      </c>
      <c r="AB37">
        <f>HYPERLINK("https://klasma.github.io/Logging_1781/klagomålsmail/A 14762-2026 FSC-klagomål mail.docx", "A 14762-2026")</f>
        <v/>
      </c>
      <c r="AC37">
        <f>HYPERLINK("https://klasma.github.io/Logging_1781/tillsyn/A 14762-2026 tillsynsbegäran.docx", "A 14762-2026")</f>
        <v/>
      </c>
      <c r="AD37">
        <f>HYPERLINK("https://klasma.github.io/Logging_1781/tillsynsmail/A 14762-2026 tillsynsbegäran mail.docx", "A 14762-2026")</f>
        <v/>
      </c>
    </row>
    <row r="38" ht="15" customHeight="1">
      <c r="A38" t="inlineStr">
        <is>
          <t>A 20746-2026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46141</v>
      </c>
      <c r="E38" s="1" t="n">
        <v>46296</v>
      </c>
      <c r="F38" t="inlineStr">
        <is>
          <t>VÄRMLANDS LÄN</t>
        </is>
      </c>
      <c r="G38" t="inlineStr">
        <is>
          <t>KRISTINEHAMN</t>
        </is>
      </c>
      <c r="H38" t="inlineStr">
        <is>
          <t>Naturvårdsverket</t>
        </is>
      </c>
      <c r="I38" t="n">
        <v>6.3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HYPERLINK("https://klasma.github.io/Logging_1781/artfynd/A 20746-2026 artfynd.xlsx", "A 20746-2026")</f>
        <v/>
      </c>
      <c r="X38">
        <f>HYPERLINK("https://klasma.github.io/Logging_1781/kartor/A 20746-2026 karta.png", "A 20746-2026")</f>
        <v/>
      </c>
      <c r="Y38">
        <f>HYPERLINK("https://klasma.github.io/Logging_1781/kartor_geotiff/A 20746-2026 georefererad karta.tif", "A 20746-2026")</f>
        <v/>
      </c>
      <c r="AA38">
        <f>HYPERLINK("https://klasma.github.io/Logging_1781/klagomål/A 20746-2026 FSC-klagomål.docx", "A 20746-2026")</f>
        <v/>
      </c>
      <c r="AB38">
        <f>HYPERLINK("https://klasma.github.io/Logging_1781/klagomålsmail/A 20746-2026 FSC-klagomål mail.docx", "A 20746-2026")</f>
        <v/>
      </c>
      <c r="AC38">
        <f>HYPERLINK("https://klasma.github.io/Logging_1781/tillsyn/A 20746-2026 tillsynsbegäran.docx", "A 20746-2026")</f>
        <v/>
      </c>
      <c r="AD38">
        <f>HYPERLINK("https://klasma.github.io/Logging_1781/tillsynsmail/A 20746-2026 tillsynsbegäran mail.docx", "A 20746-2026")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46296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46296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46296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46296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46296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46296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46296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46296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46296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46296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46296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46296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46296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46296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46296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46296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46296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46296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46296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43558-2022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44834</v>
      </c>
      <c r="E58" s="1" t="n">
        <v>46296</v>
      </c>
      <c r="F58" t="inlineStr">
        <is>
          <t>VÄRMLANDS LÄN</t>
        </is>
      </c>
      <c r="G58" t="inlineStr">
        <is>
          <t>KRISTINEHAMN</t>
        </is>
      </c>
      <c r="I58" t="n">
        <v>12.1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21680-2022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44707</v>
      </c>
      <c r="E59" s="1" t="n">
        <v>46296</v>
      </c>
      <c r="F59" t="inlineStr">
        <is>
          <t>VÄRMLANDS LÄN</t>
        </is>
      </c>
      <c r="G59" t="inlineStr">
        <is>
          <t>KRISTINEHAMN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44657</v>
      </c>
      <c r="E60" s="1" t="n">
        <v>46296</v>
      </c>
      <c r="F60" t="inlineStr">
        <is>
          <t>VÄRMLANDS LÄN</t>
        </is>
      </c>
      <c r="G60" t="inlineStr">
        <is>
          <t>KRISTINEHAMN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15551-2022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46296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46296</v>
      </c>
      <c r="F62" t="inlineStr">
        <is>
          <t>VÄRMLANDS LÄN</t>
        </is>
      </c>
      <c r="G62" t="inlineStr">
        <is>
          <t>KRISTINEHAMN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44551</v>
      </c>
      <c r="E63" s="1" t="n">
        <v>46296</v>
      </c>
      <c r="F63" t="inlineStr">
        <is>
          <t>VÄRMLANDS LÄN</t>
        </is>
      </c>
      <c r="G63" t="inlineStr">
        <is>
          <t>KRISTINEHAMN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46296</v>
      </c>
      <c r="F64" t="inlineStr">
        <is>
          <t>VÄRMLANDS LÄN</t>
        </is>
      </c>
      <c r="G64" t="inlineStr">
        <is>
          <t>KRISTINEHAMN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46296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44769</v>
      </c>
      <c r="E66" s="1" t="n">
        <v>46296</v>
      </c>
      <c r="F66" t="inlineStr">
        <is>
          <t>VÄRMLANDS LÄN</t>
        </is>
      </c>
      <c r="G66" t="inlineStr">
        <is>
          <t>KRISTINEHAMN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46296</v>
      </c>
      <c r="F67" t="inlineStr">
        <is>
          <t>VÄRMLANDS LÄN</t>
        </is>
      </c>
      <c r="G67" t="inlineStr">
        <is>
          <t>KRISTINEHAMN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46296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46296</v>
      </c>
      <c r="F69" t="inlineStr">
        <is>
          <t>VÄRMLANDS LÄN</t>
        </is>
      </c>
      <c r="G69" t="inlineStr">
        <is>
          <t>KRISTINEHAMN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46296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46296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44657</v>
      </c>
      <c r="E72" s="1" t="n">
        <v>46296</v>
      </c>
      <c r="F72" t="inlineStr">
        <is>
          <t>VÄRMLANDS LÄN</t>
        </is>
      </c>
      <c r="G72" t="inlineStr">
        <is>
          <t>KRISTINEHAMN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46296</v>
      </c>
      <c r="F73" t="inlineStr">
        <is>
          <t>VÄRMLANDS LÄN</t>
        </is>
      </c>
      <c r="G73" t="inlineStr">
        <is>
          <t>KRISTINEHAMN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44591</v>
      </c>
      <c r="E74" s="1" t="n">
        <v>46296</v>
      </c>
      <c r="F74" t="inlineStr">
        <is>
          <t>VÄRMLANDS LÄN</t>
        </is>
      </c>
      <c r="G74" t="inlineStr">
        <is>
          <t>KRISTINEHAMN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46296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46296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44584</v>
      </c>
      <c r="E77" s="1" t="n">
        <v>46296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46296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46296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46296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44573</v>
      </c>
      <c r="E81" s="1" t="n">
        <v>46296</v>
      </c>
      <c r="F81" t="inlineStr">
        <is>
          <t>VÄRMLANDS LÄN</t>
        </is>
      </c>
      <c r="G81" t="inlineStr">
        <is>
          <t>KRISTINEHAMN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44741</v>
      </c>
      <c r="E82" s="1" t="n">
        <v>46296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46296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46296</v>
      </c>
      <c r="F84" t="inlineStr">
        <is>
          <t>VÄRMLANDS LÄN</t>
        </is>
      </c>
      <c r="G84" t="inlineStr">
        <is>
          <t>KRISTINEHAMN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46296</v>
      </c>
      <c r="F85" t="inlineStr">
        <is>
          <t>VÄRMLANDS LÄN</t>
        </is>
      </c>
      <c r="G85" t="inlineStr">
        <is>
          <t>KRISTINEHAMN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46296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12568-2023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46296</v>
      </c>
      <c r="F87" t="inlineStr">
        <is>
          <t>VÄRMLANDS LÄN</t>
        </is>
      </c>
      <c r="G87" t="inlineStr">
        <is>
          <t>KRISTINEHAMN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46296</v>
      </c>
      <c r="F88" t="inlineStr">
        <is>
          <t>VÄRMLANDS LÄN</t>
        </is>
      </c>
      <c r="G88" t="inlineStr">
        <is>
          <t>KRISTINEHAMN</t>
        </is>
      </c>
      <c r="I88" t="n">
        <v>11.3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46296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46296</v>
      </c>
      <c r="F90" t="inlineStr">
        <is>
          <t>VÄRMLANDS LÄN</t>
        </is>
      </c>
      <c r="G90" t="inlineStr">
        <is>
          <t>KRISTINEHAMN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46296</v>
      </c>
      <c r="F91" t="inlineStr">
        <is>
          <t>VÄRMLANDS LÄN</t>
        </is>
      </c>
      <c r="G91" t="inlineStr">
        <is>
          <t>KRISTINEHAMN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46296</v>
      </c>
      <c r="F92" t="inlineStr">
        <is>
          <t>VÄRMLANDS LÄN</t>
        </is>
      </c>
      <c r="G92" t="inlineStr">
        <is>
          <t>KRISTINEHAMN</t>
        </is>
      </c>
      <c r="I92" t="n">
        <v>14.9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46296</v>
      </c>
      <c r="F93" t="inlineStr">
        <is>
          <t>VÄRMLANDS LÄN</t>
        </is>
      </c>
      <c r="G93" t="inlineStr">
        <is>
          <t>KRISTINEHAMN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46296</v>
      </c>
      <c r="F94" t="inlineStr">
        <is>
          <t>VÄRMLANDS LÄN</t>
        </is>
      </c>
      <c r="G94" t="inlineStr">
        <is>
          <t>KRISTINEHAMN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46296</v>
      </c>
      <c r="F95" t="inlineStr">
        <is>
          <t>VÄRMLANDS LÄN</t>
        </is>
      </c>
      <c r="G95" t="inlineStr">
        <is>
          <t>KRISTINEHAMN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50174-2024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46296</v>
      </c>
      <c r="F96" t="inlineStr">
        <is>
          <t>VÄRMLANDS LÄN</t>
        </is>
      </c>
      <c r="G96" t="inlineStr">
        <is>
          <t>KRISTINEHAMN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18319-2023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45041</v>
      </c>
      <c r="E97" s="1" t="n">
        <v>46296</v>
      </c>
      <c r="F97" t="inlineStr">
        <is>
          <t>VÄRMLANDS LÄN</t>
        </is>
      </c>
      <c r="G97" t="inlineStr">
        <is>
          <t>KRISTINEHAMN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45081</v>
      </c>
      <c r="E98" s="1" t="n">
        <v>46296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46296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45678</v>
      </c>
      <c r="E100" s="1" t="n">
        <v>46296</v>
      </c>
      <c r="F100" t="inlineStr">
        <is>
          <t>VÄRMLANDS LÄN</t>
        </is>
      </c>
      <c r="G100" t="inlineStr">
        <is>
          <t>KRISTINEHAMN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45243</v>
      </c>
      <c r="E101" s="1" t="n">
        <v>46296</v>
      </c>
      <c r="F101" t="inlineStr">
        <is>
          <t>VÄRMLANDS LÄN</t>
        </is>
      </c>
      <c r="G101" t="inlineStr">
        <is>
          <t>KRISTINEHAMN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44941</v>
      </c>
      <c r="E102" s="1" t="n">
        <v>46296</v>
      </c>
      <c r="F102" t="inlineStr">
        <is>
          <t>VÄRMLANDS LÄN</t>
        </is>
      </c>
      <c r="G102" t="inlineStr">
        <is>
          <t>KRISTINEHAMN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46296</v>
      </c>
      <c r="F103" t="inlineStr">
        <is>
          <t>VÄRMLANDS LÄN</t>
        </is>
      </c>
      <c r="G103" t="inlineStr">
        <is>
          <t>KRISTINEHAMN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45685</v>
      </c>
      <c r="E104" s="1" t="n">
        <v>46296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46296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46296</v>
      </c>
      <c r="F106" t="inlineStr">
        <is>
          <t>VÄRMLANDS LÄN</t>
        </is>
      </c>
      <c r="G106" t="inlineStr">
        <is>
          <t>KRISTINEHAMN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46296</v>
      </c>
      <c r="F107" t="inlineStr">
        <is>
          <t>VÄRMLANDS LÄN</t>
        </is>
      </c>
      <c r="G107" t="inlineStr">
        <is>
          <t>KRISTINEHAMN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46296</v>
      </c>
      <c r="F108" t="inlineStr">
        <is>
          <t>VÄRMLANDS LÄN</t>
        </is>
      </c>
      <c r="G108" t="inlineStr">
        <is>
          <t>KRISTINEHAMN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45121</v>
      </c>
      <c r="E109" s="1" t="n">
        <v>46296</v>
      </c>
      <c r="F109" t="inlineStr">
        <is>
          <t>VÄRMLANDS LÄN</t>
        </is>
      </c>
      <c r="G109" t="inlineStr">
        <is>
          <t>KRISTINEHAMN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68505-2021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46296</v>
      </c>
      <c r="F110" t="inlineStr">
        <is>
          <t>VÄRMLANDS LÄN</t>
        </is>
      </c>
      <c r="G110" t="inlineStr">
        <is>
          <t>KRISTINEHAMN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46296</v>
      </c>
      <c r="F111" t="inlineStr">
        <is>
          <t>VÄRMLANDS LÄN</t>
        </is>
      </c>
      <c r="G111" t="inlineStr">
        <is>
          <t>KRISTINEHAMN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46296</v>
      </c>
      <c r="F112" t="inlineStr">
        <is>
          <t>VÄRMLANDS LÄN</t>
        </is>
      </c>
      <c r="G112" t="inlineStr">
        <is>
          <t>KRISTINEHAMN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45095</v>
      </c>
      <c r="E113" s="1" t="n">
        <v>46296</v>
      </c>
      <c r="F113" t="inlineStr">
        <is>
          <t>VÄRMLANDS LÄN</t>
        </is>
      </c>
      <c r="G113" t="inlineStr">
        <is>
          <t>KRISTINEHAMN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46296</v>
      </c>
      <c r="F114" t="inlineStr">
        <is>
          <t>VÄRMLANDS LÄN</t>
        </is>
      </c>
      <c r="G114" t="inlineStr">
        <is>
          <t>KRISTINEHAMN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46296</v>
      </c>
      <c r="F115" t="inlineStr">
        <is>
          <t>VÄRMLANDS LÄN</t>
        </is>
      </c>
      <c r="G115" t="inlineStr">
        <is>
          <t>KRISTINEHAMN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46296</v>
      </c>
      <c r="F116" t="inlineStr">
        <is>
          <t>VÄRMLANDS LÄN</t>
        </is>
      </c>
      <c r="G116" t="inlineStr">
        <is>
          <t>KRISTINEHAMN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45081</v>
      </c>
      <c r="E117" s="1" t="n">
        <v>46296</v>
      </c>
      <c r="F117" t="inlineStr">
        <is>
          <t>VÄRMLANDS LÄN</t>
        </is>
      </c>
      <c r="G117" t="inlineStr">
        <is>
          <t>KRISTINEHAMN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46296</v>
      </c>
      <c r="F118" t="inlineStr">
        <is>
          <t>VÄRMLANDS LÄN</t>
        </is>
      </c>
      <c r="G118" t="inlineStr">
        <is>
          <t>KRISTINEHAMN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23246-2024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45450</v>
      </c>
      <c r="E119" s="1" t="n">
        <v>46296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45593</v>
      </c>
      <c r="E120" s="1" t="n">
        <v>46296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46296</v>
      </c>
      <c r="F121" t="inlineStr">
        <is>
          <t>VÄRMLANDS LÄN</t>
        </is>
      </c>
      <c r="G121" t="inlineStr">
        <is>
          <t>KRISTINEHAMN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46296</v>
      </c>
      <c r="F122" t="inlineStr">
        <is>
          <t>VÄRMLANDS LÄN</t>
        </is>
      </c>
      <c r="G122" t="inlineStr">
        <is>
          <t>KRISTINEHAMN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46296</v>
      </c>
      <c r="F123" t="inlineStr">
        <is>
          <t>VÄRMLANDS LÄN</t>
        </is>
      </c>
      <c r="G123" t="inlineStr">
        <is>
          <t>KRISTINEHAMN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46296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46296</v>
      </c>
      <c r="F125" t="inlineStr">
        <is>
          <t>VÄRMLANDS LÄN</t>
        </is>
      </c>
      <c r="G125" t="inlineStr">
        <is>
          <t>KRISTINEHAMN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46296</v>
      </c>
      <c r="F126" t="inlineStr">
        <is>
          <t>VÄRMLANDS LÄN</t>
        </is>
      </c>
      <c r="G126" t="inlineStr">
        <is>
          <t>KRISTINEHAMN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46296</v>
      </c>
      <c r="F127" t="inlineStr">
        <is>
          <t>VÄRMLANDS LÄN</t>
        </is>
      </c>
      <c r="G127" t="inlineStr">
        <is>
          <t>KRISTINEHAMN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46296</v>
      </c>
      <c r="F128" t="inlineStr">
        <is>
          <t>VÄRMLANDS LÄN</t>
        </is>
      </c>
      <c r="G128" t="inlineStr">
        <is>
          <t>KRISTINEHAMN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45701</v>
      </c>
      <c r="E129" s="1" t="n">
        <v>46296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Naturvårdsverket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46296</v>
      </c>
      <c r="F130" t="inlineStr">
        <is>
          <t>VÄRMLANDS LÄN</t>
        </is>
      </c>
      <c r="G130" t="inlineStr">
        <is>
          <t>KRISTINEHAMN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46296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46296</v>
      </c>
      <c r="F132" t="inlineStr">
        <is>
          <t>VÄRMLANDS LÄN</t>
        </is>
      </c>
      <c r="G132" t="inlineStr">
        <is>
          <t>KRISTINEHAMN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45313</v>
      </c>
      <c r="E133" s="1" t="n">
        <v>46296</v>
      </c>
      <c r="F133" t="inlineStr">
        <is>
          <t>VÄRMLANDS LÄN</t>
        </is>
      </c>
      <c r="G133" t="inlineStr">
        <is>
          <t>KRISTINEHAMN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45647</v>
      </c>
      <c r="E134" s="1" t="n">
        <v>46296</v>
      </c>
      <c r="F134" t="inlineStr">
        <is>
          <t>VÄRMLANDS LÄN</t>
        </is>
      </c>
      <c r="G134" t="inlineStr">
        <is>
          <t>KRISTINEHAMN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44831</v>
      </c>
      <c r="E135" s="1" t="n">
        <v>46296</v>
      </c>
      <c r="F135" t="inlineStr">
        <is>
          <t>VÄRMLANDS LÄN</t>
        </is>
      </c>
      <c r="G135" t="inlineStr">
        <is>
          <t>KRISTINEHAMN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44473</v>
      </c>
      <c r="E136" s="1" t="n">
        <v>46296</v>
      </c>
      <c r="F136" t="inlineStr">
        <is>
          <t>VÄRMLANDS LÄN</t>
        </is>
      </c>
      <c r="G136" t="inlineStr">
        <is>
          <t>KRISTINEHAMN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46296</v>
      </c>
      <c r="F137" t="inlineStr">
        <is>
          <t>VÄRMLANDS LÄN</t>
        </is>
      </c>
      <c r="G137" t="inlineStr">
        <is>
          <t>KRISTINEHAMN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45401</v>
      </c>
      <c r="E138" s="1" t="n">
        <v>46296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46296</v>
      </c>
      <c r="F139" t="inlineStr">
        <is>
          <t>VÄRMLANDS LÄN</t>
        </is>
      </c>
      <c r="G139" t="inlineStr">
        <is>
          <t>KRISTINEHAMN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44918</v>
      </c>
      <c r="E140" s="1" t="n">
        <v>46296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Kommuner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45176</v>
      </c>
      <c r="E141" s="1" t="n">
        <v>46296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Naturvårdsverket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46296</v>
      </c>
      <c r="F142" t="inlineStr">
        <is>
          <t>VÄRMLANDS LÄN</t>
        </is>
      </c>
      <c r="G142" t="inlineStr">
        <is>
          <t>KRISTINEHAMN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46296</v>
      </c>
      <c r="F143" t="inlineStr">
        <is>
          <t>VÄRMLANDS LÄN</t>
        </is>
      </c>
      <c r="G143" t="inlineStr">
        <is>
          <t>KRISTINEHAMN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13459-2024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45387</v>
      </c>
      <c r="E144" s="1" t="n">
        <v>46296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46296</v>
      </c>
      <c r="F145" t="inlineStr">
        <is>
          <t>VÄRMLANDS LÄN</t>
        </is>
      </c>
      <c r="G145" t="inlineStr">
        <is>
          <t>KRISTINEHAMN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46296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44480</v>
      </c>
      <c r="E147" s="1" t="n">
        <v>46296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46296</v>
      </c>
      <c r="F148" t="inlineStr">
        <is>
          <t>VÄRMLANDS LÄN</t>
        </is>
      </c>
      <c r="G148" t="inlineStr">
        <is>
          <t>KRISTINEHAMN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46296</v>
      </c>
      <c r="F149" t="inlineStr">
        <is>
          <t>VÄRMLANDS LÄN</t>
        </is>
      </c>
      <c r="G149" t="inlineStr">
        <is>
          <t>KRISTINEHAMN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46296</v>
      </c>
      <c r="F150" t="inlineStr">
        <is>
          <t>VÄRMLANDS LÄN</t>
        </is>
      </c>
      <c r="G150" t="inlineStr">
        <is>
          <t>KRISTINEHAMN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46296</v>
      </c>
      <c r="F151" t="inlineStr">
        <is>
          <t>VÄRMLANDS LÄN</t>
        </is>
      </c>
      <c r="G151" t="inlineStr">
        <is>
          <t>KRISTINEHAMN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46296</v>
      </c>
      <c r="F152" t="inlineStr">
        <is>
          <t>VÄRMLANDS LÄN</t>
        </is>
      </c>
      <c r="G152" t="inlineStr">
        <is>
          <t>KRISTINEHAMN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45302</v>
      </c>
      <c r="E153" s="1" t="n">
        <v>46296</v>
      </c>
      <c r="F153" t="inlineStr">
        <is>
          <t>VÄRMLANDS LÄN</t>
        </is>
      </c>
      <c r="G153" t="inlineStr">
        <is>
          <t>KRISTINEHAMN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46296</v>
      </c>
      <c r="F154" t="inlineStr">
        <is>
          <t>VÄRMLANDS LÄN</t>
        </is>
      </c>
      <c r="G154" t="inlineStr">
        <is>
          <t>KRISTINEHAMN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44722</v>
      </c>
      <c r="E155" s="1" t="n">
        <v>46296</v>
      </c>
      <c r="F155" t="inlineStr">
        <is>
          <t>VÄRMLANDS LÄN</t>
        </is>
      </c>
      <c r="G155" t="inlineStr">
        <is>
          <t>KRISTINEHAMN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46296</v>
      </c>
      <c r="F156" t="inlineStr">
        <is>
          <t>VÄRMLANDS LÄN</t>
        </is>
      </c>
      <c r="G156" t="inlineStr">
        <is>
          <t>KRISTINEHAMN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45344</v>
      </c>
      <c r="E157" s="1" t="n">
        <v>46296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46296</v>
      </c>
      <c r="F158" t="inlineStr">
        <is>
          <t>VÄRMLANDS LÄN</t>
        </is>
      </c>
      <c r="G158" t="inlineStr">
        <is>
          <t>KRISTINEHAMN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46296</v>
      </c>
      <c r="F159" t="inlineStr">
        <is>
          <t>VÄRMLANDS LÄN</t>
        </is>
      </c>
      <c r="G159" t="inlineStr">
        <is>
          <t>KRISTINEHAMN</t>
        </is>
      </c>
      <c r="I159" t="n">
        <v>19.4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46296</v>
      </c>
      <c r="F160" t="inlineStr">
        <is>
          <t>VÄRMLANDS LÄN</t>
        </is>
      </c>
      <c r="G160" t="inlineStr">
        <is>
          <t>KRISTINEHAMN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46296</v>
      </c>
      <c r="F161" t="inlineStr">
        <is>
          <t>VÄRMLANDS LÄN</t>
        </is>
      </c>
      <c r="G161" t="inlineStr">
        <is>
          <t>KRISTINEHAMN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46296</v>
      </c>
      <c r="F162" t="inlineStr">
        <is>
          <t>VÄRMLANDS LÄN</t>
        </is>
      </c>
      <c r="G162" t="inlineStr">
        <is>
          <t>KRISTINEHAMN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45238</v>
      </c>
      <c r="E163" s="1" t="n">
        <v>46296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Kommuner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45282</v>
      </c>
      <c r="E164" s="1" t="n">
        <v>46296</v>
      </c>
      <c r="F164" t="inlineStr">
        <is>
          <t>VÄRMLANDS LÄN</t>
        </is>
      </c>
      <c r="G164" t="inlineStr">
        <is>
          <t>KRISTINEHAMN</t>
        </is>
      </c>
      <c r="I164" t="n">
        <v>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46296</v>
      </c>
      <c r="F165" t="inlineStr">
        <is>
          <t>VÄRMLANDS LÄN</t>
        </is>
      </c>
      <c r="G165" t="inlineStr">
        <is>
          <t>KRISTINEHAMN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46296</v>
      </c>
      <c r="F166" t="inlineStr">
        <is>
          <t>VÄRMLANDS LÄN</t>
        </is>
      </c>
      <c r="G166" t="inlineStr">
        <is>
          <t>KRISTINEHAMN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46296</v>
      </c>
      <c r="F167" t="inlineStr">
        <is>
          <t>VÄRMLANDS LÄN</t>
        </is>
      </c>
      <c r="G167" t="inlineStr">
        <is>
          <t>KRISTINEHAMN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55003-2021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46296</v>
      </c>
      <c r="F168" t="inlineStr">
        <is>
          <t>VÄRMLANDS LÄN</t>
        </is>
      </c>
      <c r="G168" t="inlineStr">
        <is>
          <t>KRISTINEHAMN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46296</v>
      </c>
      <c r="F169" t="inlineStr">
        <is>
          <t>VÄRMLANDS LÄN</t>
        </is>
      </c>
      <c r="G169" t="inlineStr">
        <is>
          <t>KRISTINEHAMN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45118</v>
      </c>
      <c r="E170" s="1" t="n">
        <v>46296</v>
      </c>
      <c r="F170" t="inlineStr">
        <is>
          <t>VÄRMLANDS LÄN</t>
        </is>
      </c>
      <c r="G170" t="inlineStr">
        <is>
          <t>KRISTINEHAMN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45769</v>
      </c>
      <c r="E171" s="1" t="n">
        <v>46296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Kyrkan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45302</v>
      </c>
      <c r="E172" s="1" t="n">
        <v>46296</v>
      </c>
      <c r="F172" t="inlineStr">
        <is>
          <t>VÄRMLANDS LÄN</t>
        </is>
      </c>
      <c r="G172" t="inlineStr">
        <is>
          <t>KRISTINEHAMN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44656</v>
      </c>
      <c r="E173" s="1" t="n">
        <v>46296</v>
      </c>
      <c r="F173" t="inlineStr">
        <is>
          <t>VÄRMLANDS LÄN</t>
        </is>
      </c>
      <c r="G173" t="inlineStr">
        <is>
          <t>KRISTINEHAMN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46296</v>
      </c>
      <c r="F174" t="inlineStr">
        <is>
          <t>VÄRMLANDS LÄN</t>
        </is>
      </c>
      <c r="G174" t="inlineStr">
        <is>
          <t>KRISTINEHAMN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46296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46296</v>
      </c>
      <c r="F176" t="inlineStr">
        <is>
          <t>VÄRMLANDS LÄN</t>
        </is>
      </c>
      <c r="G176" t="inlineStr">
        <is>
          <t>KRISTINEHAMN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23707-2022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44722</v>
      </c>
      <c r="E177" s="1" t="n">
        <v>46296</v>
      </c>
      <c r="F177" t="inlineStr">
        <is>
          <t>VÄRMLANDS LÄN</t>
        </is>
      </c>
      <c r="G177" t="inlineStr">
        <is>
          <t>KRISTINEHAMN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45076</v>
      </c>
      <c r="E178" s="1" t="n">
        <v>46296</v>
      </c>
      <c r="F178" t="inlineStr">
        <is>
          <t>VÄRMLANDS LÄN</t>
        </is>
      </c>
      <c r="G178" t="inlineStr">
        <is>
          <t>KRISTINEHAMN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12395-2024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45379</v>
      </c>
      <c r="E179" s="1" t="n">
        <v>46296</v>
      </c>
      <c r="F179" t="inlineStr">
        <is>
          <t>VÄRMLANDS LÄN</t>
        </is>
      </c>
      <c r="G179" t="inlineStr">
        <is>
          <t>KRISTINEHAMN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46296</v>
      </c>
      <c r="F180" t="inlineStr">
        <is>
          <t>VÄRMLANDS LÄN</t>
        </is>
      </c>
      <c r="G180" t="inlineStr">
        <is>
          <t>KRISTINEHAMN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46296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46296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28834-2024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45478</v>
      </c>
      <c r="E183" s="1" t="n">
        <v>46296</v>
      </c>
      <c r="F183" t="inlineStr">
        <is>
          <t>VÄRMLANDS LÄN</t>
        </is>
      </c>
      <c r="G183" t="inlineStr">
        <is>
          <t>KRISTINEHAMN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46296</v>
      </c>
      <c r="F184" t="inlineStr">
        <is>
          <t>VÄRMLANDS LÄN</t>
        </is>
      </c>
      <c r="G184" t="inlineStr">
        <is>
          <t>KRISTINEHAMN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46296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46296</v>
      </c>
      <c r="F186" t="inlineStr">
        <is>
          <t>VÄRMLANDS LÄN</t>
        </is>
      </c>
      <c r="G186" t="inlineStr">
        <is>
          <t>KRISTINEHAMN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46296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46296</v>
      </c>
      <c r="F188" t="inlineStr">
        <is>
          <t>VÄRMLANDS LÄN</t>
        </is>
      </c>
      <c r="G188" t="inlineStr">
        <is>
          <t>KRISTINEHAMN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46296</v>
      </c>
      <c r="F189" t="inlineStr">
        <is>
          <t>VÄRMLANDS LÄN</t>
        </is>
      </c>
      <c r="G189" t="inlineStr">
        <is>
          <t>KRISTINEHAMN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46296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Naturvårdsverket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46296</v>
      </c>
      <c r="F191" t="inlineStr">
        <is>
          <t>VÄRMLANDS LÄN</t>
        </is>
      </c>
      <c r="G191" t="inlineStr">
        <is>
          <t>KRISTINEHAMN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46296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46296</v>
      </c>
      <c r="F193" t="inlineStr">
        <is>
          <t>VÄRMLANDS LÄN</t>
        </is>
      </c>
      <c r="G193" t="inlineStr">
        <is>
          <t>KRISTINEHAMN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46296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Kommuner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45442</v>
      </c>
      <c r="E195" s="1" t="n">
        <v>46296</v>
      </c>
      <c r="F195" t="inlineStr">
        <is>
          <t>VÄRMLANDS LÄN</t>
        </is>
      </c>
      <c r="G195" t="inlineStr">
        <is>
          <t>KRISTINEHAMN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45226</v>
      </c>
      <c r="E196" s="1" t="n">
        <v>46296</v>
      </c>
      <c r="F196" t="inlineStr">
        <is>
          <t>VÄRMLANDS LÄN</t>
        </is>
      </c>
      <c r="G196" t="inlineStr">
        <is>
          <t>KRISTINEHAMN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46296</v>
      </c>
      <c r="F197" t="inlineStr">
        <is>
          <t>VÄRMLANDS LÄN</t>
        </is>
      </c>
      <c r="G197" t="inlineStr">
        <is>
          <t>KRISTINEHAMN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46296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46296</v>
      </c>
      <c r="F199" t="inlineStr">
        <is>
          <t>VÄRMLANDS LÄN</t>
        </is>
      </c>
      <c r="G199" t="inlineStr">
        <is>
          <t>KRISTINEHAMN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46296</v>
      </c>
      <c r="F200" t="inlineStr">
        <is>
          <t>VÄRMLANDS LÄN</t>
        </is>
      </c>
      <c r="G200" t="inlineStr">
        <is>
          <t>KRISTINEHAMN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21602-2025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45783</v>
      </c>
      <c r="E201" s="1" t="n">
        <v>46296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46296</v>
      </c>
      <c r="F202" t="inlineStr">
        <is>
          <t>VÄRMLANDS LÄN</t>
        </is>
      </c>
      <c r="G202" t="inlineStr">
        <is>
          <t>KRISTINEHAMN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46296</v>
      </c>
      <c r="F203" t="inlineStr">
        <is>
          <t>VÄRMLANDS LÄN</t>
        </is>
      </c>
      <c r="G203" t="inlineStr">
        <is>
          <t>KRISTINEHAMN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45679</v>
      </c>
      <c r="E204" s="1" t="n">
        <v>46296</v>
      </c>
      <c r="F204" t="inlineStr">
        <is>
          <t>VÄRMLANDS LÄN</t>
        </is>
      </c>
      <c r="G204" t="inlineStr">
        <is>
          <t>KRISTINEHAMN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46296</v>
      </c>
      <c r="F205" t="inlineStr">
        <is>
          <t>VÄRMLANDS LÄN</t>
        </is>
      </c>
      <c r="G205" t="inlineStr">
        <is>
          <t>KRISTINEHAMN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45379</v>
      </c>
      <c r="E206" s="1" t="n">
        <v>46296</v>
      </c>
      <c r="F206" t="inlineStr">
        <is>
          <t>VÄRMLANDS LÄN</t>
        </is>
      </c>
      <c r="G206" t="inlineStr">
        <is>
          <t>KRISTINEHAMN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45361</v>
      </c>
      <c r="E207" s="1" t="n">
        <v>46296</v>
      </c>
      <c r="F207" t="inlineStr">
        <is>
          <t>VÄRMLANDS LÄN</t>
        </is>
      </c>
      <c r="G207" t="inlineStr">
        <is>
          <t>KRISTINEHAMN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46296</v>
      </c>
      <c r="F208" t="inlineStr">
        <is>
          <t>VÄRMLANDS LÄN</t>
        </is>
      </c>
      <c r="G208" t="inlineStr">
        <is>
          <t>KRISTINEHAMN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46296</v>
      </c>
      <c r="F209" t="inlineStr">
        <is>
          <t>VÄRMLANDS LÄN</t>
        </is>
      </c>
      <c r="G209" t="inlineStr">
        <is>
          <t>KRISTINEHAMN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46296</v>
      </c>
      <c r="F210" t="inlineStr">
        <is>
          <t>VÄRMLANDS LÄN</t>
        </is>
      </c>
      <c r="G210" t="inlineStr">
        <is>
          <t>KRISTINEHAMN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46296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46296</v>
      </c>
      <c r="F212" t="inlineStr">
        <is>
          <t>VÄRMLANDS LÄN</t>
        </is>
      </c>
      <c r="G212" t="inlineStr">
        <is>
          <t>KRISTINEHAMN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46296</v>
      </c>
      <c r="F213" t="inlineStr">
        <is>
          <t>VÄRMLANDS LÄN</t>
        </is>
      </c>
      <c r="G213" t="inlineStr">
        <is>
          <t>KRISTINEHAMN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23510-2025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45792</v>
      </c>
      <c r="E214" s="1" t="n">
        <v>46296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46296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Kommuner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68526-2021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44526</v>
      </c>
      <c r="E216" s="1" t="n">
        <v>46296</v>
      </c>
      <c r="F216" t="inlineStr">
        <is>
          <t>VÄRMLANDS LÄN</t>
        </is>
      </c>
      <c r="G216" t="inlineStr">
        <is>
          <t>KRISTINEHAMN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68530-2021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44526</v>
      </c>
      <c r="E217" s="1" t="n">
        <v>46296</v>
      </c>
      <c r="F217" t="inlineStr">
        <is>
          <t>VÄRMLANDS LÄN</t>
        </is>
      </c>
      <c r="G217" t="inlineStr">
        <is>
          <t>KRISTINEHAMN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46296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45792</v>
      </c>
      <c r="E219" s="1" t="n">
        <v>46296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46296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44883</v>
      </c>
      <c r="E221" s="1" t="n">
        <v>46296</v>
      </c>
      <c r="F221" t="inlineStr">
        <is>
          <t>VÄRMLANDS LÄN</t>
        </is>
      </c>
      <c r="G221" t="inlineStr">
        <is>
          <t>KRISTINEHAMN</t>
        </is>
      </c>
      <c r="I221" t="n">
        <v>11.1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46296</v>
      </c>
      <c r="F222" t="inlineStr">
        <is>
          <t>VÄRMLANDS LÄN</t>
        </is>
      </c>
      <c r="G222" t="inlineStr">
        <is>
          <t>KRISTINEHAMN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45686</v>
      </c>
      <c r="E223" s="1" t="n">
        <v>46296</v>
      </c>
      <c r="F223" t="inlineStr">
        <is>
          <t>VÄRMLANDS LÄN</t>
        </is>
      </c>
      <c r="G223" t="inlineStr">
        <is>
          <t>KRISTINEHAMN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46296</v>
      </c>
      <c r="F224" t="inlineStr">
        <is>
          <t>VÄRMLANDS LÄN</t>
        </is>
      </c>
      <c r="G224" t="inlineStr">
        <is>
          <t>KRISTINEHAMN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46296</v>
      </c>
      <c r="F225" t="inlineStr">
        <is>
          <t>VÄRMLANDS LÄN</t>
        </is>
      </c>
      <c r="G225" t="inlineStr">
        <is>
          <t>KRISTINEHAMN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46296</v>
      </c>
      <c r="F226" t="inlineStr">
        <is>
          <t>VÄRMLANDS LÄN</t>
        </is>
      </c>
      <c r="G226" t="inlineStr">
        <is>
          <t>KRISTINEHAMN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44712</v>
      </c>
      <c r="E227" s="1" t="n">
        <v>46296</v>
      </c>
      <c r="F227" t="inlineStr">
        <is>
          <t>VÄRMLANDS LÄN</t>
        </is>
      </c>
      <c r="G227" t="inlineStr">
        <is>
          <t>KRISTINEHAMN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46296</v>
      </c>
      <c r="F228" t="inlineStr">
        <is>
          <t>VÄRMLANDS LÄN</t>
        </is>
      </c>
      <c r="G228" t="inlineStr">
        <is>
          <t>KRISTINEHAMN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46296</v>
      </c>
      <c r="F229" t="inlineStr">
        <is>
          <t>VÄRMLANDS LÄN</t>
        </is>
      </c>
      <c r="G229" t="inlineStr">
        <is>
          <t>KRISTINEHAMN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46296</v>
      </c>
      <c r="F230" t="inlineStr">
        <is>
          <t>VÄRMLANDS LÄN</t>
        </is>
      </c>
      <c r="G230" t="inlineStr">
        <is>
          <t>KRISTINEHAMN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45282</v>
      </c>
      <c r="E231" s="1" t="n">
        <v>46296</v>
      </c>
      <c r="F231" t="inlineStr">
        <is>
          <t>VÄRMLANDS LÄN</t>
        </is>
      </c>
      <c r="G231" t="inlineStr">
        <is>
          <t>KRISTINEHAMN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22896-2023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45072</v>
      </c>
      <c r="E232" s="1" t="n">
        <v>46296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46296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44985</v>
      </c>
      <c r="E234" s="1" t="n">
        <v>46296</v>
      </c>
      <c r="F234" t="inlineStr">
        <is>
          <t>VÄRMLANDS LÄN</t>
        </is>
      </c>
      <c r="G234" t="inlineStr">
        <is>
          <t>KRISTINEHAMN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46296</v>
      </c>
      <c r="F235" t="inlineStr">
        <is>
          <t>VÄRMLANDS LÄN</t>
        </is>
      </c>
      <c r="G235" t="inlineStr">
        <is>
          <t>KRISTINEHAMN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45447</v>
      </c>
      <c r="E236" s="1" t="n">
        <v>46296</v>
      </c>
      <c r="F236" t="inlineStr">
        <is>
          <t>VÄRMLANDS LÄN</t>
        </is>
      </c>
      <c r="G236" t="inlineStr">
        <is>
          <t>KRISTINEHAMN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46296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45662</v>
      </c>
      <c r="E238" s="1" t="n">
        <v>46296</v>
      </c>
      <c r="F238" t="inlineStr">
        <is>
          <t>VÄRMLANDS LÄN</t>
        </is>
      </c>
      <c r="G238" t="inlineStr">
        <is>
          <t>KRISTINEHAMN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45575</v>
      </c>
      <c r="E239" s="1" t="n">
        <v>46296</v>
      </c>
      <c r="F239" t="inlineStr">
        <is>
          <t>VÄRMLANDS LÄN</t>
        </is>
      </c>
      <c r="G239" t="inlineStr">
        <is>
          <t>KRISTINEHAMN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45477</v>
      </c>
      <c r="E240" s="1" t="n">
        <v>46296</v>
      </c>
      <c r="F240" t="inlineStr">
        <is>
          <t>VÄRMLANDS LÄN</t>
        </is>
      </c>
      <c r="G240" t="inlineStr">
        <is>
          <t>KRISTINEHAMN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46296</v>
      </c>
      <c r="F241" t="inlineStr">
        <is>
          <t>VÄRMLANDS LÄN</t>
        </is>
      </c>
      <c r="G241" t="inlineStr">
        <is>
          <t>KRISTINEHAMN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46296</v>
      </c>
      <c r="F242" t="inlineStr">
        <is>
          <t>VÄRMLANDS LÄN</t>
        </is>
      </c>
      <c r="G242" t="inlineStr">
        <is>
          <t>KRISTINEHAMN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46296</v>
      </c>
      <c r="F243" t="inlineStr">
        <is>
          <t>VÄRMLANDS LÄN</t>
        </is>
      </c>
      <c r="G243" t="inlineStr">
        <is>
          <t>KRISTINEHAMN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46296</v>
      </c>
      <c r="F244" t="inlineStr">
        <is>
          <t>VÄRMLANDS LÄN</t>
        </is>
      </c>
      <c r="G244" t="inlineStr">
        <is>
          <t>KRISTINEHAMN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46296</v>
      </c>
      <c r="F245" t="inlineStr">
        <is>
          <t>VÄRMLANDS LÄN</t>
        </is>
      </c>
      <c r="G245" t="inlineStr">
        <is>
          <t>KRISTINEHAMN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46296</v>
      </c>
      <c r="F246" t="inlineStr">
        <is>
          <t>VÄRMLANDS LÄN</t>
        </is>
      </c>
      <c r="G246" t="inlineStr">
        <is>
          <t>KRISTINEHAMN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45802</v>
      </c>
      <c r="E247" s="1" t="n">
        <v>46296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Naturvårdsverket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46296</v>
      </c>
      <c r="F248" t="inlineStr">
        <is>
          <t>VÄRMLANDS LÄN</t>
        </is>
      </c>
      <c r="G248" t="inlineStr">
        <is>
          <t>KRISTINEHAMN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45805</v>
      </c>
      <c r="E249" s="1" t="n">
        <v>46296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46296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46296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46296</v>
      </c>
      <c r="F252" t="inlineStr">
        <is>
          <t>VÄRMLANDS LÄN</t>
        </is>
      </c>
      <c r="G252" t="inlineStr">
        <is>
          <t>KRISTINEHAMN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46296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46296</v>
      </c>
      <c r="F254" t="inlineStr">
        <is>
          <t>VÄRMLANDS LÄN</t>
        </is>
      </c>
      <c r="G254" t="inlineStr">
        <is>
          <t>KRISTINEHAMN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46296</v>
      </c>
      <c r="F255" t="inlineStr">
        <is>
          <t>VÄRMLANDS LÄN</t>
        </is>
      </c>
      <c r="G255" t="inlineStr">
        <is>
          <t>KRISTINEHAMN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44637</v>
      </c>
      <c r="E256" s="1" t="n">
        <v>46296</v>
      </c>
      <c r="F256" t="inlineStr">
        <is>
          <t>VÄRMLANDS LÄN</t>
        </is>
      </c>
      <c r="G256" t="inlineStr">
        <is>
          <t>KRISTINEHAMN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45513</v>
      </c>
      <c r="E257" s="1" t="n">
        <v>46296</v>
      </c>
      <c r="F257" t="inlineStr">
        <is>
          <t>VÄRMLANDS LÄN</t>
        </is>
      </c>
      <c r="G257" t="inlineStr">
        <is>
          <t>KRISTINEHAMN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46296</v>
      </c>
      <c r="F258" t="inlineStr">
        <is>
          <t>VÄRMLANDS LÄN</t>
        </is>
      </c>
      <c r="G258" t="inlineStr">
        <is>
          <t>KRISTINEHAMN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46296</v>
      </c>
      <c r="F259" t="inlineStr">
        <is>
          <t>VÄRMLANDS LÄN</t>
        </is>
      </c>
      <c r="G259" t="inlineStr">
        <is>
          <t>KRISTINEHAMN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46296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45812</v>
      </c>
      <c r="E261" s="1" t="n">
        <v>46296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46296</v>
      </c>
      <c r="F262" t="inlineStr">
        <is>
          <t>VÄRMLANDS LÄN</t>
        </is>
      </c>
      <c r="G262" t="inlineStr">
        <is>
          <t>KRISTINEHAMN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46296</v>
      </c>
      <c r="F263" t="inlineStr">
        <is>
          <t>VÄRMLANDS LÄN</t>
        </is>
      </c>
      <c r="G263" t="inlineStr">
        <is>
          <t>KRISTINEHAMN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44749</v>
      </c>
      <c r="E264" s="1" t="n">
        <v>46296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46296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Naturvårdsverket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46296</v>
      </c>
      <c r="F266" t="inlineStr">
        <is>
          <t>VÄRMLANDS LÄN</t>
        </is>
      </c>
      <c r="G266" t="inlineStr">
        <is>
          <t>KRISTINEHAMN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44985</v>
      </c>
      <c r="E267" s="1" t="n">
        <v>46296</v>
      </c>
      <c r="F267" t="inlineStr">
        <is>
          <t>VÄRMLANDS LÄN</t>
        </is>
      </c>
      <c r="G267" t="inlineStr">
        <is>
          <t>KRISTINEHAMN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46296</v>
      </c>
      <c r="F268" t="inlineStr">
        <is>
          <t>VÄRMLANDS LÄN</t>
        </is>
      </c>
      <c r="G268" t="inlineStr">
        <is>
          <t>KRISTINEHAMN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46296</v>
      </c>
      <c r="F269" t="inlineStr">
        <is>
          <t>VÄRMLANDS LÄN</t>
        </is>
      </c>
      <c r="G269" t="inlineStr">
        <is>
          <t>KRISTINEHAMN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46296</v>
      </c>
      <c r="F270" t="inlineStr">
        <is>
          <t>VÄRMLANDS LÄN</t>
        </is>
      </c>
      <c r="G270" t="inlineStr">
        <is>
          <t>KRISTINEHAMN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46296</v>
      </c>
      <c r="F271" t="inlineStr">
        <is>
          <t>VÄRMLANDS LÄN</t>
        </is>
      </c>
      <c r="G271" t="inlineStr">
        <is>
          <t>KRISTINEHAMN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45044</v>
      </c>
      <c r="E272" s="1" t="n">
        <v>46296</v>
      </c>
      <c r="F272" t="inlineStr">
        <is>
          <t>VÄRMLANDS LÄN</t>
        </is>
      </c>
      <c r="G272" t="inlineStr">
        <is>
          <t>KRISTINEHAMN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46296</v>
      </c>
      <c r="F273" t="inlineStr">
        <is>
          <t>VÄRMLANDS LÄN</t>
        </is>
      </c>
      <c r="G273" t="inlineStr">
        <is>
          <t>KRISTINEHAMN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44924</v>
      </c>
      <c r="E274" s="1" t="n">
        <v>46296</v>
      </c>
      <c r="F274" t="inlineStr">
        <is>
          <t>VÄRMLANDS LÄN</t>
        </is>
      </c>
      <c r="G274" t="inlineStr">
        <is>
          <t>KRISTINEHAMN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48405-2023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45201</v>
      </c>
      <c r="E275" s="1" t="n">
        <v>46296</v>
      </c>
      <c r="F275" t="inlineStr">
        <is>
          <t>VÄRMLANDS LÄN</t>
        </is>
      </c>
      <c r="G275" t="inlineStr">
        <is>
          <t>KRISTINEHAMN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46296</v>
      </c>
      <c r="F276" t="inlineStr">
        <is>
          <t>VÄRMLANDS LÄN</t>
        </is>
      </c>
      <c r="G276" t="inlineStr">
        <is>
          <t>KRISTINEHAMN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44489</v>
      </c>
      <c r="E277" s="1" t="n">
        <v>46296</v>
      </c>
      <c r="F277" t="inlineStr">
        <is>
          <t>VÄRMLANDS LÄN</t>
        </is>
      </c>
      <c r="G277" t="inlineStr">
        <is>
          <t>KRISTINEHAMN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46296</v>
      </c>
      <c r="F278" t="inlineStr">
        <is>
          <t>VÄRMLANDS LÄN</t>
        </is>
      </c>
      <c r="G278" t="inlineStr">
        <is>
          <t>KRISTINEHAMN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45364</v>
      </c>
      <c r="E279" s="1" t="n">
        <v>46296</v>
      </c>
      <c r="F279" t="inlineStr">
        <is>
          <t>VÄRMLANDS LÄN</t>
        </is>
      </c>
      <c r="G279" t="inlineStr">
        <is>
          <t>KRISTINEHAMN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44812</v>
      </c>
      <c r="E280" s="1" t="n">
        <v>46296</v>
      </c>
      <c r="F280" t="inlineStr">
        <is>
          <t>VÄRMLANDS LÄN</t>
        </is>
      </c>
      <c r="G280" t="inlineStr">
        <is>
          <t>KRISTINEHAMN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46296</v>
      </c>
      <c r="F281" t="inlineStr">
        <is>
          <t>VÄRMLANDS LÄN</t>
        </is>
      </c>
      <c r="G281" t="inlineStr">
        <is>
          <t>KRISTINEHAMN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45385</v>
      </c>
      <c r="E282" s="1" t="n">
        <v>46296</v>
      </c>
      <c r="F282" t="inlineStr">
        <is>
          <t>VÄRMLANDS LÄN</t>
        </is>
      </c>
      <c r="G282" t="inlineStr">
        <is>
          <t>KRISTINEHAMN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46296</v>
      </c>
      <c r="F283" t="inlineStr">
        <is>
          <t>VÄRMLANDS LÄN</t>
        </is>
      </c>
      <c r="G283" t="inlineStr">
        <is>
          <t>KRISTINEHAMN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45377</v>
      </c>
      <c r="E284" s="1" t="n">
        <v>46296</v>
      </c>
      <c r="F284" t="inlineStr">
        <is>
          <t>VÄRMLANDS LÄN</t>
        </is>
      </c>
      <c r="G284" t="inlineStr">
        <is>
          <t>KRISTINEHAMN</t>
        </is>
      </c>
      <c r="I284" t="n">
        <v>13.2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45378</v>
      </c>
      <c r="E285" s="1" t="n">
        <v>46296</v>
      </c>
      <c r="F285" t="inlineStr">
        <is>
          <t>VÄRMLANDS LÄN</t>
        </is>
      </c>
      <c r="G285" t="inlineStr">
        <is>
          <t>KRISTINEHAMN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45364</v>
      </c>
      <c r="E286" s="1" t="n">
        <v>46296</v>
      </c>
      <c r="F286" t="inlineStr">
        <is>
          <t>VÄRMLANDS LÄN</t>
        </is>
      </c>
      <c r="G286" t="inlineStr">
        <is>
          <t>KRISTINEHAMN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45364</v>
      </c>
      <c r="E287" s="1" t="n">
        <v>46296</v>
      </c>
      <c r="F287" t="inlineStr">
        <is>
          <t>VÄRMLANDS LÄN</t>
        </is>
      </c>
      <c r="G287" t="inlineStr">
        <is>
          <t>KRISTINEHAMN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46296</v>
      </c>
      <c r="F288" t="inlineStr">
        <is>
          <t>VÄRMLANDS LÄN</t>
        </is>
      </c>
      <c r="G288" t="inlineStr">
        <is>
          <t>KRISTINEHAMN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31528-2025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46296</v>
      </c>
      <c r="F289" t="inlineStr">
        <is>
          <t>VÄRMLANDS LÄN</t>
        </is>
      </c>
      <c r="G289" t="inlineStr">
        <is>
          <t>KRISTINEHAMN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46296</v>
      </c>
      <c r="F290" t="inlineStr">
        <is>
          <t>VÄRMLANDS LÄN</t>
        </is>
      </c>
      <c r="G290" t="inlineStr">
        <is>
          <t>KRISTINEHAMN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46296</v>
      </c>
      <c r="F291" t="inlineStr">
        <is>
          <t>VÄRMLANDS LÄN</t>
        </is>
      </c>
      <c r="G291" t="inlineStr">
        <is>
          <t>KRISTINEHAMN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46296</v>
      </c>
      <c r="F292" t="inlineStr">
        <is>
          <t>VÄRMLANDS LÄN</t>
        </is>
      </c>
      <c r="G292" t="inlineStr">
        <is>
          <t>KRISTINEHAMN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46296</v>
      </c>
      <c r="F293" t="inlineStr">
        <is>
          <t>VÄRMLANDS LÄN</t>
        </is>
      </c>
      <c r="G293" t="inlineStr">
        <is>
          <t>KRISTINEHAMN</t>
        </is>
      </c>
      <c r="I293" t="n">
        <v>20.1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46296</v>
      </c>
      <c r="F294" t="inlineStr">
        <is>
          <t>VÄRMLANDS LÄN</t>
        </is>
      </c>
      <c r="G294" t="inlineStr">
        <is>
          <t>KRISTINEHAMN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46296</v>
      </c>
      <c r="F295" t="inlineStr">
        <is>
          <t>VÄRMLANDS LÄN</t>
        </is>
      </c>
      <c r="G295" t="inlineStr">
        <is>
          <t>KRISTINEHAMN</t>
        </is>
      </c>
      <c r="I295" t="n">
        <v>19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46296</v>
      </c>
      <c r="F296" t="inlineStr">
        <is>
          <t>VÄRMLANDS LÄN</t>
        </is>
      </c>
      <c r="G296" t="inlineStr">
        <is>
          <t>KRISTINEHAMN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46296</v>
      </c>
      <c r="F297" t="inlineStr">
        <is>
          <t>VÄRMLANDS LÄN</t>
        </is>
      </c>
      <c r="G297" t="inlineStr">
        <is>
          <t>KRISTINEHAMN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45666</v>
      </c>
      <c r="E298" s="1" t="n">
        <v>46296</v>
      </c>
      <c r="F298" t="inlineStr">
        <is>
          <t>VÄRMLANDS LÄN</t>
        </is>
      </c>
      <c r="G298" t="inlineStr">
        <is>
          <t>KRISTINEHAMN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46296</v>
      </c>
      <c r="F299" t="inlineStr">
        <is>
          <t>VÄRMLANDS LÄN</t>
        </is>
      </c>
      <c r="G299" t="inlineStr">
        <is>
          <t>KRISTINEHAMN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45656</v>
      </c>
      <c r="E300" s="1" t="n">
        <v>46296</v>
      </c>
      <c r="F300" t="inlineStr">
        <is>
          <t>VÄRMLANDS LÄN</t>
        </is>
      </c>
      <c r="G300" t="inlineStr">
        <is>
          <t>KRISTINEHAMN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46296</v>
      </c>
      <c r="F301" t="inlineStr">
        <is>
          <t>VÄRMLANDS LÄN</t>
        </is>
      </c>
      <c r="G301" t="inlineStr">
        <is>
          <t>KRISTINEHAMN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59144-2021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44490</v>
      </c>
      <c r="E302" s="1" t="n">
        <v>46296</v>
      </c>
      <c r="F302" t="inlineStr">
        <is>
          <t>VÄRMLANDS LÄN</t>
        </is>
      </c>
      <c r="G302" t="inlineStr">
        <is>
          <t>KRISTINEHAMN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46296</v>
      </c>
      <c r="F303" t="inlineStr">
        <is>
          <t>VÄRMLANDS LÄN</t>
        </is>
      </c>
      <c r="G303" t="inlineStr">
        <is>
          <t>KRISTINEHAMN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45323</v>
      </c>
      <c r="E304" s="1" t="n">
        <v>46296</v>
      </c>
      <c r="F304" t="inlineStr">
        <is>
          <t>VÄRMLANDS LÄN</t>
        </is>
      </c>
      <c r="G304" t="inlineStr">
        <is>
          <t>KRISTINEHAMN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44651</v>
      </c>
      <c r="E305" s="1" t="n">
        <v>46296</v>
      </c>
      <c r="F305" t="inlineStr">
        <is>
          <t>VÄRMLANDS LÄN</t>
        </is>
      </c>
      <c r="G305" t="inlineStr">
        <is>
          <t>KRISTINEHAMN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46296</v>
      </c>
      <c r="F306" t="inlineStr">
        <is>
          <t>VÄRMLANDS LÄN</t>
        </is>
      </c>
      <c r="G306" t="inlineStr">
        <is>
          <t>KRISTINEHAMN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45461</v>
      </c>
      <c r="E307" s="1" t="n">
        <v>46296</v>
      </c>
      <c r="F307" t="inlineStr">
        <is>
          <t>VÄRMLANDS LÄN</t>
        </is>
      </c>
      <c r="G307" t="inlineStr">
        <is>
          <t>KRISTINEHAMN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44741</v>
      </c>
      <c r="E308" s="1" t="n">
        <v>46296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45313</v>
      </c>
      <c r="E309" s="1" t="n">
        <v>46296</v>
      </c>
      <c r="F309" t="inlineStr">
        <is>
          <t>VÄRMLANDS LÄN</t>
        </is>
      </c>
      <c r="G309" t="inlineStr">
        <is>
          <t>KRISTINEHAMN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44595</v>
      </c>
      <c r="E310" s="1" t="n">
        <v>46296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Kommuner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46296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Kommuner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46296</v>
      </c>
      <c r="F312" t="inlineStr">
        <is>
          <t>VÄRMLANDS LÄN</t>
        </is>
      </c>
      <c r="G312" t="inlineStr">
        <is>
          <t>KRISTINEHAMN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45782</v>
      </c>
      <c r="E313" s="1" t="n">
        <v>46296</v>
      </c>
      <c r="F313" t="inlineStr">
        <is>
          <t>VÄRMLANDS LÄN</t>
        </is>
      </c>
      <c r="G313" t="inlineStr">
        <is>
          <t>KRISTINEHAMN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46296</v>
      </c>
      <c r="F314" t="inlineStr">
        <is>
          <t>VÄRMLANDS LÄN</t>
        </is>
      </c>
      <c r="G314" t="inlineStr">
        <is>
          <t>KRISTINEHAMN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44855</v>
      </c>
      <c r="E315" s="1" t="n">
        <v>46296</v>
      </c>
      <c r="F315" t="inlineStr">
        <is>
          <t>VÄRMLANDS LÄN</t>
        </is>
      </c>
      <c r="G315" t="inlineStr">
        <is>
          <t>KRISTINEHAMN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46296</v>
      </c>
      <c r="F316" t="inlineStr">
        <is>
          <t>VÄRMLANDS LÄN</t>
        </is>
      </c>
      <c r="G316" t="inlineStr">
        <is>
          <t>KRISTINEHAMN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45246</v>
      </c>
      <c r="E317" s="1" t="n">
        <v>46296</v>
      </c>
      <c r="F317" t="inlineStr">
        <is>
          <t>VÄRMLANDS LÄN</t>
        </is>
      </c>
      <c r="G317" t="inlineStr">
        <is>
          <t>KRISTINEHAMN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46296</v>
      </c>
      <c r="F318" t="inlineStr">
        <is>
          <t>VÄRMLANDS LÄN</t>
        </is>
      </c>
      <c r="G318" t="inlineStr">
        <is>
          <t>KRISTINEHAMN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45478</v>
      </c>
      <c r="E319" s="1" t="n">
        <v>46296</v>
      </c>
      <c r="F319" t="inlineStr">
        <is>
          <t>VÄRMLANDS LÄN</t>
        </is>
      </c>
      <c r="G319" t="inlineStr">
        <is>
          <t>KRISTINEHAMN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45478</v>
      </c>
      <c r="E320" s="1" t="n">
        <v>46296</v>
      </c>
      <c r="F320" t="inlineStr">
        <is>
          <t>VÄRMLANDS LÄN</t>
        </is>
      </c>
      <c r="G320" t="inlineStr">
        <is>
          <t>KRISTINEHAMN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46296</v>
      </c>
      <c r="F321" t="inlineStr">
        <is>
          <t>VÄRMLANDS LÄN</t>
        </is>
      </c>
      <c r="G321" t="inlineStr">
        <is>
          <t>KRISTINEHAMN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45202</v>
      </c>
      <c r="E322" s="1" t="n">
        <v>46296</v>
      </c>
      <c r="F322" t="inlineStr">
        <is>
          <t>VÄRMLANDS LÄN</t>
        </is>
      </c>
      <c r="G322" t="inlineStr">
        <is>
          <t>KRISTINEHAMN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44497</v>
      </c>
      <c r="E323" s="1" t="n">
        <v>46296</v>
      </c>
      <c r="F323" t="inlineStr">
        <is>
          <t>VÄRMLANDS LÄN</t>
        </is>
      </c>
      <c r="G323" t="inlineStr">
        <is>
          <t>KRISTINEHAMN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46296</v>
      </c>
      <c r="F324" t="inlineStr">
        <is>
          <t>VÄRMLANDS LÄN</t>
        </is>
      </c>
      <c r="G324" t="inlineStr">
        <is>
          <t>KRISTINEHAMN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44742</v>
      </c>
      <c r="E325" s="1" t="n">
        <v>46296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46296</v>
      </c>
      <c r="F326" t="inlineStr">
        <is>
          <t>VÄRMLANDS LÄN</t>
        </is>
      </c>
      <c r="G326" t="inlineStr">
        <is>
          <t>KRISTINEHAMN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10999-2024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45370</v>
      </c>
      <c r="E327" s="1" t="n">
        <v>46296</v>
      </c>
      <c r="F327" t="inlineStr">
        <is>
          <t>VÄRMLANDS LÄN</t>
        </is>
      </c>
      <c r="G327" t="inlineStr">
        <is>
          <t>KRISTINEHAMN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46296</v>
      </c>
      <c r="F328" t="inlineStr">
        <is>
          <t>VÄRMLANDS LÄN</t>
        </is>
      </c>
      <c r="G328" t="inlineStr">
        <is>
          <t>KRISTINEHAMN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45876</v>
      </c>
      <c r="E329" s="1" t="n">
        <v>46296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45876</v>
      </c>
      <c r="E330" s="1" t="n">
        <v>46296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45944</v>
      </c>
      <c r="E331" s="1" t="n">
        <v>46296</v>
      </c>
      <c r="F331" t="inlineStr">
        <is>
          <t>VÄRMLANDS LÄN</t>
        </is>
      </c>
      <c r="G331" t="inlineStr">
        <is>
          <t>KRISTINEHAMN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45477</v>
      </c>
      <c r="E332" s="1" t="n">
        <v>46296</v>
      </c>
      <c r="F332" t="inlineStr">
        <is>
          <t>VÄRMLANDS LÄN</t>
        </is>
      </c>
      <c r="G332" t="inlineStr">
        <is>
          <t>KRISTINEHAMN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45952</v>
      </c>
      <c r="E333" s="1" t="n">
        <v>46296</v>
      </c>
      <c r="F333" t="inlineStr">
        <is>
          <t>VÄRMLANDS LÄN</t>
        </is>
      </c>
      <c r="G333" t="inlineStr">
        <is>
          <t>KRISTINEHAMN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46296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42577-2025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46296</v>
      </c>
      <c r="F335" t="inlineStr">
        <is>
          <t>VÄRMLANDS LÄN</t>
        </is>
      </c>
      <c r="G335" t="inlineStr">
        <is>
          <t>KRISTINEHAMN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45904</v>
      </c>
      <c r="E336" s="1" t="n">
        <v>46296</v>
      </c>
      <c r="F336" t="inlineStr">
        <is>
          <t>VÄRMLANDS LÄN</t>
        </is>
      </c>
      <c r="G336" t="inlineStr">
        <is>
          <t>KRISTINEHAMN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46296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46296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Naturvårdsverket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46296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46296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46296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46296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Naturvårdsverket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45974</v>
      </c>
      <c r="E343" s="1" t="n">
        <v>46296</v>
      </c>
      <c r="F343" t="inlineStr">
        <is>
          <t>VÄRMLANDS LÄN</t>
        </is>
      </c>
      <c r="G343" t="inlineStr">
        <is>
          <t>KRISTINEHAMN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46296</v>
      </c>
      <c r="F344" t="inlineStr">
        <is>
          <t>VÄRMLANDS LÄN</t>
        </is>
      </c>
      <c r="G344" t="inlineStr">
        <is>
          <t>KRISTINEHAMN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46296</v>
      </c>
      <c r="F345" t="inlineStr">
        <is>
          <t>VÄRMLANDS LÄN</t>
        </is>
      </c>
      <c r="G345" t="inlineStr">
        <is>
          <t>KRISTINEHAMN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46296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46296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Bergvik skog väst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46296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46296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Bergvik skog väst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46001</v>
      </c>
      <c r="E350" s="1" t="n">
        <v>46296</v>
      </c>
      <c r="F350" t="inlineStr">
        <is>
          <t>VÄRMLANDS LÄN</t>
        </is>
      </c>
      <c r="G350" t="inlineStr">
        <is>
          <t>KRISTINEHAMN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46296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46296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46296</v>
      </c>
      <c r="F353" t="inlineStr">
        <is>
          <t>VÄRMLANDS LÄN</t>
        </is>
      </c>
      <c r="G353" t="inlineStr">
        <is>
          <t>KRISTINEHAMN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46296</v>
      </c>
      <c r="F354" t="inlineStr">
        <is>
          <t>VÄRMLANDS LÄN</t>
        </is>
      </c>
      <c r="G354" t="inlineStr">
        <is>
          <t>KRISTINEHAMN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46296</v>
      </c>
      <c r="F355" t="inlineStr">
        <is>
          <t>VÄRMLANDS LÄN</t>
        </is>
      </c>
      <c r="G355" t="inlineStr">
        <is>
          <t>KRISTINEHAMN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46296</v>
      </c>
      <c r="F356" t="inlineStr">
        <is>
          <t>VÄRMLANDS LÄN</t>
        </is>
      </c>
      <c r="G356" t="inlineStr">
        <is>
          <t>KRISTINEHAMN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63018-2025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46296</v>
      </c>
      <c r="F357" t="inlineStr">
        <is>
          <t>VÄRMLANDS LÄN</t>
        </is>
      </c>
      <c r="G357" t="inlineStr">
        <is>
          <t>KRISTINEHAMN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46296</v>
      </c>
      <c r="F358" t="inlineStr">
        <is>
          <t>VÄRMLANDS LÄN</t>
        </is>
      </c>
      <c r="G358" t="inlineStr">
        <is>
          <t>KRISTINEHAMN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46296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46296</v>
      </c>
      <c r="F360" t="inlineStr">
        <is>
          <t>VÄRMLANDS LÄN</t>
        </is>
      </c>
      <c r="G360" t="inlineStr">
        <is>
          <t>KRISTINEHAMN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46296</v>
      </c>
      <c r="F361" t="inlineStr">
        <is>
          <t>VÄRMLANDS LÄN</t>
        </is>
      </c>
      <c r="G361" t="inlineStr">
        <is>
          <t>KRISTINEHAMN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46296</v>
      </c>
      <c r="F362" t="inlineStr">
        <is>
          <t>VÄRMLANDS LÄN</t>
        </is>
      </c>
      <c r="G362" t="inlineStr">
        <is>
          <t>KRISTINEHAMN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46038</v>
      </c>
      <c r="E363" s="1" t="n">
        <v>46296</v>
      </c>
      <c r="F363" t="inlineStr">
        <is>
          <t>VÄRMLANDS LÄN</t>
        </is>
      </c>
      <c r="G363" t="inlineStr">
        <is>
          <t>KRISTINEHAMN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46296</v>
      </c>
      <c r="F364" t="inlineStr">
        <is>
          <t>VÄRMLANDS LÄN</t>
        </is>
      </c>
      <c r="G364" t="inlineStr">
        <is>
          <t>KRISTINEHAMN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46296</v>
      </c>
      <c r="F365" t="inlineStr">
        <is>
          <t>VÄRMLANDS LÄN</t>
        </is>
      </c>
      <c r="G365" t="inlineStr">
        <is>
          <t>KRISTINEHAMN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46051</v>
      </c>
      <c r="E366" s="1" t="n">
        <v>46296</v>
      </c>
      <c r="F366" t="inlineStr">
        <is>
          <t>VÄRMLANDS LÄN</t>
        </is>
      </c>
      <c r="G366" t="inlineStr">
        <is>
          <t>KRISTINEHAMN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46296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46296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46296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46296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46296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46296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46296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46296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46296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46296</v>
      </c>
      <c r="F376" t="inlineStr">
        <is>
          <t>VÄRMLANDS LÄN</t>
        </is>
      </c>
      <c r="G376" t="inlineStr">
        <is>
          <t>KRISTINEHAMN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15646-2026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46106</v>
      </c>
      <c r="E377" s="1" t="n">
        <v>46296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46296</v>
      </c>
      <c r="F378" t="inlineStr">
        <is>
          <t>VÄRMLANDS LÄN</t>
        </is>
      </c>
      <c r="G378" t="inlineStr">
        <is>
          <t>KRISTINEHAMN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32821-2023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45112</v>
      </c>
      <c r="E379" s="1" t="n">
        <v>46296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Kommuner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46129</v>
      </c>
      <c r="E380" s="1" t="n">
        <v>46296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46296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32821-2023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45112</v>
      </c>
      <c r="E382" s="1" t="n">
        <v>46296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46296</v>
      </c>
      <c r="F383" t="inlineStr">
        <is>
          <t>VÄRMLANDS LÄN</t>
        </is>
      </c>
      <c r="G383" t="inlineStr">
        <is>
          <t>KRISTINEHAMN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46296</v>
      </c>
      <c r="F384" t="inlineStr">
        <is>
          <t>VÄRMLANDS LÄN</t>
        </is>
      </c>
      <c r="G384" t="inlineStr">
        <is>
          <t>KRISTINEHAMN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46296</v>
      </c>
      <c r="F385" t="inlineStr">
        <is>
          <t>VÄRMLANDS LÄN</t>
        </is>
      </c>
      <c r="G385" t="inlineStr">
        <is>
          <t>KRISTINEHAMN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46296</v>
      </c>
      <c r="F386" t="inlineStr">
        <is>
          <t>VÄRMLANDS LÄN</t>
        </is>
      </c>
      <c r="G386" t="inlineStr">
        <is>
          <t>KRISTINEHAMN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45811</v>
      </c>
      <c r="E387" s="1" t="n">
        <v>46296</v>
      </c>
      <c r="F387" t="inlineStr">
        <is>
          <t>VÄRMLANDS LÄN</t>
        </is>
      </c>
      <c r="G387" t="inlineStr">
        <is>
          <t>KRISTINEHAMN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46296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46296</v>
      </c>
      <c r="F389" t="inlineStr">
        <is>
          <t>VÄRMLANDS LÄN</t>
        </is>
      </c>
      <c r="G389" t="inlineStr">
        <is>
          <t>KRISTINEHAMN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45756</v>
      </c>
      <c r="E390" s="1" t="n">
        <v>46296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46296</v>
      </c>
      <c r="F391" t="inlineStr">
        <is>
          <t>VÄRMLANDS LÄN</t>
        </is>
      </c>
      <c r="G391" t="inlineStr">
        <is>
          <t>KRISTINEHAMN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46296</v>
      </c>
      <c r="F392" t="inlineStr">
        <is>
          <t>VÄRMLANDS LÄN</t>
        </is>
      </c>
      <c r="G392" t="inlineStr">
        <is>
          <t>KRISTINEHAMN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45904</v>
      </c>
      <c r="E393" s="1" t="n">
        <v>46296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46296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Bergvik skog väst AB</t>
        </is>
      </c>
      <c r="I394" t="n">
        <v>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46296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46296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Naturvårdsverket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46296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Naturvårdsverket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46296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45127</v>
      </c>
      <c r="E399" s="1" t="n">
        <v>46296</v>
      </c>
      <c r="F399" t="inlineStr">
        <is>
          <t>VÄRMLANDS LÄN</t>
        </is>
      </c>
      <c r="G399" t="inlineStr">
        <is>
          <t>KRISTINEHAMN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46296</v>
      </c>
      <c r="F400" t="inlineStr">
        <is>
          <t>VÄRMLANDS LÄN</t>
        </is>
      </c>
      <c r="G400" t="inlineStr">
        <is>
          <t>KRISTINEHAMN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46296</v>
      </c>
      <c r="F401" t="inlineStr">
        <is>
          <t>VÄRMLANDS LÄN</t>
        </is>
      </c>
      <c r="G401" t="inlineStr">
        <is>
          <t>KRISTINEHAMN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46296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22060-2026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46149</v>
      </c>
      <c r="E403" s="1" t="n">
        <v>46296</v>
      </c>
      <c r="F403" t="inlineStr">
        <is>
          <t>VÄRMLANDS LÄN</t>
        </is>
      </c>
      <c r="G403" t="inlineStr">
        <is>
          <t>KRISTINEHAMN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46296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46150</v>
      </c>
      <c r="E405" s="1" t="n">
        <v>46296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46296</v>
      </c>
      <c r="F406" t="inlineStr">
        <is>
          <t>VÄRMLANDS LÄN</t>
        </is>
      </c>
      <c r="G406" t="inlineStr">
        <is>
          <t>KRISTINEHAMN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45341</v>
      </c>
      <c r="E407" s="1" t="n">
        <v>46296</v>
      </c>
      <c r="F407" t="inlineStr">
        <is>
          <t>VÄRMLANDS LÄN</t>
        </is>
      </c>
      <c r="G407" t="inlineStr">
        <is>
          <t>KRISTINEHAMN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46296</v>
      </c>
      <c r="F408" t="inlineStr">
        <is>
          <t>VÄRMLANDS LÄN</t>
        </is>
      </c>
      <c r="G408" t="inlineStr">
        <is>
          <t>KRISTINEHAMN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46296</v>
      </c>
      <c r="F409" t="inlineStr">
        <is>
          <t>VÄRMLANDS LÄN</t>
        </is>
      </c>
      <c r="G409" t="inlineStr">
        <is>
          <t>KRISTINEHAMN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45341</v>
      </c>
      <c r="E410" s="1" t="n">
        <v>46296</v>
      </c>
      <c r="F410" t="inlineStr">
        <is>
          <t>VÄRMLANDS LÄN</t>
        </is>
      </c>
      <c r="G410" t="inlineStr">
        <is>
          <t>KRISTINEHAMN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46296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46296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24570-2026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46170</v>
      </c>
      <c r="E413" s="1" t="n">
        <v>46296</v>
      </c>
      <c r="F413" t="inlineStr">
        <is>
          <t>VÄRMLANDS LÄN</t>
        </is>
      </c>
      <c r="G413" t="inlineStr">
        <is>
          <t>KRISTINEHAMN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46296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25258-2026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46175</v>
      </c>
      <c r="E415" s="1" t="n">
        <v>46296</v>
      </c>
      <c r="F415" t="inlineStr">
        <is>
          <t>VÄRMLANDS LÄN</t>
        </is>
      </c>
      <c r="G415" t="inlineStr">
        <is>
          <t>KRISTINEHAMN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46037</v>
      </c>
      <c r="E416" s="1" t="n">
        <v>46296</v>
      </c>
      <c r="F416" t="inlineStr">
        <is>
          <t>VÄRMLANDS LÄN</t>
        </is>
      </c>
      <c r="G416" t="inlineStr">
        <is>
          <t>KRISTINEHAMN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46296</v>
      </c>
      <c r="F417" t="inlineStr">
        <is>
          <t>VÄRMLANDS LÄN</t>
        </is>
      </c>
      <c r="G417" t="inlineStr">
        <is>
          <t>KRISTINEHAMN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46296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46296</v>
      </c>
      <c r="F419" t="inlineStr">
        <is>
          <t>VÄRMLANDS LÄN</t>
        </is>
      </c>
      <c r="G419" t="inlineStr">
        <is>
          <t>KRISTINEHAMN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46296</v>
      </c>
      <c r="F420" t="inlineStr">
        <is>
          <t>VÄRMLANDS LÄN</t>
        </is>
      </c>
      <c r="G420" t="inlineStr">
        <is>
          <t>KRISTINEHAMN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31829-2026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46230</v>
      </c>
      <c r="E421" s="1" t="n">
        <v>46296</v>
      </c>
      <c r="F421" t="inlineStr">
        <is>
          <t>VÄRMLANDS LÄN</t>
        </is>
      </c>
      <c r="G421" t="inlineStr">
        <is>
          <t>KRISTINEHAMN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46274</v>
      </c>
      <c r="E422" s="1" t="n">
        <v>46296</v>
      </c>
      <c r="F422" t="inlineStr">
        <is>
          <t>VÄRMLANDS LÄN</t>
        </is>
      </c>
      <c r="G422" t="inlineStr">
        <is>
          <t>KRISTINEHAMN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46296</v>
      </c>
      <c r="F423" t="inlineStr">
        <is>
          <t>VÄRMLANDS LÄN</t>
        </is>
      </c>
      <c r="G423" t="inlineStr">
        <is>
          <t>KRISTINEHAMN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46281</v>
      </c>
      <c r="E424" s="1" t="n">
        <v>46296</v>
      </c>
      <c r="F424" t="inlineStr">
        <is>
          <t>VÄRMLANDS LÄN</t>
        </is>
      </c>
      <c r="G424" t="inlineStr">
        <is>
          <t>KRISTINEHAMN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46281</v>
      </c>
      <c r="E425" s="1" t="n">
        <v>46296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46296</v>
      </c>
      <c r="F426" t="inlineStr">
        <is>
          <t>VÄRMLANDS LÄN</t>
        </is>
      </c>
      <c r="G426" t="inlineStr">
        <is>
          <t>KRISTINEHAMN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46282</v>
      </c>
      <c r="E427" s="1" t="n">
        <v>46296</v>
      </c>
      <c r="F427" t="inlineStr">
        <is>
          <t>VÄRMLANDS LÄN</t>
        </is>
      </c>
      <c r="G427" t="inlineStr">
        <is>
          <t>KRISTINEHAMN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38485-2026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46282</v>
      </c>
      <c r="E428" s="1" t="n">
        <v>46296</v>
      </c>
      <c r="F428" t="inlineStr">
        <is>
          <t>VÄRMLANDS LÄN</t>
        </is>
      </c>
      <c r="G428" t="inlineStr">
        <is>
          <t>KRISTINEHAMN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38840-2026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46286</v>
      </c>
      <c r="E429" s="1" t="n">
        <v>46296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46296</v>
      </c>
      <c r="F430" t="inlineStr">
        <is>
          <t>VÄRMLANDS LÄN</t>
        </is>
      </c>
      <c r="G430" t="inlineStr">
        <is>
          <t>KRISTINEHAMN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46296</v>
      </c>
      <c r="F431" t="inlineStr">
        <is>
          <t>VÄRMLANDS LÄN</t>
        </is>
      </c>
      <c r="G431" t="inlineStr">
        <is>
          <t>KRISTINEHAMN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46296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46296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46296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46296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46296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46296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46296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46296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46296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46296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46296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46296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46296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46296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46296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46296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46296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46296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46296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46296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46296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46296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46296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46296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2026-10-01T02:00:31Z</dcterms:created>
  <dcterms:modified xmlns:dcterms="http://purl.org/dc/terms/" xmlns:xsi="http://www.w3.org/2001/XMLSchema-instance" xsi:type="dcterms:W3CDTF">2026-10-01T02:00:32Z</dcterms:modified>
</cp:coreProperties>
</file>