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46324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46324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46324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46324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46324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46324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46324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46324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46324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46324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46324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46324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46324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46324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46324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46324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2406-2025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45674</v>
      </c>
      <c r="E18" s="1" t="n">
        <v>46324</v>
      </c>
      <c r="F18" t="inlineStr">
        <is>
          <t>VÄRMLANDS LÄN</t>
        </is>
      </c>
      <c r="G18" t="inlineStr">
        <is>
          <t>KRISTINEHAMN</t>
        </is>
      </c>
      <c r="I18" t="n">
        <v>9.699999999999999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2406-2025 artfynd.xlsx", "A 2406-2025")</f>
        <v/>
      </c>
      <c r="X18">
        <f>HYPERLINK("https://klasma.github.io/Logging_1781/kartor/A 2406-2025 karta.png", "A 2406-2025")</f>
        <v/>
      </c>
      <c r="Y18">
        <f>HYPERLINK("https://klasma.github.io/Logging_1781/kartor_geotiff/A 2406-2025 georefererad karta.tif", "A 2406-2025")</f>
        <v/>
      </c>
      <c r="AA18">
        <f>HYPERLINK("https://klasma.github.io/Logging_1781/klagomål/A 2406-2025 FSC-klagomål.docx", "A 2406-2025")</f>
        <v/>
      </c>
      <c r="AB18">
        <f>HYPERLINK("https://klasma.github.io/Logging_1781/klagomålsmail/A 2406-2025 FSC-klagomål mail.docx", "A 2406-2025")</f>
        <v/>
      </c>
      <c r="AC18">
        <f>HYPERLINK("https://klasma.github.io/Logging_1781/tillsyn/A 2406-2025 tillsynsbegäran.docx", "A 2406-2025")</f>
        <v/>
      </c>
      <c r="AD18">
        <f>HYPERLINK("https://klasma.github.io/Logging_1781/tillsynsmail/A 2406-2025 tillsynsbegäran mail.docx", "A 2406-2025")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46324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13025-2023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45002</v>
      </c>
      <c r="E20" s="1" t="n">
        <v>46324</v>
      </c>
      <c r="F20" t="inlineStr">
        <is>
          <t>VÄRMLANDS LÄN</t>
        </is>
      </c>
      <c r="G20" t="inlineStr">
        <is>
          <t>KRISTINEHAMN</t>
        </is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Kamjordstjärna</t>
        </is>
      </c>
      <c r="W20">
        <f>HYPERLINK("https://klasma.github.io/Logging_1781/artfynd/A 13025-2023 artfynd.xlsx", "A 13025-2023")</f>
        <v/>
      </c>
      <c r="X20">
        <f>HYPERLINK("https://klasma.github.io/Logging_1781/kartor/A 13025-2023 karta.png", "A 13025-2023")</f>
        <v/>
      </c>
      <c r="Y20">
        <f>HYPERLINK("https://klasma.github.io/Logging_1781/kartor_geotiff/A 13025-2023 georefererad karta.tif", "A 13025-2023")</f>
        <v/>
      </c>
      <c r="AA20">
        <f>HYPERLINK("https://klasma.github.io/Logging_1781/klagomål/A 13025-2023 FSC-klagomål.docx", "A 13025-2023")</f>
        <v/>
      </c>
      <c r="AB20">
        <f>HYPERLINK("https://klasma.github.io/Logging_1781/klagomålsmail/A 13025-2023 FSC-klagomål mail.docx", "A 13025-2023")</f>
        <v/>
      </c>
      <c r="AC20">
        <f>HYPERLINK("https://klasma.github.io/Logging_1781/tillsyn/A 13025-2023 tillsynsbegäran.docx", "A 13025-2023")</f>
        <v/>
      </c>
      <c r="AD20">
        <f>HYPERLINK("https://klasma.github.io/Logging_1781/tillsynsmail/A 13025-2023 tillsynsbegäran mail.docx", "A 13025-2023")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46324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59096-2024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46324</v>
      </c>
      <c r="F22" t="inlineStr">
        <is>
          <t>VÄRMLANDS LÄN</t>
        </is>
      </c>
      <c r="G22" t="inlineStr">
        <is>
          <t>KRISTINEHAMN</t>
        </is>
      </c>
      <c r="I22" t="n">
        <v>4.4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3</v>
      </c>
      <c r="U22" t="n">
        <v>0</v>
      </c>
      <c r="V22" s="2" t="inlineStr">
        <is>
          <t>Bombmurkla</t>
        </is>
      </c>
      <c r="W22">
        <f>HYPERLINK("https://klasma.github.io/Logging_1781/artfynd/A 59096-2024 artfynd.xlsx", "A 59096-2024")</f>
        <v/>
      </c>
      <c r="X22">
        <f>HYPERLINK("https://klasma.github.io/Logging_1781/kartor/A 59096-2024 karta.png", "A 59096-2024")</f>
        <v/>
      </c>
      <c r="Y22">
        <f>HYPERLINK("https://klasma.github.io/Logging_1781/kartor_geotiff/A 59096-2024 georefererad karta.tif", "A 59096-2024")</f>
        <v/>
      </c>
      <c r="AA22">
        <f>HYPERLINK("https://klasma.github.io/Logging_1781/klagomål/A 59096-2024 FSC-klagomål.docx", "A 59096-2024")</f>
        <v/>
      </c>
      <c r="AB22">
        <f>HYPERLINK("https://klasma.github.io/Logging_1781/klagomålsmail/A 59096-2024 FSC-klagomål mail.docx", "A 59096-2024")</f>
        <v/>
      </c>
      <c r="AC22">
        <f>HYPERLINK("https://klasma.github.io/Logging_1781/tillsyn/A 59096-2024 tillsynsbegäran.docx", "A 59096-2024")</f>
        <v/>
      </c>
      <c r="AD22">
        <f>HYPERLINK("https://klasma.github.io/Logging_1781/tillsynsmail/A 59096-2024 tillsynsbegäran mail.docx", "A 59096-2024")</f>
        <v/>
      </c>
    </row>
    <row r="23" ht="15" customHeight="1">
      <c r="A23" t="inlineStr">
        <is>
          <t>A 36792-2023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45154</v>
      </c>
      <c r="E23" s="1" t="n">
        <v>46324</v>
      </c>
      <c r="F23" t="inlineStr">
        <is>
          <t>VÄRMLANDS LÄN</t>
        </is>
      </c>
      <c r="G23" t="inlineStr">
        <is>
          <t>KRISTINEHAMN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HYPERLINK("https://klasma.github.io/Logging_1781/artfynd/A 36792-2023 artfynd.xlsx", "A 36792-2023")</f>
        <v/>
      </c>
      <c r="X23">
        <f>HYPERLINK("https://klasma.github.io/Logging_1781/kartor/A 36792-2023 karta.png", "A 36792-2023")</f>
        <v/>
      </c>
      <c r="Y23">
        <f>HYPERLINK("https://klasma.github.io/Logging_1781/kartor_geotiff/A 36792-2023 georefererad karta.tif", "A 36792-2023")</f>
        <v/>
      </c>
      <c r="AA23">
        <f>HYPERLINK("https://klasma.github.io/Logging_1781/klagomål/A 36792-2023 FSC-klagomål.docx", "A 36792-2023")</f>
        <v/>
      </c>
      <c r="AB23">
        <f>HYPERLINK("https://klasma.github.io/Logging_1781/klagomålsmail/A 36792-2023 FSC-klagomål mail.docx", "A 36792-2023")</f>
        <v/>
      </c>
      <c r="AC23">
        <f>HYPERLINK("https://klasma.github.io/Logging_1781/tillsyn/A 36792-2023 tillsynsbegäran.docx", "A 36792-2023")</f>
        <v/>
      </c>
      <c r="AD23">
        <f>HYPERLINK("https://klasma.github.io/Logging_1781/tillsynsmail/A 36792-2023 tillsynsbegäran mail.docx", "A 36792-2023")</f>
        <v/>
      </c>
    </row>
    <row r="24" ht="15" customHeight="1">
      <c r="A24" t="inlineStr">
        <is>
          <t>A 45122-2022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44843</v>
      </c>
      <c r="E24" s="1" t="n">
        <v>46324</v>
      </c>
      <c r="F24" t="inlineStr">
        <is>
          <t>VÄRMLANDS LÄN</t>
        </is>
      </c>
      <c r="G24" t="inlineStr">
        <is>
          <t>KRISTINEHAMN</t>
        </is>
      </c>
      <c r="I24" t="n">
        <v>3.3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Dvärglin</t>
        </is>
      </c>
      <c r="W24">
        <f>HYPERLINK("https://klasma.github.io/Logging_1781/artfynd/A 45122-2022 artfynd.xlsx", "A 45122-2022")</f>
        <v/>
      </c>
      <c r="X24">
        <f>HYPERLINK("https://klasma.github.io/Logging_1781/kartor/A 45122-2022 karta.png", "A 45122-2022")</f>
        <v/>
      </c>
      <c r="Y24">
        <f>HYPERLINK("https://klasma.github.io/Logging_1781/kartor_geotiff/A 45122-2022 georefererad karta.tif", "A 45122-2022")</f>
        <v/>
      </c>
      <c r="AA24">
        <f>HYPERLINK("https://klasma.github.io/Logging_1781/klagomål/A 45122-2022 FSC-klagomål.docx", "A 45122-2022")</f>
        <v/>
      </c>
      <c r="AB24">
        <f>HYPERLINK("https://klasma.github.io/Logging_1781/klagomålsmail/A 45122-2022 FSC-klagomål mail.docx", "A 45122-2022")</f>
        <v/>
      </c>
      <c r="AC24">
        <f>HYPERLINK("https://klasma.github.io/Logging_1781/tillsyn/A 45122-2022 tillsynsbegäran.docx", "A 45122-2022")</f>
        <v/>
      </c>
      <c r="AD24">
        <f>HYPERLINK("https://klasma.github.io/Logging_1781/tillsynsmail/A 45122-2022 tillsynsbegäran mail.docx", "A 45122-2022")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46324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46324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46324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5494-2025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46324</v>
      </c>
      <c r="F28" t="inlineStr">
        <is>
          <t>VÄRMLANDS LÄN</t>
        </is>
      </c>
      <c r="G28" t="inlineStr">
        <is>
          <t>KRISTINEHAMN</t>
        </is>
      </c>
      <c r="I28" t="n">
        <v>8.699999999999999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Jungfrulin</t>
        </is>
      </c>
      <c r="W28">
        <f>HYPERLINK("https://klasma.github.io/Logging_1781/artfynd/A 5494-2025 artfynd.xlsx", "A 5494-2025")</f>
        <v/>
      </c>
      <c r="X28">
        <f>HYPERLINK("https://klasma.github.io/Logging_1781/kartor/A 5494-2025 karta.png", "A 5494-2025")</f>
        <v/>
      </c>
      <c r="Y28">
        <f>HYPERLINK("https://klasma.github.io/Logging_1781/kartor_geotiff/A 5494-2025 georefererad karta.tif", "A 5494-2025")</f>
        <v/>
      </c>
      <c r="AA28">
        <f>HYPERLINK("https://klasma.github.io/Logging_1781/klagomål/A 5494-2025 FSC-klagomål.docx", "A 5494-2025")</f>
        <v/>
      </c>
      <c r="AB28">
        <f>HYPERLINK("https://klasma.github.io/Logging_1781/klagomålsmail/A 5494-2025 FSC-klagomål mail.docx", "A 5494-2025")</f>
        <v/>
      </c>
      <c r="AC28">
        <f>HYPERLINK("https://klasma.github.io/Logging_1781/tillsyn/A 5494-2025 tillsynsbegäran.docx", "A 5494-2025")</f>
        <v/>
      </c>
      <c r="AD28">
        <f>HYPERLINK("https://klasma.github.io/Logging_1781/tillsynsmail/A 5494-2025 tillsynsbegäran mail.docx", "A 5494-2025")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46324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46324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46324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46324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3302-2022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46324</v>
      </c>
      <c r="F33" t="inlineStr">
        <is>
          <t>VÄRMLANDS LÄN</t>
        </is>
      </c>
      <c r="G33" t="inlineStr">
        <is>
          <t>KRISTINEHAMN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Bombmurkla</t>
        </is>
      </c>
      <c r="W33">
        <f>HYPERLINK("https://klasma.github.io/Logging_1781/artfynd/A 3302-2022 artfynd.xlsx", "A 3302-2022")</f>
        <v/>
      </c>
      <c r="X33">
        <f>HYPERLINK("https://klasma.github.io/Logging_1781/kartor/A 3302-2022 karta.png", "A 3302-2022")</f>
        <v/>
      </c>
      <c r="Y33">
        <f>HYPERLINK("https://klasma.github.io/Logging_1781/kartor_geotiff/A 3302-2022 georefererad karta.tif", "A 3302-2022")</f>
        <v/>
      </c>
      <c r="AA33">
        <f>HYPERLINK("https://klasma.github.io/Logging_1781/klagomål/A 3302-2022 FSC-klagomål.docx", "A 3302-2022")</f>
        <v/>
      </c>
      <c r="AB33">
        <f>HYPERLINK("https://klasma.github.io/Logging_1781/klagomålsmail/A 3302-2022 FSC-klagomål mail.docx", "A 3302-2022")</f>
        <v/>
      </c>
      <c r="AC33">
        <f>HYPERLINK("https://klasma.github.io/Logging_1781/tillsyn/A 3302-2022 tillsynsbegäran.docx", "A 3302-2022")</f>
        <v/>
      </c>
      <c r="AD33">
        <f>HYPERLINK("https://klasma.github.io/Logging_1781/tillsynsmail/A 3302-2022 tillsynsbegäran mail.docx", "A 3302-2022")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46324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8714-2024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46324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Bombmurkla</t>
        </is>
      </c>
      <c r="W35">
        <f>HYPERLINK("https://klasma.github.io/Logging_1781/artfynd/A 8714-2024 artfynd.xlsx", "A 8714-2024")</f>
        <v/>
      </c>
      <c r="X35">
        <f>HYPERLINK("https://klasma.github.io/Logging_1781/kartor/A 8714-2024 karta.png", "A 8714-2024")</f>
        <v/>
      </c>
      <c r="Y35">
        <f>HYPERLINK("https://klasma.github.io/Logging_1781/kartor_geotiff/A 8714-2024 georefererad karta.tif", "A 8714-2024")</f>
        <v/>
      </c>
      <c r="AA35">
        <f>HYPERLINK("https://klasma.github.io/Logging_1781/klagomål/A 8714-2024 FSC-klagomål.docx", "A 8714-2024")</f>
        <v/>
      </c>
      <c r="AB35">
        <f>HYPERLINK("https://klasma.github.io/Logging_1781/klagomålsmail/A 8714-2024 FSC-klagomål mail.docx", "A 8714-2024")</f>
        <v/>
      </c>
      <c r="AC35">
        <f>HYPERLINK("https://klasma.github.io/Logging_1781/tillsyn/A 8714-2024 tillsynsbegäran.docx", "A 8714-2024")</f>
        <v/>
      </c>
      <c r="AD35">
        <f>HYPERLINK("https://klasma.github.io/Logging_1781/tillsynsmail/A 8714-2024 tillsynsbegäran mail.docx", "A 8714-2024")</f>
        <v/>
      </c>
    </row>
    <row r="36" ht="15" customHeight="1">
      <c r="A36" t="inlineStr">
        <is>
          <t>A 54771-2022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46324</v>
      </c>
      <c r="F36" t="inlineStr">
        <is>
          <t>VÄRMLANDS LÄN</t>
        </is>
      </c>
      <c r="G36" t="inlineStr">
        <is>
          <t>KRISTINEHAMN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Röd glada</t>
        </is>
      </c>
      <c r="W36">
        <f>HYPERLINK("https://klasma.github.io/Logging_1781/artfynd/A 54771-2022 artfynd.xlsx", "A 54771-2022")</f>
        <v/>
      </c>
      <c r="X36">
        <f>HYPERLINK("https://klasma.github.io/Logging_1781/kartor/A 54771-2022 karta.png", "A 54771-2022")</f>
        <v/>
      </c>
      <c r="Y36">
        <f>HYPERLINK("https://klasma.github.io/Logging_1781/kartor_geotiff/A 54771-2022 georefererad karta.tif", "A 54771-2022")</f>
        <v/>
      </c>
      <c r="AA36">
        <f>HYPERLINK("https://klasma.github.io/Logging_1781/klagomål/A 54771-2022 FSC-klagomål.docx", "A 54771-2022")</f>
        <v/>
      </c>
      <c r="AB36">
        <f>HYPERLINK("https://klasma.github.io/Logging_1781/klagomålsmail/A 54771-2022 FSC-klagomål mail.docx", "A 54771-2022")</f>
        <v/>
      </c>
      <c r="AC36">
        <f>HYPERLINK("https://klasma.github.io/Logging_1781/tillsyn/A 54771-2022 tillsynsbegäran.docx", "A 54771-2022")</f>
        <v/>
      </c>
      <c r="AD36">
        <f>HYPERLINK("https://klasma.github.io/Logging_1781/tillsynsmail/A 54771-2022 tillsynsbegäran mail.docx", "A 54771-2022")</f>
        <v/>
      </c>
      <c r="AE36">
        <f>HYPERLINK("https://klasma.github.io/Logging_1781/fåglar/A 54771-2022 prioriterade fågelarter.docx", "A 54771-2022")</f>
        <v/>
      </c>
    </row>
    <row r="37" ht="15" customHeight="1">
      <c r="A37" t="inlineStr">
        <is>
          <t>A 12593-2024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45380</v>
      </c>
      <c r="E37" s="1" t="n">
        <v>46324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Bombmurkla</t>
        </is>
      </c>
      <c r="W37">
        <f>HYPERLINK("https://klasma.github.io/Logging_1781/artfynd/A 12593-2024 artfynd.xlsx", "A 12593-2024")</f>
        <v/>
      </c>
      <c r="X37">
        <f>HYPERLINK("https://klasma.github.io/Logging_1781/kartor/A 12593-2024 karta.png", "A 12593-2024")</f>
        <v/>
      </c>
      <c r="Y37">
        <f>HYPERLINK("https://klasma.github.io/Logging_1781/kartor_geotiff/A 12593-2024 georefererad karta.tif", "A 12593-2024")</f>
        <v/>
      </c>
      <c r="AA37">
        <f>HYPERLINK("https://klasma.github.io/Logging_1781/klagomål/A 12593-2024 FSC-klagomål.docx", "A 12593-2024")</f>
        <v/>
      </c>
      <c r="AB37">
        <f>HYPERLINK("https://klasma.github.io/Logging_1781/klagomålsmail/A 12593-2024 FSC-klagomål mail.docx", "A 12593-2024")</f>
        <v/>
      </c>
      <c r="AC37">
        <f>HYPERLINK("https://klasma.github.io/Logging_1781/tillsyn/A 12593-2024 tillsynsbegäran.docx", "A 12593-2024")</f>
        <v/>
      </c>
      <c r="AD37">
        <f>HYPERLINK("https://klasma.github.io/Logging_1781/tillsynsmail/A 12593-2024 tillsynsbegäran mail.docx", "A 12593-2024")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46324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46324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46324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46324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46324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46324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46324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46324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46324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46324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46324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46324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46324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70729-2021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46324</v>
      </c>
      <c r="F51" t="inlineStr">
        <is>
          <t>VÄRMLANDS LÄN</t>
        </is>
      </c>
      <c r="G51" t="inlineStr">
        <is>
          <t>KRISTINEHAMN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46324</v>
      </c>
      <c r="F52" t="inlineStr">
        <is>
          <t>VÄRMLANDS LÄN</t>
        </is>
      </c>
      <c r="G52" t="inlineStr">
        <is>
          <t>KRISTINEHAMN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46324</v>
      </c>
      <c r="F53" t="inlineStr">
        <is>
          <t>VÄRMLANDS LÄN</t>
        </is>
      </c>
      <c r="G53" t="inlineStr">
        <is>
          <t>KRISTINEHAMN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46324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46324</v>
      </c>
      <c r="F55" t="inlineStr">
        <is>
          <t>VÄRMLANDS LÄN</t>
        </is>
      </c>
      <c r="G55" t="inlineStr">
        <is>
          <t>KRISTINEHAMN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46324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44769</v>
      </c>
      <c r="E57" s="1" t="n">
        <v>46324</v>
      </c>
      <c r="F57" t="inlineStr">
        <is>
          <t>VÄRMLANDS LÄN</t>
        </is>
      </c>
      <c r="G57" t="inlineStr">
        <is>
          <t>KRISTINEHAMN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46324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43558-2022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46324</v>
      </c>
      <c r="F59" t="inlineStr">
        <is>
          <t>VÄRMLANDS LÄN</t>
        </is>
      </c>
      <c r="G59" t="inlineStr">
        <is>
          <t>KRISTINEHAMN</t>
        </is>
      </c>
      <c r="I59" t="n">
        <v>12.1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44657</v>
      </c>
      <c r="E60" s="1" t="n">
        <v>46324</v>
      </c>
      <c r="F60" t="inlineStr">
        <is>
          <t>VÄRMLANDS LÄN</t>
        </is>
      </c>
      <c r="G60" t="inlineStr">
        <is>
          <t>KRISTINEHAMN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66439-2021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46324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44551</v>
      </c>
      <c r="E62" s="1" t="n">
        <v>46324</v>
      </c>
      <c r="F62" t="inlineStr">
        <is>
          <t>VÄRMLANDS LÄN</t>
        </is>
      </c>
      <c r="G62" t="inlineStr">
        <is>
          <t>KRISTINEHAMN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46324</v>
      </c>
      <c r="F63" t="inlineStr">
        <is>
          <t>VÄRMLANDS LÄN</t>
        </is>
      </c>
      <c r="G63" t="inlineStr">
        <is>
          <t>KRISTINEHAMN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46324</v>
      </c>
      <c r="F64" t="inlineStr">
        <is>
          <t>VÄRMLANDS LÄN</t>
        </is>
      </c>
      <c r="G64" t="inlineStr">
        <is>
          <t>KRISTINEHAMN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44707</v>
      </c>
      <c r="E65" s="1" t="n">
        <v>46324</v>
      </c>
      <c r="F65" t="inlineStr">
        <is>
          <t>VÄRMLANDS LÄN</t>
        </is>
      </c>
      <c r="G65" t="inlineStr">
        <is>
          <t>KRISTINEHAMN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44662</v>
      </c>
      <c r="E66" s="1" t="n">
        <v>46324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46324</v>
      </c>
      <c r="F67" t="inlineStr">
        <is>
          <t>VÄRMLANDS LÄN</t>
        </is>
      </c>
      <c r="G67" t="inlineStr">
        <is>
          <t>KRISTINEHAMN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37794-2022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44810</v>
      </c>
      <c r="E68" s="1" t="n">
        <v>46324</v>
      </c>
      <c r="F68" t="inlineStr">
        <is>
          <t>VÄRMLANDS LÄN</t>
        </is>
      </c>
      <c r="G68" t="inlineStr">
        <is>
          <t>KRISTINEHAMN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44706</v>
      </c>
      <c r="E69" s="1" t="n">
        <v>46324</v>
      </c>
      <c r="F69" t="inlineStr">
        <is>
          <t>VÄRMLANDS LÄN</t>
        </is>
      </c>
      <c r="G69" t="inlineStr">
        <is>
          <t>KRISTINEHAMN</t>
        </is>
      </c>
      <c r="I69" t="n">
        <v>11.3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44591</v>
      </c>
      <c r="E70" s="1" t="n">
        <v>46324</v>
      </c>
      <c r="F70" t="inlineStr">
        <is>
          <t>VÄRMLANDS LÄN</t>
        </is>
      </c>
      <c r="G70" t="inlineStr">
        <is>
          <t>KRISTINEHAMN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46324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46324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66442-2021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46324</v>
      </c>
      <c r="F73" t="inlineStr">
        <is>
          <t>VÄRMLANDS LÄN</t>
        </is>
      </c>
      <c r="G73" t="inlineStr">
        <is>
          <t>KRISTINEHAMN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61707-2021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44501</v>
      </c>
      <c r="E74" s="1" t="n">
        <v>46324</v>
      </c>
      <c r="F74" t="inlineStr">
        <is>
          <t>VÄRMLANDS LÄN</t>
        </is>
      </c>
      <c r="G74" t="inlineStr">
        <is>
          <t>KRISTINEHAMN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46324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44741</v>
      </c>
      <c r="E76" s="1" t="n">
        <v>46324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46324</v>
      </c>
      <c r="F77" t="inlineStr">
        <is>
          <t>VÄRMLANDS LÄN</t>
        </is>
      </c>
      <c r="G77" t="inlineStr">
        <is>
          <t>KRISTINEHAMN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44584</v>
      </c>
      <c r="E78" s="1" t="n">
        <v>46324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23332-2024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45453</v>
      </c>
      <c r="E79" s="1" t="n">
        <v>46324</v>
      </c>
      <c r="F79" t="inlineStr">
        <is>
          <t>VÄRMLANDS LÄN</t>
        </is>
      </c>
      <c r="G79" t="inlineStr">
        <is>
          <t>KRISTINEHAMN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44825</v>
      </c>
      <c r="E80" s="1" t="n">
        <v>46324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45631</v>
      </c>
      <c r="E81" s="1" t="n">
        <v>46324</v>
      </c>
      <c r="F81" t="inlineStr">
        <is>
          <t>VÄRMLANDS LÄN</t>
        </is>
      </c>
      <c r="G81" t="inlineStr">
        <is>
          <t>KRISTINEHAMN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45666</v>
      </c>
      <c r="E82" s="1" t="n">
        <v>46324</v>
      </c>
      <c r="F82" t="inlineStr">
        <is>
          <t>VÄRMLANDS LÄN</t>
        </is>
      </c>
      <c r="G82" t="inlineStr">
        <is>
          <t>KRISTINEHAMN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46324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23510-2025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45792</v>
      </c>
      <c r="E84" s="1" t="n">
        <v>46324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46324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45792</v>
      </c>
      <c r="E86" s="1" t="n">
        <v>46324</v>
      </c>
      <c r="F86" t="inlineStr">
        <is>
          <t>VÄRMLANDS LÄN</t>
        </is>
      </c>
      <c r="G86" t="inlineStr">
        <is>
          <t>KRISTINEHAMN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23511-2025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46324</v>
      </c>
      <c r="F87" t="inlineStr">
        <is>
          <t>VÄRMLANDS LÄN</t>
        </is>
      </c>
      <c r="G87" t="inlineStr">
        <is>
          <t>KRISTINEHAMN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46324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45268</v>
      </c>
      <c r="E89" s="1" t="n">
        <v>46324</v>
      </c>
      <c r="F89" t="inlineStr">
        <is>
          <t>VÄRMLANDS LÄN</t>
        </is>
      </c>
      <c r="G89" t="inlineStr">
        <is>
          <t>KRISTINEHAMN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46324</v>
      </c>
      <c r="F90" t="inlineStr">
        <is>
          <t>VÄRMLANDS LÄN</t>
        </is>
      </c>
      <c r="G90" t="inlineStr">
        <is>
          <t>KRISTINEHAMN</t>
        </is>
      </c>
      <c r="H90" t="inlineStr">
        <is>
          <t>Sveaskog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46324</v>
      </c>
      <c r="F91" t="inlineStr">
        <is>
          <t>VÄRMLANDS LÄN</t>
        </is>
      </c>
      <c r="G91" t="inlineStr">
        <is>
          <t>KRISTINEHAMN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45686</v>
      </c>
      <c r="E92" s="1" t="n">
        <v>46324</v>
      </c>
      <c r="F92" t="inlineStr">
        <is>
          <t>VÄRMLANDS LÄN</t>
        </is>
      </c>
      <c r="G92" t="inlineStr">
        <is>
          <t>KRISTINEHAMN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46324</v>
      </c>
      <c r="F93" t="inlineStr">
        <is>
          <t>VÄRMLANDS LÄN</t>
        </is>
      </c>
      <c r="G93" t="inlineStr">
        <is>
          <t>KRISTINEHAMN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45407</v>
      </c>
      <c r="E94" s="1" t="n">
        <v>46324</v>
      </c>
      <c r="F94" t="inlineStr">
        <is>
          <t>VÄRMLANDS LÄN</t>
        </is>
      </c>
      <c r="G94" t="inlineStr">
        <is>
          <t>KRISTINEHAMN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46324</v>
      </c>
      <c r="F95" t="inlineStr">
        <is>
          <t>VÄRMLANDS LÄN</t>
        </is>
      </c>
      <c r="G95" t="inlineStr">
        <is>
          <t>KRISTINEHAMN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45461</v>
      </c>
      <c r="E96" s="1" t="n">
        <v>46324</v>
      </c>
      <c r="F96" t="inlineStr">
        <is>
          <t>VÄRMLANDS LÄN</t>
        </is>
      </c>
      <c r="G96" t="inlineStr">
        <is>
          <t>KRISTINEHAMN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46324</v>
      </c>
      <c r="F97" t="inlineStr">
        <is>
          <t>VÄRMLANDS LÄN</t>
        </is>
      </c>
      <c r="G97" t="inlineStr">
        <is>
          <t>KRISTINEHAMN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46324</v>
      </c>
      <c r="F98" t="inlineStr">
        <is>
          <t>VÄRMLANDS LÄN</t>
        </is>
      </c>
      <c r="G98" t="inlineStr">
        <is>
          <t>KRISTINEHAMN</t>
        </is>
      </c>
      <c r="I98" t="n">
        <v>11.2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46324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44595</v>
      </c>
      <c r="E100" s="1" t="n">
        <v>46324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Kommuner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44841</v>
      </c>
      <c r="E101" s="1" t="n">
        <v>46324</v>
      </c>
      <c r="F101" t="inlineStr">
        <is>
          <t>VÄRMLANDS LÄN</t>
        </is>
      </c>
      <c r="G101" t="inlineStr">
        <is>
          <t>KRISTINEHAMN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46324</v>
      </c>
      <c r="F102" t="inlineStr">
        <is>
          <t>VÄRMLANDS LÄN</t>
        </is>
      </c>
      <c r="G102" t="inlineStr">
        <is>
          <t>KRISTINEHAMN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46324</v>
      </c>
      <c r="F103" t="inlineStr">
        <is>
          <t>VÄRMLANDS LÄN</t>
        </is>
      </c>
      <c r="G103" t="inlineStr">
        <is>
          <t>KRISTINEHAMN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45302</v>
      </c>
      <c r="E104" s="1" t="n">
        <v>46324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39997-2024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45553</v>
      </c>
      <c r="E105" s="1" t="n">
        <v>46324</v>
      </c>
      <c r="F105" t="inlineStr">
        <is>
          <t>VÄRMLANDS LÄN</t>
        </is>
      </c>
      <c r="G105" t="inlineStr">
        <is>
          <t>KRISTINEHAMN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24655-2025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46324</v>
      </c>
      <c r="F106" t="inlineStr">
        <is>
          <t>VÄRMLANDS LÄN</t>
        </is>
      </c>
      <c r="G106" t="inlineStr">
        <is>
          <t>KRISTINEHAMN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45442</v>
      </c>
      <c r="E107" s="1" t="n">
        <v>46324</v>
      </c>
      <c r="F107" t="inlineStr">
        <is>
          <t>VÄRMLANDS LÄN</t>
        </is>
      </c>
      <c r="G107" t="inlineStr">
        <is>
          <t>KRISTINEHAMN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46324</v>
      </c>
      <c r="F108" t="inlineStr">
        <is>
          <t>VÄRMLANDS LÄN</t>
        </is>
      </c>
      <c r="G108" t="inlineStr">
        <is>
          <t>KRISTINEHAMN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25484-2025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45802</v>
      </c>
      <c r="E109" s="1" t="n">
        <v>46324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Naturvårdsverket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25454-2023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45081</v>
      </c>
      <c r="E110" s="1" t="n">
        <v>46324</v>
      </c>
      <c r="F110" t="inlineStr">
        <is>
          <t>VÄRMLANDS LÄN</t>
        </is>
      </c>
      <c r="G110" t="inlineStr">
        <is>
          <t>KRISTINEHAMN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46324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46324</v>
      </c>
      <c r="F112" t="inlineStr">
        <is>
          <t>VÄRMLANDS LÄN</t>
        </is>
      </c>
      <c r="G112" t="inlineStr">
        <is>
          <t>KRISTINEHAMN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46324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46324</v>
      </c>
      <c r="F114" t="inlineStr">
        <is>
          <t>VÄRMLANDS LÄN</t>
        </is>
      </c>
      <c r="G114" t="inlineStr">
        <is>
          <t>KRISTINEHAMN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45478</v>
      </c>
      <c r="E115" s="1" t="n">
        <v>46324</v>
      </c>
      <c r="F115" t="inlineStr">
        <is>
          <t>VÄRMLANDS LÄN</t>
        </is>
      </c>
      <c r="G115" t="inlineStr">
        <is>
          <t>KRISTINEHAMN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45478</v>
      </c>
      <c r="E116" s="1" t="n">
        <v>46324</v>
      </c>
      <c r="F116" t="inlineStr">
        <is>
          <t>VÄRMLANDS LÄN</t>
        </is>
      </c>
      <c r="G116" t="inlineStr">
        <is>
          <t>KRISTINEHAMN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46324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46324</v>
      </c>
      <c r="F118" t="inlineStr">
        <is>
          <t>VÄRMLANDS LÄN</t>
        </is>
      </c>
      <c r="G118" t="inlineStr">
        <is>
          <t>KRISTINEHAMN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68505-2021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44525</v>
      </c>
      <c r="E119" s="1" t="n">
        <v>46324</v>
      </c>
      <c r="F119" t="inlineStr">
        <is>
          <t>VÄRMLANDS LÄN</t>
        </is>
      </c>
      <c r="G119" t="inlineStr">
        <is>
          <t>KRISTINEHAMN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46324</v>
      </c>
      <c r="F120" t="inlineStr">
        <is>
          <t>VÄRMLANDS LÄN</t>
        </is>
      </c>
      <c r="G120" t="inlineStr">
        <is>
          <t>KRISTINEHAMN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46324</v>
      </c>
      <c r="F121" t="inlineStr">
        <is>
          <t>VÄRMLANDS LÄN</t>
        </is>
      </c>
      <c r="G121" t="inlineStr">
        <is>
          <t>KRISTINEHAMN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45095</v>
      </c>
      <c r="E122" s="1" t="n">
        <v>46324</v>
      </c>
      <c r="F122" t="inlineStr">
        <is>
          <t>VÄRMLANDS LÄN</t>
        </is>
      </c>
      <c r="G122" t="inlineStr">
        <is>
          <t>KRISTINEHAMN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44974</v>
      </c>
      <c r="E123" s="1" t="n">
        <v>46324</v>
      </c>
      <c r="F123" t="inlineStr">
        <is>
          <t>VÄRMLANDS LÄN</t>
        </is>
      </c>
      <c r="G123" t="inlineStr">
        <is>
          <t>KRISTINEHAMN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46324</v>
      </c>
      <c r="F124" t="inlineStr">
        <is>
          <t>VÄRMLANDS LÄN</t>
        </is>
      </c>
      <c r="G124" t="inlineStr">
        <is>
          <t>KRISTINEHAMN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46324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46324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44746</v>
      </c>
      <c r="E127" s="1" t="n">
        <v>46324</v>
      </c>
      <c r="F127" t="inlineStr">
        <is>
          <t>VÄRMLANDS LÄN</t>
        </is>
      </c>
      <c r="G127" t="inlineStr">
        <is>
          <t>KRISTINEHAMN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46324</v>
      </c>
      <c r="F128" t="inlineStr">
        <is>
          <t>VÄRMLANDS LÄN</t>
        </is>
      </c>
      <c r="G128" t="inlineStr">
        <is>
          <t>KRISTINEHAMN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46324</v>
      </c>
      <c r="F129" t="inlineStr">
        <is>
          <t>VÄRMLANDS LÄN</t>
        </is>
      </c>
      <c r="G129" t="inlineStr">
        <is>
          <t>KRISTINEHAMN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44941</v>
      </c>
      <c r="E130" s="1" t="n">
        <v>46324</v>
      </c>
      <c r="F130" t="inlineStr">
        <is>
          <t>VÄRMLANDS LÄN</t>
        </is>
      </c>
      <c r="G130" t="inlineStr">
        <is>
          <t>KRISTINEHAMN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46324</v>
      </c>
      <c r="F131" t="inlineStr">
        <is>
          <t>VÄRMLANDS LÄN</t>
        </is>
      </c>
      <c r="G131" t="inlineStr">
        <is>
          <t>KRISTINEHAMN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45121</v>
      </c>
      <c r="E132" s="1" t="n">
        <v>46324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28731-2025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46324</v>
      </c>
      <c r="F133" t="inlineStr">
        <is>
          <t>VÄRMLANDS LÄN</t>
        </is>
      </c>
      <c r="G133" t="inlineStr">
        <is>
          <t>KRISTINEHAMN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47648-2023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46324</v>
      </c>
      <c r="F134" t="inlineStr">
        <is>
          <t>VÄRMLANDS LÄN</t>
        </is>
      </c>
      <c r="G134" t="inlineStr">
        <is>
          <t>KRISTINEHAMN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46324</v>
      </c>
      <c r="F135" t="inlineStr">
        <is>
          <t>VÄRMLANDS LÄN</t>
        </is>
      </c>
      <c r="G135" t="inlineStr">
        <is>
          <t>KRISTINEHAMN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10124-2024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46324</v>
      </c>
      <c r="F136" t="inlineStr">
        <is>
          <t>VÄRMLANDS LÄN</t>
        </is>
      </c>
      <c r="G136" t="inlineStr">
        <is>
          <t>KRISTINEHAMN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23246-2024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45450</v>
      </c>
      <c r="E137" s="1" t="n">
        <v>46324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45593</v>
      </c>
      <c r="E138" s="1" t="n">
        <v>46324</v>
      </c>
      <c r="F138" t="inlineStr">
        <is>
          <t>VÄRMLANDS LÄN</t>
        </is>
      </c>
      <c r="G138" t="inlineStr">
        <is>
          <t>KRISTINEHAMN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46324</v>
      </c>
      <c r="F139" t="inlineStr">
        <is>
          <t>VÄRMLANDS LÄN</t>
        </is>
      </c>
      <c r="G139" t="inlineStr">
        <is>
          <t>KRISTINEHAMN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45827</v>
      </c>
      <c r="E140" s="1" t="n">
        <v>46324</v>
      </c>
      <c r="F140" t="inlineStr">
        <is>
          <t>VÄRMLANDS LÄN</t>
        </is>
      </c>
      <c r="G140" t="inlineStr">
        <is>
          <t>KRISTINEHAMN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45378</v>
      </c>
      <c r="E141" s="1" t="n">
        <v>46324</v>
      </c>
      <c r="F141" t="inlineStr">
        <is>
          <t>VÄRMLANDS LÄN</t>
        </is>
      </c>
      <c r="G141" t="inlineStr">
        <is>
          <t>KRISTINEHAMN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45364</v>
      </c>
      <c r="E142" s="1" t="n">
        <v>46324</v>
      </c>
      <c r="F142" t="inlineStr">
        <is>
          <t>VÄRMLANDS LÄN</t>
        </is>
      </c>
      <c r="G142" t="inlineStr">
        <is>
          <t>KRISTINEHAMN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45364</v>
      </c>
      <c r="E143" s="1" t="n">
        <v>46324</v>
      </c>
      <c r="F143" t="inlineStr">
        <is>
          <t>VÄRMLANDS LÄN</t>
        </is>
      </c>
      <c r="G143" t="inlineStr">
        <is>
          <t>KRISTINEHAMN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46324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Sveaskog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46324</v>
      </c>
      <c r="F145" t="inlineStr">
        <is>
          <t>VÄRMLANDS LÄN</t>
        </is>
      </c>
      <c r="G145" t="inlineStr">
        <is>
          <t>KRISTINEHAMN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45832</v>
      </c>
      <c r="E146" s="1" t="n">
        <v>46324</v>
      </c>
      <c r="F146" t="inlineStr">
        <is>
          <t>VÄRMLANDS LÄN</t>
        </is>
      </c>
      <c r="G146" t="inlineStr">
        <is>
          <t>KRISTINEHAMN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31449-2025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46324</v>
      </c>
      <c r="F147" t="inlineStr">
        <is>
          <t>VÄRMLANDS LÄN</t>
        </is>
      </c>
      <c r="G147" t="inlineStr">
        <is>
          <t>KRISTINEHAMN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31327-2025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46324</v>
      </c>
      <c r="F148" t="inlineStr">
        <is>
          <t>VÄRMLANDS LÄN</t>
        </is>
      </c>
      <c r="G148" t="inlineStr">
        <is>
          <t>KRISTINEHAMN</t>
        </is>
      </c>
      <c r="I148" t="n">
        <v>20.1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46324</v>
      </c>
      <c r="F149" t="inlineStr">
        <is>
          <t>VÄRMLANDS LÄN</t>
        </is>
      </c>
      <c r="G149" t="inlineStr">
        <is>
          <t>KRISTINEHAMN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46324</v>
      </c>
      <c r="F150" t="inlineStr">
        <is>
          <t>VÄRMLANDS LÄN</t>
        </is>
      </c>
      <c r="G150" t="inlineStr">
        <is>
          <t>KRISTINEHAMN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46324</v>
      </c>
      <c r="F151" t="inlineStr">
        <is>
          <t>VÄRMLANDS LÄN</t>
        </is>
      </c>
      <c r="G151" t="inlineStr">
        <is>
          <t>KRISTINEHAMN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46324</v>
      </c>
      <c r="F152" t="inlineStr">
        <is>
          <t>VÄRMLANDS LÄN</t>
        </is>
      </c>
      <c r="G152" t="inlineStr">
        <is>
          <t>KRISTINEHAMN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46324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44831</v>
      </c>
      <c r="E154" s="1" t="n">
        <v>46324</v>
      </c>
      <c r="F154" t="inlineStr">
        <is>
          <t>VÄRMLANDS LÄN</t>
        </is>
      </c>
      <c r="G154" t="inlineStr">
        <is>
          <t>KRISTINEHAMN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46324</v>
      </c>
      <c r="F155" t="inlineStr">
        <is>
          <t>VÄRMLANDS LÄN</t>
        </is>
      </c>
      <c r="G155" t="inlineStr">
        <is>
          <t>KRISTINEHAMN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45401</v>
      </c>
      <c r="E156" s="1" t="n">
        <v>46324</v>
      </c>
      <c r="F156" t="inlineStr">
        <is>
          <t>VÄRMLANDS LÄN</t>
        </is>
      </c>
      <c r="G156" t="inlineStr">
        <is>
          <t>KRISTINEHAMN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46324</v>
      </c>
      <c r="F157" t="inlineStr">
        <is>
          <t>VÄRMLANDS LÄN</t>
        </is>
      </c>
      <c r="G157" t="inlineStr">
        <is>
          <t>KRISTINEHAMN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44918</v>
      </c>
      <c r="E158" s="1" t="n">
        <v>46324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Kommuner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41857-2023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45176</v>
      </c>
      <c r="E159" s="1" t="n">
        <v>46324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46324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Naturvårdsverket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46324</v>
      </c>
      <c r="F161" t="inlineStr">
        <is>
          <t>VÄRMLANDS LÄN</t>
        </is>
      </c>
      <c r="G161" t="inlineStr">
        <is>
          <t>KRISTINEHAMN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46324</v>
      </c>
      <c r="F162" t="inlineStr">
        <is>
          <t>VÄRMLANDS LÄN</t>
        </is>
      </c>
      <c r="G162" t="inlineStr">
        <is>
          <t>KRISTINEHAMN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46324</v>
      </c>
      <c r="F163" t="inlineStr">
        <is>
          <t>VÄRMLANDS LÄN</t>
        </is>
      </c>
      <c r="G163" t="inlineStr">
        <is>
          <t>KRISTINEHAMN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45686</v>
      </c>
      <c r="E164" s="1" t="n">
        <v>46324</v>
      </c>
      <c r="F164" t="inlineStr">
        <is>
          <t>VÄRMLANDS LÄN</t>
        </is>
      </c>
      <c r="G164" t="inlineStr">
        <is>
          <t>KRISTINEHAMN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44894</v>
      </c>
      <c r="E165" s="1" t="n">
        <v>46324</v>
      </c>
      <c r="F165" t="inlineStr">
        <is>
          <t>VÄRMLANDS LÄN</t>
        </is>
      </c>
      <c r="G165" t="inlineStr">
        <is>
          <t>KRISTINEHAMN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45302</v>
      </c>
      <c r="E166" s="1" t="n">
        <v>46324</v>
      </c>
      <c r="F166" t="inlineStr">
        <is>
          <t>VÄRMLANDS LÄN</t>
        </is>
      </c>
      <c r="G166" t="inlineStr">
        <is>
          <t>KRISTINEHAMN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44722</v>
      </c>
      <c r="E167" s="1" t="n">
        <v>46324</v>
      </c>
      <c r="F167" t="inlineStr">
        <is>
          <t>VÄRMLANDS LÄN</t>
        </is>
      </c>
      <c r="G167" t="inlineStr">
        <is>
          <t>KRISTINEHAMN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46324</v>
      </c>
      <c r="F168" t="inlineStr">
        <is>
          <t>VÄRMLANDS LÄN</t>
        </is>
      </c>
      <c r="G168" t="inlineStr">
        <is>
          <t>KRISTINEHAMN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13021-2023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46324</v>
      </c>
      <c r="F169" t="inlineStr">
        <is>
          <t>VÄRMLANDS LÄN</t>
        </is>
      </c>
      <c r="G169" t="inlineStr">
        <is>
          <t>KRISTINEHAMN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44677</v>
      </c>
      <c r="E170" s="1" t="n">
        <v>46324</v>
      </c>
      <c r="F170" t="inlineStr">
        <is>
          <t>VÄRMLANDS LÄN</t>
        </is>
      </c>
      <c r="G170" t="inlineStr">
        <is>
          <t>KRISTINEHAMN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46324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46324</v>
      </c>
      <c r="F172" t="inlineStr">
        <is>
          <t>VÄRMLANDS LÄN</t>
        </is>
      </c>
      <c r="G172" t="inlineStr">
        <is>
          <t>KRISTINEHAMN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46324</v>
      </c>
      <c r="F173" t="inlineStr">
        <is>
          <t>VÄRMLANDS LÄN</t>
        </is>
      </c>
      <c r="G173" t="inlineStr">
        <is>
          <t>KRISTINEHAMN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46324</v>
      </c>
      <c r="F174" t="inlineStr">
        <is>
          <t>VÄRMLANDS LÄN</t>
        </is>
      </c>
      <c r="G174" t="inlineStr">
        <is>
          <t>KRISTINEHAMN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46324</v>
      </c>
      <c r="F175" t="inlineStr">
        <is>
          <t>VÄRMLANDS LÄN</t>
        </is>
      </c>
      <c r="G175" t="inlineStr">
        <is>
          <t>KRISTINEHAMN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45302</v>
      </c>
      <c r="E176" s="1" t="n">
        <v>46324</v>
      </c>
      <c r="F176" t="inlineStr">
        <is>
          <t>VÄRMLANDS LÄN</t>
        </is>
      </c>
      <c r="G176" t="inlineStr">
        <is>
          <t>KRISTINEHAMN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44965</v>
      </c>
      <c r="E177" s="1" t="n">
        <v>46324</v>
      </c>
      <c r="F177" t="inlineStr">
        <is>
          <t>VÄRMLANDS LÄN</t>
        </is>
      </c>
      <c r="G177" t="inlineStr">
        <is>
          <t>KRISTINEHAMN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45944</v>
      </c>
      <c r="E178" s="1" t="n">
        <v>46324</v>
      </c>
      <c r="F178" t="inlineStr">
        <is>
          <t>VÄRMLANDS LÄN</t>
        </is>
      </c>
      <c r="G178" t="inlineStr">
        <is>
          <t>KRISTINEHAMN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46324</v>
      </c>
      <c r="F179" t="inlineStr">
        <is>
          <t>VÄRMLANDS LÄN</t>
        </is>
      </c>
      <c r="G179" t="inlineStr">
        <is>
          <t>KRISTINEHAMN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45876</v>
      </c>
      <c r="E180" s="1" t="n">
        <v>46324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46324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45393</v>
      </c>
      <c r="E182" s="1" t="n">
        <v>46324</v>
      </c>
      <c r="F182" t="inlineStr">
        <is>
          <t>VÄRMLANDS LÄN</t>
        </is>
      </c>
      <c r="G182" t="inlineStr">
        <is>
          <t>KRISTINEHAMN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45239</v>
      </c>
      <c r="E183" s="1" t="n">
        <v>46324</v>
      </c>
      <c r="F183" t="inlineStr">
        <is>
          <t>VÄRMLANDS LÄN</t>
        </is>
      </c>
      <c r="G183" t="inlineStr">
        <is>
          <t>KRISTINEHAMN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45058</v>
      </c>
      <c r="E184" s="1" t="n">
        <v>46324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Kommuner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46324</v>
      </c>
      <c r="F185" t="inlineStr">
        <is>
          <t>VÄRMLANDS LÄN</t>
        </is>
      </c>
      <c r="G185" t="inlineStr">
        <is>
          <t>KRISTINEHAMN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46324</v>
      </c>
      <c r="F186" t="inlineStr">
        <is>
          <t>VÄRMLANDS LÄN</t>
        </is>
      </c>
      <c r="G186" t="inlineStr">
        <is>
          <t>KRISTINEHAMN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46324</v>
      </c>
      <c r="F187" t="inlineStr">
        <is>
          <t>VÄRMLANDS LÄN</t>
        </is>
      </c>
      <c r="G187" t="inlineStr">
        <is>
          <t>KRISTINEHAMN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52088-2025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45952</v>
      </c>
      <c r="E188" s="1" t="n">
        <v>46324</v>
      </c>
      <c r="F188" t="inlineStr">
        <is>
          <t>VÄRMLANDS LÄN</t>
        </is>
      </c>
      <c r="G188" t="inlineStr">
        <is>
          <t>KRISTINEHAMN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46324</v>
      </c>
      <c r="F189" t="inlineStr">
        <is>
          <t>VÄRMLANDS LÄN</t>
        </is>
      </c>
      <c r="G189" t="inlineStr">
        <is>
          <t>KRISTINEHAMN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45679</v>
      </c>
      <c r="E190" s="1" t="n">
        <v>46324</v>
      </c>
      <c r="F190" t="inlineStr">
        <is>
          <t>VÄRMLANDS LÄN</t>
        </is>
      </c>
      <c r="G190" t="inlineStr">
        <is>
          <t>KRISTINEHAMN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46324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46324</v>
      </c>
      <c r="F192" t="inlineStr">
        <is>
          <t>VÄRMLANDS LÄN</t>
        </is>
      </c>
      <c r="G192" t="inlineStr">
        <is>
          <t>KRISTINEHAMN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45959</v>
      </c>
      <c r="E193" s="1" t="n">
        <v>46324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45379</v>
      </c>
      <c r="E194" s="1" t="n">
        <v>46324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46324</v>
      </c>
      <c r="F195" t="inlineStr">
        <is>
          <t>VÄRMLANDS LÄN</t>
        </is>
      </c>
      <c r="G195" t="inlineStr">
        <is>
          <t>KRISTINEHAMN</t>
        </is>
      </c>
      <c r="I195" t="n">
        <v>12.6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46324</v>
      </c>
      <c r="F196" t="inlineStr">
        <is>
          <t>VÄRMLANDS LÄN</t>
        </is>
      </c>
      <c r="G196" t="inlineStr">
        <is>
          <t>KRISTINEHAMN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45961</v>
      </c>
      <c r="E197" s="1" t="n">
        <v>46324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45961</v>
      </c>
      <c r="E198" s="1" t="n">
        <v>46324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46324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45456</v>
      </c>
      <c r="E200" s="1" t="n">
        <v>46324</v>
      </c>
      <c r="F200" t="inlineStr">
        <is>
          <t>VÄRMLANDS LÄN</t>
        </is>
      </c>
      <c r="G200" t="inlineStr">
        <is>
          <t>KRISTINEHAMN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46324</v>
      </c>
      <c r="F201" t="inlineStr">
        <is>
          <t>VÄRMLANDS LÄN</t>
        </is>
      </c>
      <c r="G201" t="inlineStr">
        <is>
          <t>KRISTINEHAMN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22060-2026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46149</v>
      </c>
      <c r="E202" s="1" t="n">
        <v>46324</v>
      </c>
      <c r="F202" t="inlineStr">
        <is>
          <t>VÄRMLANDS LÄN</t>
        </is>
      </c>
      <c r="G202" t="inlineStr">
        <is>
          <t>KRISTINEHAMN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46324</v>
      </c>
      <c r="F203" t="inlineStr">
        <is>
          <t>VÄRMLANDS LÄN</t>
        </is>
      </c>
      <c r="G203" t="inlineStr">
        <is>
          <t>KRISTINEHAMN</t>
        </is>
      </c>
      <c r="I203" t="n">
        <v>11.1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46150</v>
      </c>
      <c r="E204" s="1" t="n">
        <v>46324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46324</v>
      </c>
      <c r="F205" t="inlineStr">
        <is>
          <t>VÄRMLANDS LÄN</t>
        </is>
      </c>
      <c r="G205" t="inlineStr">
        <is>
          <t>KRISTINEHAMN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56315-2025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45974</v>
      </c>
      <c r="E206" s="1" t="n">
        <v>46324</v>
      </c>
      <c r="F206" t="inlineStr">
        <is>
          <t>VÄRMLANDS LÄN</t>
        </is>
      </c>
      <c r="G206" t="inlineStr">
        <is>
          <t>KRISTINEHAMN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46324</v>
      </c>
      <c r="F207" t="inlineStr">
        <is>
          <t>VÄRMLANDS LÄN</t>
        </is>
      </c>
      <c r="G207" t="inlineStr">
        <is>
          <t>KRISTINEHAMN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46324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22896-2023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45072</v>
      </c>
      <c r="E209" s="1" t="n">
        <v>46324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44985</v>
      </c>
      <c r="E210" s="1" t="n">
        <v>46324</v>
      </c>
      <c r="F210" t="inlineStr">
        <is>
          <t>VÄRMLANDS LÄN</t>
        </is>
      </c>
      <c r="G210" t="inlineStr">
        <is>
          <t>KRISTINEHAMN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46324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45341</v>
      </c>
      <c r="E212" s="1" t="n">
        <v>46324</v>
      </c>
      <c r="F212" t="inlineStr">
        <is>
          <t>VÄRMLANDS LÄN</t>
        </is>
      </c>
      <c r="G212" t="inlineStr">
        <is>
          <t>KRISTINEHAMN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46324</v>
      </c>
      <c r="F213" t="inlineStr">
        <is>
          <t>VÄRMLANDS LÄN</t>
        </is>
      </c>
      <c r="G213" t="inlineStr">
        <is>
          <t>KRISTINEHAMN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45022</v>
      </c>
      <c r="E214" s="1" t="n">
        <v>46324</v>
      </c>
      <c r="F214" t="inlineStr">
        <is>
          <t>VÄRMLANDS LÄN</t>
        </is>
      </c>
      <c r="G214" t="inlineStr">
        <is>
          <t>KRISTINEHAMN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6644-2024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46324</v>
      </c>
      <c r="F215" t="inlineStr">
        <is>
          <t>VÄRMLANDS LÄN</t>
        </is>
      </c>
      <c r="G215" t="inlineStr">
        <is>
          <t>KRISTINEHAMN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46161</v>
      </c>
      <c r="E216" s="1" t="n">
        <v>46324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45202</v>
      </c>
      <c r="E217" s="1" t="n">
        <v>46324</v>
      </c>
      <c r="F217" t="inlineStr">
        <is>
          <t>VÄRMLANDS LÄN</t>
        </is>
      </c>
      <c r="G217" t="inlineStr">
        <is>
          <t>KRISTINEHAMN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44851</v>
      </c>
      <c r="E218" s="1" t="n">
        <v>46324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Kommuner</t>
        </is>
      </c>
      <c r="I218" t="n">
        <v>8.6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46324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46324</v>
      </c>
      <c r="F220" t="inlineStr">
        <is>
          <t>VÄRMLANDS LÄN</t>
        </is>
      </c>
      <c r="G220" t="inlineStr">
        <is>
          <t>KRISTINEHAMN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44637</v>
      </c>
      <c r="E221" s="1" t="n">
        <v>46324</v>
      </c>
      <c r="F221" t="inlineStr">
        <is>
          <t>VÄRMLANDS LÄN</t>
        </is>
      </c>
      <c r="G221" t="inlineStr">
        <is>
          <t>KRISTINEHAMN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46324</v>
      </c>
      <c r="F222" t="inlineStr">
        <is>
          <t>VÄRMLANDS LÄN</t>
        </is>
      </c>
      <c r="G222" t="inlineStr">
        <is>
          <t>KRISTINEHAMN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46324</v>
      </c>
      <c r="F223" t="inlineStr">
        <is>
          <t>VÄRMLANDS LÄN</t>
        </is>
      </c>
      <c r="G223" t="inlineStr">
        <is>
          <t>KRISTINEHAMN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46324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46324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45513</v>
      </c>
      <c r="E226" s="1" t="n">
        <v>46324</v>
      </c>
      <c r="F226" t="inlineStr">
        <is>
          <t>VÄRMLANDS LÄN</t>
        </is>
      </c>
      <c r="G226" t="inlineStr">
        <is>
          <t>KRISTINEHAMN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46324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46324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46324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45141</v>
      </c>
      <c r="E230" s="1" t="n">
        <v>46324</v>
      </c>
      <c r="F230" t="inlineStr">
        <is>
          <t>VÄRMLANDS LÄN</t>
        </is>
      </c>
      <c r="G230" t="inlineStr">
        <is>
          <t>KRISTINEHAMN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46324</v>
      </c>
      <c r="F231" t="inlineStr">
        <is>
          <t>VÄRMLANDS LÄN</t>
        </is>
      </c>
      <c r="G231" t="inlineStr">
        <is>
          <t>KRISTINEHAMN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44749</v>
      </c>
      <c r="E232" s="1" t="n">
        <v>46324</v>
      </c>
      <c r="F232" t="inlineStr">
        <is>
          <t>VÄRMLANDS LÄN</t>
        </is>
      </c>
      <c r="G232" t="inlineStr">
        <is>
          <t>KRISTINEHAMN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46324</v>
      </c>
      <c r="F233" t="inlineStr">
        <is>
          <t>VÄRMLANDS LÄN</t>
        </is>
      </c>
      <c r="G233" t="inlineStr">
        <is>
          <t>KRISTINEHAMN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46324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46324</v>
      </c>
      <c r="F235" t="inlineStr">
        <is>
          <t>VÄRMLANDS LÄN</t>
        </is>
      </c>
      <c r="G235" t="inlineStr">
        <is>
          <t>KRISTINEHAMN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46324</v>
      </c>
      <c r="F236" t="inlineStr">
        <is>
          <t>VÄRMLANDS LÄN</t>
        </is>
      </c>
      <c r="G236" t="inlineStr">
        <is>
          <t>KRISTINEHAMN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45202</v>
      </c>
      <c r="E237" s="1" t="n">
        <v>46324</v>
      </c>
      <c r="F237" t="inlineStr">
        <is>
          <t>VÄRMLANDS LÄN</t>
        </is>
      </c>
      <c r="G237" t="inlineStr">
        <is>
          <t>KRISTINEHAMN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46324</v>
      </c>
      <c r="F238" t="inlineStr">
        <is>
          <t>VÄRMLANDS LÄN</t>
        </is>
      </c>
      <c r="G238" t="inlineStr">
        <is>
          <t>KRISTINEHAMN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44987</v>
      </c>
      <c r="E239" s="1" t="n">
        <v>46324</v>
      </c>
      <c r="F239" t="inlineStr">
        <is>
          <t>VÄRMLANDS LÄN</t>
        </is>
      </c>
      <c r="G239" t="inlineStr">
        <is>
          <t>KRISTINEHAMN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46324</v>
      </c>
      <c r="F240" t="inlineStr">
        <is>
          <t>VÄRMLANDS LÄN</t>
        </is>
      </c>
      <c r="G240" t="inlineStr">
        <is>
          <t>KRISTINEHAMN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46170</v>
      </c>
      <c r="E241" s="1" t="n">
        <v>46324</v>
      </c>
      <c r="F241" t="inlineStr">
        <is>
          <t>VÄRMLANDS LÄN</t>
        </is>
      </c>
      <c r="G241" t="inlineStr">
        <is>
          <t>KRISTINEHAMN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44924</v>
      </c>
      <c r="E242" s="1" t="n">
        <v>46324</v>
      </c>
      <c r="F242" t="inlineStr">
        <is>
          <t>VÄRMLANDS LÄN</t>
        </is>
      </c>
      <c r="G242" t="inlineStr">
        <is>
          <t>KRISTINEHAMN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48405-2023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45201</v>
      </c>
      <c r="E243" s="1" t="n">
        <v>46324</v>
      </c>
      <c r="F243" t="inlineStr">
        <is>
          <t>VÄRMLANDS LÄN</t>
        </is>
      </c>
      <c r="G243" t="inlineStr">
        <is>
          <t>KRISTINEHAMN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46324</v>
      </c>
      <c r="F244" t="inlineStr">
        <is>
          <t>VÄRMLANDS LÄN</t>
        </is>
      </c>
      <c r="G244" t="inlineStr">
        <is>
          <t>KRISTINEHAMN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45098</v>
      </c>
      <c r="E245" s="1" t="n">
        <v>46324</v>
      </c>
      <c r="F245" t="inlineStr">
        <is>
          <t>VÄRMLANDS LÄN</t>
        </is>
      </c>
      <c r="G245" t="inlineStr">
        <is>
          <t>KRISTINEHAMN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44959</v>
      </c>
      <c r="E246" s="1" t="n">
        <v>46324</v>
      </c>
      <c r="F246" t="inlineStr">
        <is>
          <t>VÄRMLANDS LÄN</t>
        </is>
      </c>
      <c r="G246" t="inlineStr">
        <is>
          <t>KRISTINEHAMN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46324</v>
      </c>
      <c r="F247" t="inlineStr">
        <is>
          <t>VÄRMLANDS LÄN</t>
        </is>
      </c>
      <c r="G247" t="inlineStr">
        <is>
          <t>KRISTINEHAMN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45377</v>
      </c>
      <c r="E248" s="1" t="n">
        <v>46324</v>
      </c>
      <c r="F248" t="inlineStr">
        <is>
          <t>VÄRMLANDS LÄN</t>
        </is>
      </c>
      <c r="G248" t="inlineStr">
        <is>
          <t>KRISTINEHAMN</t>
        </is>
      </c>
      <c r="I248" t="n">
        <v>13.2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46324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45104</v>
      </c>
      <c r="E250" s="1" t="n">
        <v>46324</v>
      </c>
      <c r="F250" t="inlineStr">
        <is>
          <t>VÄRMLANDS LÄN</t>
        </is>
      </c>
      <c r="G250" t="inlineStr">
        <is>
          <t>KRISTINEHAMN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45366</v>
      </c>
      <c r="E251" s="1" t="n">
        <v>46324</v>
      </c>
      <c r="F251" t="inlineStr">
        <is>
          <t>VÄRMLANDS LÄN</t>
        </is>
      </c>
      <c r="G251" t="inlineStr">
        <is>
          <t>KRISTINEHAMN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45267</v>
      </c>
      <c r="E252" s="1" t="n">
        <v>46324</v>
      </c>
      <c r="F252" t="inlineStr">
        <is>
          <t>VÄRMLANDS LÄN</t>
        </is>
      </c>
      <c r="G252" t="inlineStr">
        <is>
          <t>KRISTINEHAMN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46324</v>
      </c>
      <c r="F253" t="inlineStr">
        <is>
          <t>VÄRMLANDS LÄN</t>
        </is>
      </c>
      <c r="G253" t="inlineStr">
        <is>
          <t>KRISTINEHAMN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45656</v>
      </c>
      <c r="E254" s="1" t="n">
        <v>46324</v>
      </c>
      <c r="F254" t="inlineStr">
        <is>
          <t>VÄRMLANDS LÄN</t>
        </is>
      </c>
      <c r="G254" t="inlineStr">
        <is>
          <t>KRISTINEHAMN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25258-2026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46175</v>
      </c>
      <c r="E255" s="1" t="n">
        <v>46324</v>
      </c>
      <c r="F255" t="inlineStr">
        <is>
          <t>VÄRMLANDS LÄN</t>
        </is>
      </c>
      <c r="G255" t="inlineStr">
        <is>
          <t>KRISTINEHAMN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45323</v>
      </c>
      <c r="E256" s="1" t="n">
        <v>46324</v>
      </c>
      <c r="F256" t="inlineStr">
        <is>
          <t>VÄRMLANDS LÄN</t>
        </is>
      </c>
      <c r="G256" t="inlineStr">
        <is>
          <t>KRISTINEHAMN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44651</v>
      </c>
      <c r="E257" s="1" t="n">
        <v>46324</v>
      </c>
      <c r="F257" t="inlineStr">
        <is>
          <t>VÄRMLANDS LÄN</t>
        </is>
      </c>
      <c r="G257" t="inlineStr">
        <is>
          <t>KRISTINEHAMN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46324</v>
      </c>
      <c r="F258" t="inlineStr">
        <is>
          <t>VÄRMLANDS LÄN</t>
        </is>
      </c>
      <c r="G258" t="inlineStr">
        <is>
          <t>KRISTINEHAMN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46324</v>
      </c>
      <c r="F259" t="inlineStr">
        <is>
          <t>VÄRMLANDS LÄN</t>
        </is>
      </c>
      <c r="G259" t="inlineStr">
        <is>
          <t>KRISTINEHAMN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46324</v>
      </c>
      <c r="F260" t="inlineStr">
        <is>
          <t>VÄRMLANDS LÄN</t>
        </is>
      </c>
      <c r="G260" t="inlineStr">
        <is>
          <t>KRISTINEHAMN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46036</v>
      </c>
      <c r="E261" s="1" t="n">
        <v>46324</v>
      </c>
      <c r="F261" t="inlineStr">
        <is>
          <t>VÄRMLANDS LÄN</t>
        </is>
      </c>
      <c r="G261" t="inlineStr">
        <is>
          <t>KRISTINEHAMN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60567-2024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45644</v>
      </c>
      <c r="E262" s="1" t="n">
        <v>46324</v>
      </c>
      <c r="F262" t="inlineStr">
        <is>
          <t>VÄRMLANDS LÄN</t>
        </is>
      </c>
      <c r="G262" t="inlineStr">
        <is>
          <t>KRISTINEHAMN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23705-2022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44722</v>
      </c>
      <c r="E263" s="1" t="n">
        <v>46324</v>
      </c>
      <c r="F263" t="inlineStr">
        <is>
          <t>VÄRMLANDS LÄN</t>
        </is>
      </c>
      <c r="G263" t="inlineStr">
        <is>
          <t>KRISTINEHAMN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46324</v>
      </c>
      <c r="F264" t="inlineStr">
        <is>
          <t>VÄRMLANDS LÄN</t>
        </is>
      </c>
      <c r="G264" t="inlineStr">
        <is>
          <t>KRISTINEHAMN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46324</v>
      </c>
      <c r="F265" t="inlineStr">
        <is>
          <t>VÄRMLANDS LÄN</t>
        </is>
      </c>
      <c r="G265" t="inlineStr">
        <is>
          <t>KRISTINEHAMN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46324</v>
      </c>
      <c r="F266" t="inlineStr">
        <is>
          <t>VÄRMLANDS LÄN</t>
        </is>
      </c>
      <c r="G266" t="inlineStr">
        <is>
          <t>KRISTINEHAMN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51700-2023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46324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Bergvik skog väst AB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46324</v>
      </c>
      <c r="F268" t="inlineStr">
        <is>
          <t>VÄRMLANDS LÄN</t>
        </is>
      </c>
      <c r="G268" t="inlineStr">
        <is>
          <t>KRISTINEHAMN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46324</v>
      </c>
      <c r="F269" t="inlineStr">
        <is>
          <t>VÄRMLANDS LÄN</t>
        </is>
      </c>
      <c r="G269" t="inlineStr">
        <is>
          <t>KRISTINEHAMN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2522-2026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46037</v>
      </c>
      <c r="E270" s="1" t="n">
        <v>46324</v>
      </c>
      <c r="F270" t="inlineStr">
        <is>
          <t>VÄRMLANDS LÄN</t>
        </is>
      </c>
      <c r="G270" t="inlineStr">
        <is>
          <t>KRISTINEHAMN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45705</v>
      </c>
      <c r="E271" s="1" t="n">
        <v>46324</v>
      </c>
      <c r="F271" t="inlineStr">
        <is>
          <t>VÄRMLANDS LÄN</t>
        </is>
      </c>
      <c r="G271" t="inlineStr">
        <is>
          <t>KRISTINEHAMN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46324</v>
      </c>
      <c r="F272" t="inlineStr">
        <is>
          <t>VÄRMLANDS LÄN</t>
        </is>
      </c>
      <c r="G272" t="inlineStr">
        <is>
          <t>KRISTINEHAMN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32161-2023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46324</v>
      </c>
      <c r="F273" t="inlineStr">
        <is>
          <t>VÄRMLANDS LÄN</t>
        </is>
      </c>
      <c r="G273" t="inlineStr">
        <is>
          <t>KRISTINEHAMN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6259-2026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46051</v>
      </c>
      <c r="E274" s="1" t="n">
        <v>46324</v>
      </c>
      <c r="F274" t="inlineStr">
        <is>
          <t>VÄRMLANDS LÄN</t>
        </is>
      </c>
      <c r="G274" t="inlineStr">
        <is>
          <t>KRISTINEHAMN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70126-2021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44533</v>
      </c>
      <c r="E275" s="1" t="n">
        <v>46324</v>
      </c>
      <c r="F275" t="inlineStr">
        <is>
          <t>VÄRMLANDS LÄN</t>
        </is>
      </c>
      <c r="G275" t="inlineStr">
        <is>
          <t>KRISTINEHAMN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46526-2022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44847</v>
      </c>
      <c r="E276" s="1" t="n">
        <v>46324</v>
      </c>
      <c r="F276" t="inlineStr">
        <is>
          <t>VÄRMLANDS LÄN</t>
        </is>
      </c>
      <c r="G276" t="inlineStr">
        <is>
          <t>KRISTINEHAMN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45595</v>
      </c>
      <c r="E277" s="1" t="n">
        <v>46324</v>
      </c>
      <c r="F277" t="inlineStr">
        <is>
          <t>VÄRMLANDS LÄN</t>
        </is>
      </c>
      <c r="G277" t="inlineStr">
        <is>
          <t>KRISTINEHAMN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45081</v>
      </c>
      <c r="E278" s="1" t="n">
        <v>46324</v>
      </c>
      <c r="F278" t="inlineStr">
        <is>
          <t>VÄRMLANDS LÄN</t>
        </is>
      </c>
      <c r="G278" t="inlineStr">
        <is>
          <t>KRISTINEHAMN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45447</v>
      </c>
      <c r="E279" s="1" t="n">
        <v>46324</v>
      </c>
      <c r="F279" t="inlineStr">
        <is>
          <t>VÄRMLANDS LÄN</t>
        </is>
      </c>
      <c r="G279" t="inlineStr">
        <is>
          <t>KRISTINEHAMN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46324</v>
      </c>
      <c r="F280" t="inlineStr">
        <is>
          <t>VÄRMLANDS LÄN</t>
        </is>
      </c>
      <c r="G280" t="inlineStr">
        <is>
          <t>KRISTINEHAMN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46324</v>
      </c>
      <c r="F281" t="inlineStr">
        <is>
          <t>VÄRMLANDS LÄN</t>
        </is>
      </c>
      <c r="G281" t="inlineStr">
        <is>
          <t>KRISTINEHAMN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45701</v>
      </c>
      <c r="E282" s="1" t="n">
        <v>46324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Naturvårdsverket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46324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45662</v>
      </c>
      <c r="E284" s="1" t="n">
        <v>46324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46324</v>
      </c>
      <c r="F285" t="inlineStr">
        <is>
          <t>VÄRMLANDS LÄN</t>
        </is>
      </c>
      <c r="G285" t="inlineStr">
        <is>
          <t>KRISTINEHAMN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46324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46324</v>
      </c>
      <c r="F287" t="inlineStr">
        <is>
          <t>VÄRMLANDS LÄN</t>
        </is>
      </c>
      <c r="G287" t="inlineStr">
        <is>
          <t>KRISTINEHAMN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45315</v>
      </c>
      <c r="E288" s="1" t="n">
        <v>46324</v>
      </c>
      <c r="F288" t="inlineStr">
        <is>
          <t>VÄRMLANDS LÄN</t>
        </is>
      </c>
      <c r="G288" t="inlineStr">
        <is>
          <t>KRISTINEHAMN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46324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45344</v>
      </c>
      <c r="E290" s="1" t="n">
        <v>46324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Naturvårdsverket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46324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46324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46324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46324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65050-2023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45282</v>
      </c>
      <c r="E295" s="1" t="n">
        <v>46324</v>
      </c>
      <c r="F295" t="inlineStr">
        <is>
          <t>VÄRMLANDS LÄN</t>
        </is>
      </c>
      <c r="G295" t="inlineStr">
        <is>
          <t>KRISTINEHAMN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46324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46324</v>
      </c>
      <c r="F297" t="inlineStr">
        <is>
          <t>VÄRMLANDS LÄN</t>
        </is>
      </c>
      <c r="G297" t="inlineStr">
        <is>
          <t>KRISTINEHAMN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46205</v>
      </c>
      <c r="E298" s="1" t="n">
        <v>46324</v>
      </c>
      <c r="F298" t="inlineStr">
        <is>
          <t>VÄRMLANDS LÄN</t>
        </is>
      </c>
      <c r="G298" t="inlineStr">
        <is>
          <t>KRISTINEHAMN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56661-2023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45243</v>
      </c>
      <c r="E299" s="1" t="n">
        <v>46324</v>
      </c>
      <c r="F299" t="inlineStr">
        <is>
          <t>VÄRMLANDS LÄN</t>
        </is>
      </c>
      <c r="G299" t="inlineStr">
        <is>
          <t>KRISTINEHAMN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46324</v>
      </c>
      <c r="F300" t="inlineStr">
        <is>
          <t>VÄRMLANDS LÄN</t>
        </is>
      </c>
      <c r="G300" t="inlineStr">
        <is>
          <t>KRISTINEHAMN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44588</v>
      </c>
      <c r="E301" s="1" t="n">
        <v>46324</v>
      </c>
      <c r="F301" t="inlineStr">
        <is>
          <t>VÄRMLANDS LÄN</t>
        </is>
      </c>
      <c r="G301" t="inlineStr">
        <is>
          <t>KRISTINEHAMN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45118</v>
      </c>
      <c r="E302" s="1" t="n">
        <v>46324</v>
      </c>
      <c r="F302" t="inlineStr">
        <is>
          <t>VÄRMLANDS LÄN</t>
        </is>
      </c>
      <c r="G302" t="inlineStr">
        <is>
          <t>KRISTINEHAMN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45769</v>
      </c>
      <c r="E303" s="1" t="n">
        <v>46324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Kyrkan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46324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Naturvårdsverket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46324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56697-2022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44888</v>
      </c>
      <c r="E306" s="1" t="n">
        <v>46324</v>
      </c>
      <c r="F306" t="inlineStr">
        <is>
          <t>VÄRMLANDS LÄN</t>
        </is>
      </c>
      <c r="G306" t="inlineStr">
        <is>
          <t>KRISTINEHAMN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46324</v>
      </c>
      <c r="F307" t="inlineStr">
        <is>
          <t>VÄRMLANDS LÄN</t>
        </is>
      </c>
      <c r="G307" t="inlineStr">
        <is>
          <t>KRISTINEHAMN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45379</v>
      </c>
      <c r="E308" s="1" t="n">
        <v>46324</v>
      </c>
      <c r="F308" t="inlineStr">
        <is>
          <t>VÄRMLANDS LÄN</t>
        </is>
      </c>
      <c r="G308" t="inlineStr">
        <is>
          <t>KRISTINEHAMN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45044</v>
      </c>
      <c r="E309" s="1" t="n">
        <v>46324</v>
      </c>
      <c r="F309" t="inlineStr">
        <is>
          <t>VÄRMLANDS LÄN</t>
        </is>
      </c>
      <c r="G309" t="inlineStr">
        <is>
          <t>KRISTINEHAMN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45268</v>
      </c>
      <c r="E310" s="1" t="n">
        <v>46324</v>
      </c>
      <c r="F310" t="inlineStr">
        <is>
          <t>VÄRMLANDS LÄN</t>
        </is>
      </c>
      <c r="G310" t="inlineStr">
        <is>
          <t>KRISTINEHAMN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56930-2023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45244</v>
      </c>
      <c r="E311" s="1" t="n">
        <v>46324</v>
      </c>
      <c r="F311" t="inlineStr">
        <is>
          <t>VÄRMLANDS LÄN</t>
        </is>
      </c>
      <c r="G311" t="inlineStr">
        <is>
          <t>KRISTINEHAMN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28834-2024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45478</v>
      </c>
      <c r="E312" s="1" t="n">
        <v>46324</v>
      </c>
      <c r="F312" t="inlineStr">
        <is>
          <t>VÄRMLANDS LÄN</t>
        </is>
      </c>
      <c r="G312" t="inlineStr">
        <is>
          <t>KRISTINEHAMN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14757-2026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46101</v>
      </c>
      <c r="E313" s="1" t="n">
        <v>46324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46324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Sveaskog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15646-2026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46106</v>
      </c>
      <c r="E315" s="1" t="n">
        <v>46324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44770</v>
      </c>
      <c r="E316" s="1" t="n">
        <v>46324</v>
      </c>
      <c r="F316" t="inlineStr">
        <is>
          <t>VÄRMLANDS LÄN</t>
        </is>
      </c>
      <c r="G316" t="inlineStr">
        <is>
          <t>KRISTINEHAMN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44812</v>
      </c>
      <c r="E317" s="1" t="n">
        <v>46324</v>
      </c>
      <c r="F317" t="inlineStr">
        <is>
          <t>VÄRMLANDS LÄN</t>
        </is>
      </c>
      <c r="G317" t="inlineStr">
        <is>
          <t>KRISTINEHAMN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46324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Naturvårdsverket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45303</v>
      </c>
      <c r="E319" s="1" t="n">
        <v>46324</v>
      </c>
      <c r="F319" t="inlineStr">
        <is>
          <t>VÄRMLANDS LÄN</t>
        </is>
      </c>
      <c r="G319" t="inlineStr">
        <is>
          <t>KRISTINEHAMN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15827-2026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46107</v>
      </c>
      <c r="E320" s="1" t="n">
        <v>46324</v>
      </c>
      <c r="F320" t="inlineStr">
        <is>
          <t>VÄRMLANDS LÄN</t>
        </is>
      </c>
      <c r="G320" t="inlineStr">
        <is>
          <t>KRISTINEHAMN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21602-2025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45783</v>
      </c>
      <c r="E321" s="1" t="n">
        <v>46324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62498-2022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44917</v>
      </c>
      <c r="E322" s="1" t="n">
        <v>46324</v>
      </c>
      <c r="F322" t="inlineStr">
        <is>
          <t>VÄRMLANDS LÄN</t>
        </is>
      </c>
      <c r="G322" t="inlineStr">
        <is>
          <t>KRISTINEHAMN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45636</v>
      </c>
      <c r="E323" s="1" t="n">
        <v>46324</v>
      </c>
      <c r="F323" t="inlineStr">
        <is>
          <t>VÄRMLANDS LÄN</t>
        </is>
      </c>
      <c r="G323" t="inlineStr">
        <is>
          <t>KRISTINEHAMN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32821-2023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45112</v>
      </c>
      <c r="E324" s="1" t="n">
        <v>46324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46129</v>
      </c>
      <c r="E325" s="1" t="n">
        <v>46324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32821-2023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45112</v>
      </c>
      <c r="E326" s="1" t="n">
        <v>46324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Kommuner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31829-2026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46230</v>
      </c>
      <c r="E327" s="1" t="n">
        <v>46324</v>
      </c>
      <c r="F327" t="inlineStr">
        <is>
          <t>VÄRMLANDS LÄN</t>
        </is>
      </c>
      <c r="G327" t="inlineStr">
        <is>
          <t>KRISTINEHAMN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44805</v>
      </c>
      <c r="E328" s="1" t="n">
        <v>46324</v>
      </c>
      <c r="F328" t="inlineStr">
        <is>
          <t>VÄRMLANDS LÄN</t>
        </is>
      </c>
      <c r="G328" t="inlineStr">
        <is>
          <t>KRISTINEHAMN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46324</v>
      </c>
      <c r="F329" t="inlineStr">
        <is>
          <t>VÄRMLANDS LÄN</t>
        </is>
      </c>
      <c r="G329" t="inlineStr">
        <is>
          <t>KRISTINEHAMN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45804</v>
      </c>
      <c r="E330" s="1" t="n">
        <v>46324</v>
      </c>
      <c r="F330" t="inlineStr">
        <is>
          <t>VÄRMLANDS LÄN</t>
        </is>
      </c>
      <c r="G330" t="inlineStr">
        <is>
          <t>KRISTINEHAMN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46324</v>
      </c>
      <c r="F331" t="inlineStr">
        <is>
          <t>VÄRMLANDS LÄN</t>
        </is>
      </c>
      <c r="G331" t="inlineStr">
        <is>
          <t>KRISTINEHAMN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46136</v>
      </c>
      <c r="E332" s="1" t="n">
        <v>46324</v>
      </c>
      <c r="F332" t="inlineStr">
        <is>
          <t>VÄRMLANDS LÄN</t>
        </is>
      </c>
      <c r="G332" t="inlineStr">
        <is>
          <t>KRISTINEHAMN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46324</v>
      </c>
      <c r="F333" t="inlineStr">
        <is>
          <t>VÄRMLANDS LÄN</t>
        </is>
      </c>
      <c r="G333" t="inlineStr">
        <is>
          <t>KRISTINEHAMN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44741</v>
      </c>
      <c r="E334" s="1" t="n">
        <v>46324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Bergvik skog väst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45811</v>
      </c>
      <c r="E335" s="1" t="n">
        <v>46324</v>
      </c>
      <c r="F335" t="inlineStr">
        <is>
          <t>VÄRMLANDS LÄN</t>
        </is>
      </c>
      <c r="G335" t="inlineStr">
        <is>
          <t>KRISTINEHAMN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38486-2026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46324</v>
      </c>
      <c r="F336" t="inlineStr">
        <is>
          <t>VÄRMLANDS LÄN</t>
        </is>
      </c>
      <c r="G336" t="inlineStr">
        <is>
          <t>KRISTINEHAMN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46324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Naturvårdsverket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46324</v>
      </c>
      <c r="F338" t="inlineStr">
        <is>
          <t>VÄRMLANDS LÄN</t>
        </is>
      </c>
      <c r="G338" t="inlineStr">
        <is>
          <t>KRISTINEHAMN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45253</v>
      </c>
      <c r="E339" s="1" t="n">
        <v>46324</v>
      </c>
      <c r="F339" t="inlineStr">
        <is>
          <t>VÄRMLANDS LÄN</t>
        </is>
      </c>
      <c r="G339" t="inlineStr">
        <is>
          <t>KRISTINEHAMN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46324</v>
      </c>
      <c r="F340" t="inlineStr">
        <is>
          <t>VÄRMLANDS LÄN</t>
        </is>
      </c>
      <c r="G340" t="inlineStr">
        <is>
          <t>KRISTINEHAMN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62517-2022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46324</v>
      </c>
      <c r="F341" t="inlineStr">
        <is>
          <t>VÄRMLANDS LÄN</t>
        </is>
      </c>
      <c r="G341" t="inlineStr">
        <is>
          <t>KRISTINEHAMN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45246</v>
      </c>
      <c r="E342" s="1" t="n">
        <v>46324</v>
      </c>
      <c r="F342" t="inlineStr">
        <is>
          <t>VÄRMLANDS LÄN</t>
        </is>
      </c>
      <c r="G342" t="inlineStr">
        <is>
          <t>KRISTINEHAMN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45756</v>
      </c>
      <c r="E343" s="1" t="n">
        <v>46324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Sveaskog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38840-2026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46286</v>
      </c>
      <c r="E344" s="1" t="n">
        <v>46324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Sveaskog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45202</v>
      </c>
      <c r="E345" s="1" t="n">
        <v>46324</v>
      </c>
      <c r="F345" t="inlineStr">
        <is>
          <t>VÄRMLANDS LÄN</t>
        </is>
      </c>
      <c r="G345" t="inlineStr">
        <is>
          <t>KRISTINEHAMN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45887</v>
      </c>
      <c r="E346" s="1" t="n">
        <v>46324</v>
      </c>
      <c r="F346" t="inlineStr">
        <is>
          <t>VÄRMLANDS LÄN</t>
        </is>
      </c>
      <c r="G346" t="inlineStr">
        <is>
          <t>KRISTINEHAMN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27525-2022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44742</v>
      </c>
      <c r="E347" s="1" t="n">
        <v>46324</v>
      </c>
      <c r="F347" t="inlineStr">
        <is>
          <t>VÄRMLANDS LÄN</t>
        </is>
      </c>
      <c r="G347" t="inlineStr">
        <is>
          <t>KRISTINEHAMN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27531-2022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44742</v>
      </c>
      <c r="E348" s="1" t="n">
        <v>46324</v>
      </c>
      <c r="F348" t="inlineStr">
        <is>
          <t>VÄRMLANDS LÄN</t>
        </is>
      </c>
      <c r="G348" t="inlineStr">
        <is>
          <t>KRISTINEHAMN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46324</v>
      </c>
      <c r="F349" t="inlineStr">
        <is>
          <t>VÄRMLANDS LÄN</t>
        </is>
      </c>
      <c r="G349" t="inlineStr">
        <is>
          <t>KRISTINEHAMN</t>
        </is>
      </c>
      <c r="I349" t="n">
        <v>10.1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10999-2024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45370</v>
      </c>
      <c r="E350" s="1" t="n">
        <v>46324</v>
      </c>
      <c r="F350" t="inlineStr">
        <is>
          <t>VÄRMLANDS LÄN</t>
        </is>
      </c>
      <c r="G350" t="inlineStr">
        <is>
          <t>KRISTINEHAMN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46324</v>
      </c>
      <c r="F351" t="inlineStr">
        <is>
          <t>VÄRMLANDS LÄN</t>
        </is>
      </c>
      <c r="G351" t="inlineStr">
        <is>
          <t>KRISTINEHAMN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45904</v>
      </c>
      <c r="E352" s="1" t="n">
        <v>46324</v>
      </c>
      <c r="F352" t="inlineStr">
        <is>
          <t>VÄRMLANDS LÄN</t>
        </is>
      </c>
      <c r="G352" t="inlineStr">
        <is>
          <t>KRISTINEHAMN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46324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Bergvik skog väst AB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46324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Naturvårdsverket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46324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Naturvårdsverket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45000</v>
      </c>
      <c r="E356" s="1" t="n">
        <v>46324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46141</v>
      </c>
      <c r="E357" s="1" t="n">
        <v>46324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Naturvårdsverket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45127</v>
      </c>
      <c r="E358" s="1" t="n">
        <v>46324</v>
      </c>
      <c r="F358" t="inlineStr">
        <is>
          <t>VÄRMLANDS LÄN</t>
        </is>
      </c>
      <c r="G358" t="inlineStr">
        <is>
          <t>KRISTINEHAMN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40141-2026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46293</v>
      </c>
      <c r="E359" s="1" t="n">
        <v>46324</v>
      </c>
      <c r="F359" t="inlineStr">
        <is>
          <t>VÄRMLANDS LÄN</t>
        </is>
      </c>
      <c r="G359" t="inlineStr">
        <is>
          <t>KRISTINEHAMN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45041</v>
      </c>
      <c r="E360" s="1" t="n">
        <v>46324</v>
      </c>
      <c r="F360" t="inlineStr">
        <is>
          <t>VÄRMLANDS LÄN</t>
        </is>
      </c>
      <c r="G360" t="inlineStr">
        <is>
          <t>KRISTINEHAMN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45429</v>
      </c>
      <c r="E361" s="1" t="n">
        <v>46324</v>
      </c>
      <c r="F361" t="inlineStr">
        <is>
          <t>VÄRMLANDS LÄN</t>
        </is>
      </c>
      <c r="G361" t="inlineStr">
        <is>
          <t>KRISTINEHAMN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46324</v>
      </c>
      <c r="F362" t="inlineStr">
        <is>
          <t>VÄRMLANDS LÄN</t>
        </is>
      </c>
      <c r="G362" t="inlineStr">
        <is>
          <t>KRISTINEHAMN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46324</v>
      </c>
      <c r="F363" t="inlineStr">
        <is>
          <t>VÄRMLANDS LÄN</t>
        </is>
      </c>
      <c r="G363" t="inlineStr">
        <is>
          <t>KRISTINEHAMN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46287</v>
      </c>
      <c r="E364" s="1" t="n">
        <v>46324</v>
      </c>
      <c r="F364" t="inlineStr">
        <is>
          <t>VÄRMLANDS LÄN</t>
        </is>
      </c>
      <c r="G364" t="inlineStr">
        <is>
          <t>KRISTINEHAMN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46324</v>
      </c>
      <c r="F365" t="inlineStr">
        <is>
          <t>VÄRMLANDS LÄN</t>
        </is>
      </c>
      <c r="G365" t="inlineStr">
        <is>
          <t>KRISTINEHAMN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46213</v>
      </c>
      <c r="E366" s="1" t="n">
        <v>46324</v>
      </c>
      <c r="F366" t="inlineStr">
        <is>
          <t>VÄRMLANDS LÄN</t>
        </is>
      </c>
      <c r="G366" t="inlineStr">
        <is>
          <t>KRISTINEHAMN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45666</v>
      </c>
      <c r="E367" s="1" t="n">
        <v>46324</v>
      </c>
      <c r="F367" t="inlineStr">
        <is>
          <t>VÄRMLANDS LÄN</t>
        </is>
      </c>
      <c r="G367" t="inlineStr">
        <is>
          <t>KRISTINEHAMN</t>
        </is>
      </c>
      <c r="I367" t="n">
        <v>9.300000000000001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45167</v>
      </c>
      <c r="E368" s="1" t="n">
        <v>46324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44588</v>
      </c>
      <c r="E369" s="1" t="n">
        <v>46324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39779-2023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45167</v>
      </c>
      <c r="E370" s="1" t="n">
        <v>46324</v>
      </c>
      <c r="F370" t="inlineStr">
        <is>
          <t>VÄRMLANDS LÄN</t>
        </is>
      </c>
      <c r="G370" t="inlineStr">
        <is>
          <t>KRISTINEHAMN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46324</v>
      </c>
      <c r="F371" t="inlineStr">
        <is>
          <t>VÄRMLANDS LÄN</t>
        </is>
      </c>
      <c r="G371" t="inlineStr">
        <is>
          <t>KRISTINEHAMN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46324</v>
      </c>
      <c r="F372" t="inlineStr">
        <is>
          <t>VÄRMLANDS LÄN</t>
        </is>
      </c>
      <c r="G372" t="inlineStr">
        <is>
          <t>KRISTINEHAMN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26042-2022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44734</v>
      </c>
      <c r="E373" s="1" t="n">
        <v>46324</v>
      </c>
      <c r="F373" t="inlineStr">
        <is>
          <t>VÄRMLANDS LÄN</t>
        </is>
      </c>
      <c r="G373" t="inlineStr">
        <is>
          <t>KRISTINEHAMN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45313</v>
      </c>
      <c r="E374" s="1" t="n">
        <v>46324</v>
      </c>
      <c r="F374" t="inlineStr">
        <is>
          <t>VÄRMLANDS LÄN</t>
        </is>
      </c>
      <c r="G374" t="inlineStr">
        <is>
          <t>KRISTINEHAMN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61675-2024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45647</v>
      </c>
      <c r="E375" s="1" t="n">
        <v>46324</v>
      </c>
      <c r="F375" t="inlineStr">
        <is>
          <t>VÄRMLANDS LÄN</t>
        </is>
      </c>
      <c r="G375" t="inlineStr">
        <is>
          <t>KRISTINEHAMN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41778-2026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46302</v>
      </c>
      <c r="E376" s="1" t="n">
        <v>46324</v>
      </c>
      <c r="F376" t="inlineStr">
        <is>
          <t>VÄRMLANDS LÄN</t>
        </is>
      </c>
      <c r="G376" t="inlineStr">
        <is>
          <t>KRISTINEHAMN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46324</v>
      </c>
      <c r="F377" t="inlineStr">
        <is>
          <t>VÄRMLANDS LÄN</t>
        </is>
      </c>
      <c r="G377" t="inlineStr">
        <is>
          <t>KRISTINEHAMN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62495-2022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44917</v>
      </c>
      <c r="E378" s="1" t="n">
        <v>46324</v>
      </c>
      <c r="F378" t="inlineStr">
        <is>
          <t>VÄRMLANDS LÄN</t>
        </is>
      </c>
      <c r="G378" t="inlineStr">
        <is>
          <t>KRISTINEHAMN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13459-2024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45387</v>
      </c>
      <c r="E379" s="1" t="n">
        <v>46324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Naturvårdsverket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19638-2025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45770</v>
      </c>
      <c r="E380" s="1" t="n">
        <v>46324</v>
      </c>
      <c r="F380" t="inlineStr">
        <is>
          <t>VÄRMLANDS LÄN</t>
        </is>
      </c>
      <c r="G380" t="inlineStr">
        <is>
          <t>KRISTINEHAMN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46324</v>
      </c>
      <c r="F381" t="inlineStr">
        <is>
          <t>VÄRMLANDS LÄN</t>
        </is>
      </c>
      <c r="G381" t="inlineStr">
        <is>
          <t>KRISTINEHAMN</t>
        </is>
      </c>
      <c r="I381" t="n">
        <v>19.4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45208</v>
      </c>
      <c r="E382" s="1" t="n">
        <v>46324</v>
      </c>
      <c r="F382" t="inlineStr">
        <is>
          <t>VÄRMLANDS LÄN</t>
        </is>
      </c>
      <c r="G382" t="inlineStr">
        <is>
          <t>KRISTINEHAMN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14772-2022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44656</v>
      </c>
      <c r="E383" s="1" t="n">
        <v>46324</v>
      </c>
      <c r="F383" t="inlineStr">
        <is>
          <t>VÄRMLANDS LÄN</t>
        </is>
      </c>
      <c r="G383" t="inlineStr">
        <is>
          <t>KRISTINEHAMN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46324</v>
      </c>
      <c r="F384" t="inlineStr">
        <is>
          <t>VÄRMLANDS LÄN</t>
        </is>
      </c>
      <c r="G384" t="inlineStr">
        <is>
          <t>KRISTINEHAMN</t>
        </is>
      </c>
      <c r="I384" t="n">
        <v>9.300000000000001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45076</v>
      </c>
      <c r="E385" s="1" t="n">
        <v>46324</v>
      </c>
      <c r="F385" t="inlineStr">
        <is>
          <t>VÄRMLANDS LÄN</t>
        </is>
      </c>
      <c r="G385" t="inlineStr">
        <is>
          <t>KRISTINEHAMN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45079</v>
      </c>
      <c r="E386" s="1" t="n">
        <v>46324</v>
      </c>
      <c r="F386" t="inlineStr">
        <is>
          <t>VÄRMLANDS LÄN</t>
        </is>
      </c>
      <c r="G386" t="inlineStr">
        <is>
          <t>KRISTINEHAMN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45681</v>
      </c>
      <c r="E387" s="1" t="n">
        <v>46324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Kommuner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10548-2024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45366</v>
      </c>
      <c r="E388" s="1" t="n">
        <v>46324</v>
      </c>
      <c r="F388" t="inlineStr">
        <is>
          <t>VÄRMLANDS LÄN</t>
        </is>
      </c>
      <c r="G388" t="inlineStr">
        <is>
          <t>KRISTINEHAMN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44648</v>
      </c>
      <c r="E389" s="1" t="n">
        <v>46324</v>
      </c>
      <c r="F389" t="inlineStr">
        <is>
          <t>VÄRMLANDS LÄN</t>
        </is>
      </c>
      <c r="G389" t="inlineStr">
        <is>
          <t>KRISTINEHAMN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45681</v>
      </c>
      <c r="E390" s="1" t="n">
        <v>46324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Kommuner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61719-2023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45265</v>
      </c>
      <c r="E391" s="1" t="n">
        <v>46324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45379</v>
      </c>
      <c r="E392" s="1" t="n">
        <v>46324</v>
      </c>
      <c r="F392" t="inlineStr">
        <is>
          <t>VÄRMLANDS LÄN</t>
        </is>
      </c>
      <c r="G392" t="inlineStr">
        <is>
          <t>KRISTINEHAMN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8758-2023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44978</v>
      </c>
      <c r="E393" s="1" t="n">
        <v>46324</v>
      </c>
      <c r="F393" t="inlineStr">
        <is>
          <t>VÄRMLANDS LÄN</t>
        </is>
      </c>
      <c r="G393" t="inlineStr">
        <is>
          <t>KRISTINEHAMN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45361</v>
      </c>
      <c r="E394" s="1" t="n">
        <v>46324</v>
      </c>
      <c r="F394" t="inlineStr">
        <is>
          <t>VÄRMLANDS LÄN</t>
        </is>
      </c>
      <c r="G394" t="inlineStr">
        <is>
          <t>KRISTINEHAMN</t>
        </is>
      </c>
      <c r="I394" t="n">
        <v>8.9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46274</v>
      </c>
      <c r="E395" s="1" t="n">
        <v>46324</v>
      </c>
      <c r="F395" t="inlineStr">
        <is>
          <t>VÄRMLANDS LÄN</t>
        </is>
      </c>
      <c r="G395" t="inlineStr">
        <is>
          <t>KRISTINEHAMN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46274</v>
      </c>
      <c r="E396" s="1" t="n">
        <v>46324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46324</v>
      </c>
      <c r="F397" t="inlineStr">
        <is>
          <t>VÄRMLANDS LÄN</t>
        </is>
      </c>
      <c r="G397" t="inlineStr">
        <is>
          <t>KRISTINEHAMN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45392</v>
      </c>
      <c r="E398" s="1" t="n">
        <v>46324</v>
      </c>
      <c r="F398" t="inlineStr">
        <is>
          <t>VÄRMLANDS LÄN</t>
        </is>
      </c>
      <c r="G398" t="inlineStr">
        <is>
          <t>KRISTINEHAMN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45679</v>
      </c>
      <c r="E399" s="1" t="n">
        <v>46324</v>
      </c>
      <c r="F399" t="inlineStr">
        <is>
          <t>VÄRMLANDS LÄN</t>
        </is>
      </c>
      <c r="G399" t="inlineStr">
        <is>
          <t>KRISTINEHAMN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45450</v>
      </c>
      <c r="E400" s="1" t="n">
        <v>46324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Kommuner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68526-2021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44526</v>
      </c>
      <c r="E401" s="1" t="n">
        <v>46324</v>
      </c>
      <c r="F401" t="inlineStr">
        <is>
          <t>VÄRMLANDS LÄN</t>
        </is>
      </c>
      <c r="G401" t="inlineStr">
        <is>
          <t>KRISTINEHAMN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68530-2021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44526</v>
      </c>
      <c r="E402" s="1" t="n">
        <v>46324</v>
      </c>
      <c r="F402" t="inlineStr">
        <is>
          <t>VÄRMLANDS LÄN</t>
        </is>
      </c>
      <c r="G402" t="inlineStr">
        <is>
          <t>KRISTINEHAMN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20570-2026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46324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44712</v>
      </c>
      <c r="E404" s="1" t="n">
        <v>46324</v>
      </c>
      <c r="F404" t="inlineStr">
        <is>
          <t>VÄRMLANDS LÄN</t>
        </is>
      </c>
      <c r="G404" t="inlineStr">
        <is>
          <t>KRISTINEHAMN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45639</v>
      </c>
      <c r="E405" s="1" t="n">
        <v>46324</v>
      </c>
      <c r="F405" t="inlineStr">
        <is>
          <t>VÄRMLANDS LÄN</t>
        </is>
      </c>
      <c r="G405" t="inlineStr">
        <is>
          <t>KRISTINEHAMN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44313-2026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46320</v>
      </c>
      <c r="E406" s="1" t="n">
        <v>46324</v>
      </c>
      <c r="F406" t="inlineStr">
        <is>
          <t>VÄRMLANDS LÄN</t>
        </is>
      </c>
      <c r="G406" t="inlineStr">
        <is>
          <t>KRISTINEHAMN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21861-2023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45068</v>
      </c>
      <c r="E407" s="1" t="n">
        <v>46324</v>
      </c>
      <c r="F407" t="inlineStr">
        <is>
          <t>VÄRMLANDS LÄN</t>
        </is>
      </c>
      <c r="G407" t="inlineStr">
        <is>
          <t>KRISTINEHAMN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58284-2024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45631</v>
      </c>
      <c r="E408" s="1" t="n">
        <v>46324</v>
      </c>
      <c r="F408" t="inlineStr">
        <is>
          <t>VÄRMLANDS LÄN</t>
        </is>
      </c>
      <c r="G408" t="inlineStr">
        <is>
          <t>KRISTINEHAMN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44753</v>
      </c>
      <c r="E409" s="1" t="n">
        <v>46324</v>
      </c>
      <c r="F409" t="inlineStr">
        <is>
          <t>VÄRMLANDS LÄN</t>
        </is>
      </c>
      <c r="G409" t="inlineStr">
        <is>
          <t>KRISTINEHAMN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45477</v>
      </c>
      <c r="E410" s="1" t="n">
        <v>46324</v>
      </c>
      <c r="F410" t="inlineStr">
        <is>
          <t>VÄRMLANDS LÄN</t>
        </is>
      </c>
      <c r="G410" t="inlineStr">
        <is>
          <t>KRISTINEHAMN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44923</v>
      </c>
      <c r="E411" s="1" t="n">
        <v>46324</v>
      </c>
      <c r="F411" t="inlineStr">
        <is>
          <t>VÄRMLANDS LÄN</t>
        </is>
      </c>
      <c r="G411" t="inlineStr">
        <is>
          <t>KRISTINEHAMN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44972</v>
      </c>
      <c r="E412" s="1" t="n">
        <v>46324</v>
      </c>
      <c r="F412" t="inlineStr">
        <is>
          <t>VÄRMLANDS LÄN</t>
        </is>
      </c>
      <c r="G412" t="inlineStr">
        <is>
          <t>KRISTINEHAMN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45268</v>
      </c>
      <c r="E413" s="1" t="n">
        <v>46324</v>
      </c>
      <c r="F413" t="inlineStr">
        <is>
          <t>VÄRMLANDS LÄN</t>
        </is>
      </c>
      <c r="G413" t="inlineStr">
        <is>
          <t>KRISTINEHAMN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9394-2024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45359</v>
      </c>
      <c r="E414" s="1" t="n">
        <v>46324</v>
      </c>
      <c r="F414" t="inlineStr">
        <is>
          <t>VÄRMLANDS LÄN</t>
        </is>
      </c>
      <c r="G414" t="inlineStr">
        <is>
          <t>KRISTINEHAMN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46307</v>
      </c>
      <c r="E415" s="1" t="n">
        <v>46324</v>
      </c>
      <c r="F415" t="inlineStr">
        <is>
          <t>VÄRMLANDS LÄN</t>
        </is>
      </c>
      <c r="G415" t="inlineStr">
        <is>
          <t>KRISTINEHAMN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46324</v>
      </c>
      <c r="F416" t="inlineStr">
        <is>
          <t>VÄRMLANDS LÄN</t>
        </is>
      </c>
      <c r="G416" t="inlineStr">
        <is>
          <t>KRISTINEHAMN</t>
        </is>
      </c>
      <c r="I416" t="n">
        <v>6.4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45625</v>
      </c>
      <c r="E417" s="1" t="n">
        <v>46324</v>
      </c>
      <c r="F417" t="inlineStr">
        <is>
          <t>VÄRMLANDS LÄN</t>
        </is>
      </c>
      <c r="G417" t="inlineStr">
        <is>
          <t>KRISTINEHAMN</t>
        </is>
      </c>
      <c r="I417" t="n">
        <v>8.800000000000001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46324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14.1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39781-2023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45167</v>
      </c>
      <c r="E419" s="1" t="n">
        <v>46324</v>
      </c>
      <c r="F419" t="inlineStr">
        <is>
          <t>VÄRMLANDS LÄN</t>
        </is>
      </c>
      <c r="G419" t="inlineStr">
        <is>
          <t>KRISTINEHAMN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1219-2020</t>
        </is>
      </c>
      <c r="B420" t="inlineStr">
        <is>
          <t>samrådsanmälan</t>
        </is>
      </c>
      <c r="C420" t="n">
        <v/>
      </c>
      <c r="D420" s="1" t="n">
        <v>43980</v>
      </c>
      <c r="E420" s="1" t="n">
        <v>46324</v>
      </c>
      <c r="F420" t="inlineStr">
        <is>
          <t>VÄRMLANDS LÄN</t>
        </is>
      </c>
      <c r="G420" t="inlineStr">
        <is>
          <t>KRISTINEHAMN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4147-2023</t>
        </is>
      </c>
      <c r="B421" t="inlineStr">
        <is>
          <t>samrådsanmälan</t>
        </is>
      </c>
      <c r="C421" t="inlineStr">
        <is>
          <t>Skogsgödsling</t>
        </is>
      </c>
      <c r="D421" s="1" t="n">
        <v>45247</v>
      </c>
      <c r="E421" s="1" t="n">
        <v>46324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Naturvårdsverket</t>
        </is>
      </c>
      <c r="I421" t="n">
        <v>13.5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4149-2023</t>
        </is>
      </c>
      <c r="B422" t="inlineStr">
        <is>
          <t>samrådsanmälan</t>
        </is>
      </c>
      <c r="C422" t="inlineStr">
        <is>
          <t>Skogsgödsling</t>
        </is>
      </c>
      <c r="D422" s="1" t="n">
        <v>45247</v>
      </c>
      <c r="E422" s="1" t="n">
        <v>46324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Naturvårdsverket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1815-2022</t>
        </is>
      </c>
      <c r="B423" t="inlineStr">
        <is>
          <t>samrådsanmälan</t>
        </is>
      </c>
      <c r="C423" t="inlineStr">
        <is>
          <t>Åtgärd i nyckelbiotop</t>
        </is>
      </c>
      <c r="D423" s="1" t="n">
        <v>44657</v>
      </c>
      <c r="E423" s="1" t="n">
        <v>46324</v>
      </c>
      <c r="F423" t="inlineStr">
        <is>
          <t>VÄRMLANDS LÄN</t>
        </is>
      </c>
      <c r="G423" t="inlineStr">
        <is>
          <t>KRISTINEHAMN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2254-2023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45103</v>
      </c>
      <c r="E424" s="1" t="n">
        <v>46324</v>
      </c>
      <c r="F424" t="inlineStr">
        <is>
          <t>VÄRMLANDS LÄN</t>
        </is>
      </c>
      <c r="G424" t="inlineStr">
        <is>
          <t>KRISTINEHAMN</t>
        </is>
      </c>
      <c r="I424" t="n">
        <v>51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2879-2022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44711</v>
      </c>
      <c r="E425" s="1" t="n">
        <v>46324</v>
      </c>
      <c r="F425" t="inlineStr">
        <is>
          <t>VÄRMLANDS LÄN</t>
        </is>
      </c>
      <c r="G425" t="inlineStr">
        <is>
          <t>KRISTINEHAMN</t>
        </is>
      </c>
      <c r="I425" t="n">
        <v>25.9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1899-2024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45442</v>
      </c>
      <c r="E426" s="1" t="n">
        <v>46324</v>
      </c>
      <c r="F426" t="inlineStr">
        <is>
          <t>VÄRMLANDS LÄN</t>
        </is>
      </c>
      <c r="G426" t="inlineStr">
        <is>
          <t>KRISTINEHAMN</t>
        </is>
      </c>
      <c r="I426" t="n">
        <v>21.4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2301-2024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45463</v>
      </c>
      <c r="E427" s="1" t="n">
        <v>46324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Bergvik skog väst AB</t>
        </is>
      </c>
      <c r="I427" t="n">
        <v>28.1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2553-2024</t>
        </is>
      </c>
      <c r="B428" t="inlineStr">
        <is>
          <t>samrådsanmälan</t>
        </is>
      </c>
      <c r="C428" t="inlineStr">
        <is>
          <t>Annan skogsbruksåtgärd</t>
        </is>
      </c>
      <c r="D428" s="1" t="n">
        <v>45475</v>
      </c>
      <c r="E428" s="1" t="n">
        <v>46324</v>
      </c>
      <c r="F428" t="inlineStr">
        <is>
          <t>VÄRMLANDS LÄN</t>
        </is>
      </c>
      <c r="G428" t="inlineStr">
        <is>
          <t>KRISTINEHAMN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3378-2024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45533</v>
      </c>
      <c r="E429" s="1" t="n">
        <v>46324</v>
      </c>
      <c r="F429" t="inlineStr">
        <is>
          <t>VÄRMLANDS LÄN</t>
        </is>
      </c>
      <c r="G429" t="inlineStr">
        <is>
          <t>KRISTINEHAMN</t>
        </is>
      </c>
      <c r="I429" t="n">
        <v>53.7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2393-2022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44690</v>
      </c>
      <c r="E430" s="1" t="n">
        <v>46324</v>
      </c>
      <c r="F430" t="inlineStr">
        <is>
          <t>VÄRMLANDS LÄN</t>
        </is>
      </c>
      <c r="G430" t="inlineStr">
        <is>
          <t>KRISTINEHAMN</t>
        </is>
      </c>
      <c r="I430" t="n">
        <v>51.7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1903-2024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45442</v>
      </c>
      <c r="E431" s="1" t="n">
        <v>46324</v>
      </c>
      <c r="F431" t="inlineStr">
        <is>
          <t>VÄRMLANDS LÄN</t>
        </is>
      </c>
      <c r="G431" t="inlineStr">
        <is>
          <t>KRISTINEHAMN</t>
        </is>
      </c>
      <c r="I431" t="n">
        <v>104.3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717-2023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44985</v>
      </c>
      <c r="E432" s="1" t="n">
        <v>46324</v>
      </c>
      <c r="F432" t="inlineStr">
        <is>
          <t>VÄRMLANDS LÄN</t>
        </is>
      </c>
      <c r="G432" t="inlineStr">
        <is>
          <t>KRISTINEHAMN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1412-2024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45414</v>
      </c>
      <c r="E433" s="1" t="n">
        <v>46324</v>
      </c>
      <c r="F433" t="inlineStr">
        <is>
          <t>VÄRMLANDS LÄN</t>
        </is>
      </c>
      <c r="G433" t="inlineStr">
        <is>
          <t>KRISTINEHAMN</t>
        </is>
      </c>
      <c r="I433" t="n">
        <v>42.9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1900-2024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46324</v>
      </c>
      <c r="F434" t="inlineStr">
        <is>
          <t>VÄRMLANDS LÄN</t>
        </is>
      </c>
      <c r="G434" t="inlineStr">
        <is>
          <t>KRISTINEHAMN</t>
        </is>
      </c>
      <c r="I434" t="n">
        <v>63.5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3374-2024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45533</v>
      </c>
      <c r="E435" s="1" t="n">
        <v>46324</v>
      </c>
      <c r="F435" t="inlineStr">
        <is>
          <t>VÄRMLANDS LÄN</t>
        </is>
      </c>
      <c r="G435" t="inlineStr">
        <is>
          <t>KRISTINEHAMN</t>
        </is>
      </c>
      <c r="I435" t="n">
        <v>18.3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2464-2023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45118</v>
      </c>
      <c r="E436" s="1" t="n">
        <v>46324</v>
      </c>
      <c r="F436" t="inlineStr">
        <is>
          <t>VÄRMLANDS LÄN</t>
        </is>
      </c>
      <c r="G436" t="inlineStr">
        <is>
          <t>KRISTINEHAMN</t>
        </is>
      </c>
      <c r="I436" t="n">
        <v>42.3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4146-2023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46324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Bergvik skog väst AB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3007-2024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45512</v>
      </c>
      <c r="E438" s="1" t="n">
        <v>46324</v>
      </c>
      <c r="F438" t="inlineStr">
        <is>
          <t>VÄRMLANDS LÄN</t>
        </is>
      </c>
      <c r="G438" t="inlineStr">
        <is>
          <t>KRISTINEHAMN</t>
        </is>
      </c>
      <c r="I438" t="n">
        <v>56.9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1418-2025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45783</v>
      </c>
      <c r="E439" s="1" t="n">
        <v>46324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1546-2025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45792</v>
      </c>
      <c r="E440" s="1" t="n">
        <v>46324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1698-2025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45805</v>
      </c>
      <c r="E441" s="1" t="n">
        <v>46324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Sveaskog</t>
        </is>
      </c>
      <c r="I441" t="n">
        <v>12.6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121-2026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46040</v>
      </c>
      <c r="E442" s="1" t="n">
        <v>46324</v>
      </c>
      <c r="F442" t="inlineStr">
        <is>
          <t>VÄRMLANDS LÄN</t>
        </is>
      </c>
      <c r="G442" t="inlineStr">
        <is>
          <t>KRISTINEHAMN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865-2026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46106</v>
      </c>
      <c r="E443" s="1" t="n">
        <v>46324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>
      <c r="A444" t="inlineStr">
        <is>
          <t>S 99-2026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46036</v>
      </c>
      <c r="E444" s="1" t="n">
        <v>46324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Naturvårdsverket</t>
        </is>
      </c>
      <c r="I444" t="n">
        <v>80.8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2026-10-29T03:12:42Z</dcterms:created>
  <dcterms:modified xmlns:dcterms="http://purl.org/dc/terms/" xmlns:xsi="http://www.w3.org/2001/XMLSchema-instance" xsi:type="dcterms:W3CDTF">2026-10-29T03:12:43Z</dcterms:modified>
</cp:coreProperties>
</file>