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45513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45513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45513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45513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16031-2020</t>
        </is>
      </c>
      <c r="B6" s="1" t="n">
        <v>43915</v>
      </c>
      <c r="C6" s="1" t="n">
        <v>45513</v>
      </c>
      <c r="D6" t="inlineStr">
        <is>
          <t>VÄRMLANDS LÄN</t>
        </is>
      </c>
      <c r="E6" t="inlineStr">
        <is>
          <t>KRISTINEHAMN</t>
        </is>
      </c>
      <c r="G6" t="n">
        <v>9.199999999999999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Bombmurkla</t>
        </is>
      </c>
      <c r="S6">
        <f>HYPERLINK("https://klasma.github.io/Logging_1781/artfynd/A 16031-2020 artfynd.xlsx", "A 16031-2020")</f>
        <v/>
      </c>
      <c r="T6">
        <f>HYPERLINK("https://klasma.github.io/Logging_1781/kartor/A 16031-2020 karta.png", "A 16031-2020")</f>
        <v/>
      </c>
      <c r="V6">
        <f>HYPERLINK("https://klasma.github.io/Logging_1781/klagomål/A 16031-2020 FSC-klagomål.docx", "A 16031-2020")</f>
        <v/>
      </c>
      <c r="W6">
        <f>HYPERLINK("https://klasma.github.io/Logging_1781/klagomålsmail/A 16031-2020 FSC-klagomål mail.docx", "A 16031-2020")</f>
        <v/>
      </c>
      <c r="X6">
        <f>HYPERLINK("https://klasma.github.io/Logging_1781/tillsyn/A 16031-2020 tillsynsbegäran.docx", "A 16031-2020")</f>
        <v/>
      </c>
      <c r="Y6">
        <f>HYPERLINK("https://klasma.github.io/Logging_1781/tillsynsmail/A 16031-2020 tillsynsbegäran mail.docx", "A 16031-2020")</f>
        <v/>
      </c>
    </row>
    <row r="7" ht="15" customHeight="1">
      <c r="A7" t="inlineStr">
        <is>
          <t>A 22217-2020</t>
        </is>
      </c>
      <c r="B7" s="1" t="n">
        <v>43955</v>
      </c>
      <c r="C7" s="1" t="n">
        <v>45513</v>
      </c>
      <c r="D7" t="inlineStr">
        <is>
          <t>VÄRMLANDS LÄN</t>
        </is>
      </c>
      <c r="E7" t="inlineStr">
        <is>
          <t>KRISTINEHAMN</t>
        </is>
      </c>
      <c r="G7" t="n">
        <v>7.3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Klofibbla</t>
        </is>
      </c>
      <c r="S7">
        <f>HYPERLINK("https://klasma.github.io/Logging_1781/artfynd/A 22217-2020 artfynd.xlsx", "A 22217-2020")</f>
        <v/>
      </c>
      <c r="T7">
        <f>HYPERLINK("https://klasma.github.io/Logging_1781/kartor/A 22217-2020 karta.png", "A 22217-2020")</f>
        <v/>
      </c>
      <c r="V7">
        <f>HYPERLINK("https://klasma.github.io/Logging_1781/klagomål/A 22217-2020 FSC-klagomål.docx", "A 22217-2020")</f>
        <v/>
      </c>
      <c r="W7">
        <f>HYPERLINK("https://klasma.github.io/Logging_1781/klagomålsmail/A 22217-2020 FSC-klagomål mail.docx", "A 22217-2020")</f>
        <v/>
      </c>
      <c r="X7">
        <f>HYPERLINK("https://klasma.github.io/Logging_1781/tillsyn/A 22217-2020 tillsynsbegäran.docx", "A 22217-2020")</f>
        <v/>
      </c>
      <c r="Y7">
        <f>HYPERLINK("https://klasma.github.io/Logging_1781/tillsynsmail/A 22217-2020 tillsynsbegäran mail.docx", "A 22217-2020")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45513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1734-2022</t>
        </is>
      </c>
      <c r="B9" s="1" t="n">
        <v>44574</v>
      </c>
      <c r="C9" s="1" t="n">
        <v>45513</v>
      </c>
      <c r="D9" t="inlineStr">
        <is>
          <t>VÄRMLANDS LÄN</t>
        </is>
      </c>
      <c r="E9" t="inlineStr">
        <is>
          <t>KRISTINEHAMN</t>
        </is>
      </c>
      <c r="G9" t="n">
        <v>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HYPERLINK("https://klasma.github.io/Logging_1781/artfynd/A 1734-2022 artfynd.xlsx", "A 1734-2022")</f>
        <v/>
      </c>
      <c r="T9">
        <f>HYPERLINK("https://klasma.github.io/Logging_1781/kartor/A 1734-2022 karta.png", "A 1734-2022")</f>
        <v/>
      </c>
      <c r="V9">
        <f>HYPERLINK("https://klasma.github.io/Logging_1781/klagomål/A 1734-2022 FSC-klagomål.docx", "A 1734-2022")</f>
        <v/>
      </c>
      <c r="W9">
        <f>HYPERLINK("https://klasma.github.io/Logging_1781/klagomålsmail/A 1734-2022 FSC-klagomål mail.docx", "A 1734-2022")</f>
        <v/>
      </c>
      <c r="X9">
        <f>HYPERLINK("https://klasma.github.io/Logging_1781/tillsyn/A 1734-2022 tillsynsbegäran.docx", "A 1734-2022")</f>
        <v/>
      </c>
      <c r="Y9">
        <f>HYPERLINK("https://klasma.github.io/Logging_1781/tillsynsmail/A 1734-2022 tillsynsbegäran mail.docx", "A 1734-2022")</f>
        <v/>
      </c>
    </row>
    <row r="10" ht="15" customHeight="1">
      <c r="A10" t="inlineStr">
        <is>
          <t>A 56590-2022</t>
        </is>
      </c>
      <c r="B10" s="1" t="n">
        <v>44893</v>
      </c>
      <c r="C10" s="1" t="n">
        <v>45513</v>
      </c>
      <c r="D10" t="inlineStr">
        <is>
          <t>VÄRMLANDS LÄN</t>
        </is>
      </c>
      <c r="E10" t="inlineStr">
        <is>
          <t>KRISTINEHAMN</t>
        </is>
      </c>
      <c r="F10" t="inlineStr">
        <is>
          <t>Sveaskog</t>
        </is>
      </c>
      <c r="G10" t="n">
        <v>3.6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HYPERLINK("https://klasma.github.io/Logging_1781/artfynd/A 56590-2022 artfynd.xlsx", "A 56590-2022")</f>
        <v/>
      </c>
      <c r="T10">
        <f>HYPERLINK("https://klasma.github.io/Logging_1781/kartor/A 56590-2022 karta.png", "A 56590-2022")</f>
        <v/>
      </c>
      <c r="V10">
        <f>HYPERLINK("https://klasma.github.io/Logging_1781/klagomål/A 56590-2022 FSC-klagomål.docx", "A 56590-2022")</f>
        <v/>
      </c>
      <c r="W10">
        <f>HYPERLINK("https://klasma.github.io/Logging_1781/klagomålsmail/A 56590-2022 FSC-klagomål mail.docx", "A 56590-2022")</f>
        <v/>
      </c>
      <c r="X10">
        <f>HYPERLINK("https://klasma.github.io/Logging_1781/tillsyn/A 56590-2022 tillsynsbegäran.docx", "A 56590-2022")</f>
        <v/>
      </c>
      <c r="Y10">
        <f>HYPERLINK("https://klasma.github.io/Logging_1781/tillsynsmail/A 56590-2022 tillsynsbegäran mail.docx", "A 56590-2022")</f>
        <v/>
      </c>
    </row>
    <row r="11" ht="15" customHeight="1">
      <c r="A11" t="inlineStr">
        <is>
          <t>A 13025-2023</t>
        </is>
      </c>
      <c r="B11" s="1" t="n">
        <v>45002</v>
      </c>
      <c r="C11" s="1" t="n">
        <v>45513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30202-2023</t>
        </is>
      </c>
      <c r="B12" s="1" t="n">
        <v>45110</v>
      </c>
      <c r="C12" s="1" t="n">
        <v>45513</v>
      </c>
      <c r="D12" t="inlineStr">
        <is>
          <t>VÄRMLANDS LÄN</t>
        </is>
      </c>
      <c r="E12" t="inlineStr">
        <is>
          <t>KRISTINEHAMN</t>
        </is>
      </c>
      <c r="F12" t="inlineStr">
        <is>
          <t>Bergvik skog väst AB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Glimmerört</t>
        </is>
      </c>
      <c r="S12">
        <f>HYPERLINK("https://klasma.github.io/Logging_1781/artfynd/A 30202-2023 artfynd.xlsx", "A 30202-2023")</f>
        <v/>
      </c>
      <c r="T12">
        <f>HYPERLINK("https://klasma.github.io/Logging_1781/kartor/A 30202-2023 karta.png", "A 30202-2023")</f>
        <v/>
      </c>
      <c r="V12">
        <f>HYPERLINK("https://klasma.github.io/Logging_1781/klagomål/A 30202-2023 FSC-klagomål.docx", "A 30202-2023")</f>
        <v/>
      </c>
      <c r="W12">
        <f>HYPERLINK("https://klasma.github.io/Logging_1781/klagomålsmail/A 30202-2023 FSC-klagomål mail.docx", "A 30202-2023")</f>
        <v/>
      </c>
      <c r="X12">
        <f>HYPERLINK("https://klasma.github.io/Logging_1781/tillsyn/A 30202-2023 tillsynsbegäran.docx", "A 30202-2023")</f>
        <v/>
      </c>
      <c r="Y12">
        <f>HYPERLINK("https://klasma.github.io/Logging_1781/tillsynsmail/A 30202-2023 tillsynsbegäran mail.docx", "A 30202-2023")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45513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12593-2024</t>
        </is>
      </c>
      <c r="B14" s="1" t="n">
        <v>45380</v>
      </c>
      <c r="C14" s="1" t="n">
        <v>45513</v>
      </c>
      <c r="D14" t="inlineStr">
        <is>
          <t>VÄRMLANDS LÄN</t>
        </is>
      </c>
      <c r="E14" t="inlineStr">
        <is>
          <t>KRISTINEHAMN</t>
        </is>
      </c>
      <c r="G14" t="n">
        <v>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12593-2024 artfynd.xlsx", "A 12593-2024")</f>
        <v/>
      </c>
      <c r="T14">
        <f>HYPERLINK("https://klasma.github.io/Logging_1781/kartor/A 12593-2024 karta.png", "A 12593-2024")</f>
        <v/>
      </c>
      <c r="V14">
        <f>HYPERLINK("https://klasma.github.io/Logging_1781/klagomål/A 12593-2024 FSC-klagomål.docx", "A 12593-2024")</f>
        <v/>
      </c>
      <c r="W14">
        <f>HYPERLINK("https://klasma.github.io/Logging_1781/klagomålsmail/A 12593-2024 FSC-klagomål mail.docx", "A 12593-2024")</f>
        <v/>
      </c>
      <c r="X14">
        <f>HYPERLINK("https://klasma.github.io/Logging_1781/tillsyn/A 12593-2024 tillsynsbegäran.docx", "A 12593-2024")</f>
        <v/>
      </c>
      <c r="Y14">
        <f>HYPERLINK("https://klasma.github.io/Logging_1781/tillsynsmail/A 12593-2024 tillsynsbegäran mail.docx", "A 12593-2024")</f>
        <v/>
      </c>
    </row>
    <row r="15" ht="15" customHeight="1">
      <c r="A15" t="inlineStr">
        <is>
          <t>A 18385-2019</t>
        </is>
      </c>
      <c r="B15" s="1" t="n">
        <v>43558</v>
      </c>
      <c r="C15" s="1" t="n">
        <v>45513</v>
      </c>
      <c r="D15" t="inlineStr">
        <is>
          <t>VÄRMLANDS LÄN</t>
        </is>
      </c>
      <c r="E15" t="inlineStr">
        <is>
          <t>KRISTINEHAMN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18638-2019</t>
        </is>
      </c>
      <c r="B16" s="1" t="n">
        <v>43559</v>
      </c>
      <c r="C16" s="1" t="n">
        <v>45513</v>
      </c>
      <c r="D16" t="inlineStr">
        <is>
          <t>VÄRMLANDS LÄN</t>
        </is>
      </c>
      <c r="E16" t="inlineStr">
        <is>
          <t>KRISTINEHAMN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18977-2019</t>
        </is>
      </c>
      <c r="B17" s="1" t="n">
        <v>43563</v>
      </c>
      <c r="C17" s="1" t="n">
        <v>45513</v>
      </c>
      <c r="D17" t="inlineStr">
        <is>
          <t>VÄRMLANDS LÄN</t>
        </is>
      </c>
      <c r="E17" t="inlineStr">
        <is>
          <t>KRISTINEHAMN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18915-2019</t>
        </is>
      </c>
      <c r="B18" s="1" t="n">
        <v>43563</v>
      </c>
      <c r="C18" s="1" t="n">
        <v>45513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18999-2019</t>
        </is>
      </c>
      <c r="B19" s="1" t="n">
        <v>43563</v>
      </c>
      <c r="C19" s="1" t="n">
        <v>45513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19507-2019</t>
        </is>
      </c>
      <c r="B20" s="1" t="n">
        <v>43565</v>
      </c>
      <c r="C20" s="1" t="n">
        <v>45513</v>
      </c>
      <c r="D20" t="inlineStr">
        <is>
          <t>VÄRMLANDS LÄN</t>
        </is>
      </c>
      <c r="E20" t="inlineStr">
        <is>
          <t>KRISTINEHAMN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19868-2019</t>
        </is>
      </c>
      <c r="B21" s="1" t="n">
        <v>43567</v>
      </c>
      <c r="C21" s="1" t="n">
        <v>45513</v>
      </c>
      <c r="D21" t="inlineStr">
        <is>
          <t>VÄRMLANDS LÄN</t>
        </is>
      </c>
      <c r="E21" t="inlineStr">
        <is>
          <t>KRISTINEHAMN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20757-2019</t>
        </is>
      </c>
      <c r="B22" s="1" t="n">
        <v>43573</v>
      </c>
      <c r="C22" s="1" t="n">
        <v>45513</v>
      </c>
      <c r="D22" t="inlineStr">
        <is>
          <t>VÄRMLANDS LÄN</t>
        </is>
      </c>
      <c r="E22" t="inlineStr">
        <is>
          <t>KRISTINEHAMN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20847-2019</t>
        </is>
      </c>
      <c r="B23" s="1" t="n">
        <v>43577</v>
      </c>
      <c r="C23" s="1" t="n">
        <v>45513</v>
      </c>
      <c r="D23" t="inlineStr">
        <is>
          <t>VÄRMLANDS LÄN</t>
        </is>
      </c>
      <c r="E23" t="inlineStr">
        <is>
          <t>KRISTINEHAMN</t>
        </is>
      </c>
      <c r="G23" t="n">
        <v>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20846-2019</t>
        </is>
      </c>
      <c r="B24" s="1" t="n">
        <v>43577</v>
      </c>
      <c r="C24" s="1" t="n">
        <v>45513</v>
      </c>
      <c r="D24" t="inlineStr">
        <is>
          <t>VÄRMLANDS LÄN</t>
        </is>
      </c>
      <c r="E24" t="inlineStr">
        <is>
          <t>KRISTINEHAMN</t>
        </is>
      </c>
      <c r="G24" t="n">
        <v>10.7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21486-2019</t>
        </is>
      </c>
      <c r="B25" s="1" t="n">
        <v>43580</v>
      </c>
      <c r="C25" s="1" t="n">
        <v>45513</v>
      </c>
      <c r="D25" t="inlineStr">
        <is>
          <t>VÄRMLANDS LÄN</t>
        </is>
      </c>
      <c r="E25" t="inlineStr">
        <is>
          <t>KRISTINEHAMN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23685-2019</t>
        </is>
      </c>
      <c r="B26" s="1" t="n">
        <v>43594</v>
      </c>
      <c r="C26" s="1" t="n">
        <v>45513</v>
      </c>
      <c r="D26" t="inlineStr">
        <is>
          <t>VÄRMLANDS LÄN</t>
        </is>
      </c>
      <c r="E26" t="inlineStr">
        <is>
          <t>KRISTINEHAMN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25059-2019</t>
        </is>
      </c>
      <c r="B27" s="1" t="n">
        <v>43604</v>
      </c>
      <c r="C27" s="1" t="n">
        <v>45513</v>
      </c>
      <c r="D27" t="inlineStr">
        <is>
          <t>VÄRMLANDS LÄN</t>
        </is>
      </c>
      <c r="E27" t="inlineStr">
        <is>
          <t>KRISTINEHAMN</t>
        </is>
      </c>
      <c r="F27" t="inlineStr">
        <is>
          <t>Bergvik skog väst AB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25050-2019</t>
        </is>
      </c>
      <c r="B28" s="1" t="n">
        <v>43604</v>
      </c>
      <c r="C28" s="1" t="n">
        <v>45513</v>
      </c>
      <c r="D28" t="inlineStr">
        <is>
          <t>VÄRMLANDS LÄN</t>
        </is>
      </c>
      <c r="E28" t="inlineStr">
        <is>
          <t>KRISTINEHAMN</t>
        </is>
      </c>
      <c r="F28" t="inlineStr">
        <is>
          <t>Bergvik skog väst AB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25049-2019</t>
        </is>
      </c>
      <c r="B29" s="1" t="n">
        <v>43604</v>
      </c>
      <c r="C29" s="1" t="n">
        <v>45513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28267-2019</t>
        </is>
      </c>
      <c r="B30" s="1" t="n">
        <v>43623</v>
      </c>
      <c r="C30" s="1" t="n">
        <v>45513</v>
      </c>
      <c r="D30" t="inlineStr">
        <is>
          <t>VÄRMLANDS LÄN</t>
        </is>
      </c>
      <c r="E30" t="inlineStr">
        <is>
          <t>KRISTINEHAMN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28512-2019</t>
        </is>
      </c>
      <c r="B31" s="1" t="n">
        <v>43626</v>
      </c>
      <c r="C31" s="1" t="n">
        <v>45513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29682-2019</t>
        </is>
      </c>
      <c r="B32" s="1" t="n">
        <v>43628</v>
      </c>
      <c r="C32" s="1" t="n">
        <v>45513</v>
      </c>
      <c r="D32" t="inlineStr">
        <is>
          <t>VÄRMLANDS LÄN</t>
        </is>
      </c>
      <c r="E32" t="inlineStr">
        <is>
          <t>KRISTINEHAMN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29677-2019</t>
        </is>
      </c>
      <c r="B33" s="1" t="n">
        <v>43628</v>
      </c>
      <c r="C33" s="1" t="n">
        <v>45513</v>
      </c>
      <c r="D33" t="inlineStr">
        <is>
          <t>VÄRMLANDS LÄN</t>
        </is>
      </c>
      <c r="E33" t="inlineStr">
        <is>
          <t>KRISTINEHAMN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29093-2019</t>
        </is>
      </c>
      <c r="B34" s="1" t="n">
        <v>43629</v>
      </c>
      <c r="C34" s="1" t="n">
        <v>45513</v>
      </c>
      <c r="D34" t="inlineStr">
        <is>
          <t>VÄRMLANDS LÄN</t>
        </is>
      </c>
      <c r="E34" t="inlineStr">
        <is>
          <t>KRISTINEHAMN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29722-2019</t>
        </is>
      </c>
      <c r="B35" s="1" t="n">
        <v>43630</v>
      </c>
      <c r="C35" s="1" t="n">
        <v>45513</v>
      </c>
      <c r="D35" t="inlineStr">
        <is>
          <t>VÄRMLANDS LÄN</t>
        </is>
      </c>
      <c r="E35" t="inlineStr">
        <is>
          <t>KRISTINEHAMN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31203-2019</t>
        </is>
      </c>
      <c r="B36" s="1" t="n">
        <v>43640</v>
      </c>
      <c r="C36" s="1" t="n">
        <v>45513</v>
      </c>
      <c r="D36" t="inlineStr">
        <is>
          <t>VÄRMLANDS LÄN</t>
        </is>
      </c>
      <c r="E36" t="inlineStr">
        <is>
          <t>KRISTINEHAMN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32040-2019</t>
        </is>
      </c>
      <c r="B37" s="1" t="n">
        <v>43643</v>
      </c>
      <c r="C37" s="1" t="n">
        <v>45513</v>
      </c>
      <c r="D37" t="inlineStr">
        <is>
          <t>VÄRMLANDS LÄN</t>
        </is>
      </c>
      <c r="E37" t="inlineStr">
        <is>
          <t>KRISTINEHAMN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32099-2019</t>
        </is>
      </c>
      <c r="B38" s="1" t="n">
        <v>43643</v>
      </c>
      <c r="C38" s="1" t="n">
        <v>45513</v>
      </c>
      <c r="D38" t="inlineStr">
        <is>
          <t>VÄRMLANDS LÄN</t>
        </is>
      </c>
      <c r="E38" t="inlineStr">
        <is>
          <t>KRISTINEHAMN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32076-2019</t>
        </is>
      </c>
      <c r="B39" s="1" t="n">
        <v>43643</v>
      </c>
      <c r="C39" s="1" t="n">
        <v>45513</v>
      </c>
      <c r="D39" t="inlineStr">
        <is>
          <t>VÄRMLANDS LÄN</t>
        </is>
      </c>
      <c r="E39" t="inlineStr">
        <is>
          <t>KRISTINEHAMN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32112-2019</t>
        </is>
      </c>
      <c r="B40" s="1" t="n">
        <v>43643</v>
      </c>
      <c r="C40" s="1" t="n">
        <v>45513</v>
      </c>
      <c r="D40" t="inlineStr">
        <is>
          <t>VÄRMLANDS LÄN</t>
        </is>
      </c>
      <c r="E40" t="inlineStr">
        <is>
          <t>KRISTINEHAMN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33587-2019</t>
        </is>
      </c>
      <c r="B41" s="1" t="n">
        <v>43644</v>
      </c>
      <c r="C41" s="1" t="n">
        <v>45513</v>
      </c>
      <c r="D41" t="inlineStr">
        <is>
          <t>VÄRMLANDS LÄN</t>
        </is>
      </c>
      <c r="E41" t="inlineStr">
        <is>
          <t>KRISTINEHAMN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33405-2019</t>
        </is>
      </c>
      <c r="B42" s="1" t="n">
        <v>43650</v>
      </c>
      <c r="C42" s="1" t="n">
        <v>45513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34904-2019</t>
        </is>
      </c>
      <c r="B43" s="1" t="n">
        <v>43650</v>
      </c>
      <c r="C43" s="1" t="n">
        <v>45513</v>
      </c>
      <c r="D43" t="inlineStr">
        <is>
          <t>VÄRMLANDS LÄN</t>
        </is>
      </c>
      <c r="E43" t="inlineStr">
        <is>
          <t>KRISTINEHAMN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33401-2019</t>
        </is>
      </c>
      <c r="B44" s="1" t="n">
        <v>43650</v>
      </c>
      <c r="C44" s="1" t="n">
        <v>45513</v>
      </c>
      <c r="D44" t="inlineStr">
        <is>
          <t>VÄRMLANDS LÄN</t>
        </is>
      </c>
      <c r="E44" t="inlineStr">
        <is>
          <t>KRISTINEHAMN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33882-2019</t>
        </is>
      </c>
      <c r="B45" s="1" t="n">
        <v>43653</v>
      </c>
      <c r="C45" s="1" t="n">
        <v>45513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33883-2019</t>
        </is>
      </c>
      <c r="B46" s="1" t="n">
        <v>43653</v>
      </c>
      <c r="C46" s="1" t="n">
        <v>45513</v>
      </c>
      <c r="D46" t="inlineStr">
        <is>
          <t>VÄRMLANDS LÄN</t>
        </is>
      </c>
      <c r="E46" t="inlineStr">
        <is>
          <t>KRISTINEHAMN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33884-2019</t>
        </is>
      </c>
      <c r="B47" s="1" t="n">
        <v>43653</v>
      </c>
      <c r="C47" s="1" t="n">
        <v>45513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36452-2019</t>
        </is>
      </c>
      <c r="B48" s="1" t="n">
        <v>43663</v>
      </c>
      <c r="C48" s="1" t="n">
        <v>45513</v>
      </c>
      <c r="D48" t="inlineStr">
        <is>
          <t>VÄRMLANDS LÄN</t>
        </is>
      </c>
      <c r="E48" t="inlineStr">
        <is>
          <t>KRISTINEHAMN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36543-2019</t>
        </is>
      </c>
      <c r="B49" s="1" t="n">
        <v>43668</v>
      </c>
      <c r="C49" s="1" t="n">
        <v>45513</v>
      </c>
      <c r="D49" t="inlineStr">
        <is>
          <t>VÄRMLANDS LÄN</t>
        </is>
      </c>
      <c r="E49" t="inlineStr">
        <is>
          <t>KRISTINEHAMN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37526-2019</t>
        </is>
      </c>
      <c r="B50" s="1" t="n">
        <v>43679</v>
      </c>
      <c r="C50" s="1" t="n">
        <v>45513</v>
      </c>
      <c r="D50" t="inlineStr">
        <is>
          <t>VÄRMLANDS LÄN</t>
        </is>
      </c>
      <c r="E50" t="inlineStr">
        <is>
          <t>KRISTINEHAMN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37684-2019</t>
        </is>
      </c>
      <c r="B51" s="1" t="n">
        <v>43682</v>
      </c>
      <c r="C51" s="1" t="n">
        <v>45513</v>
      </c>
      <c r="D51" t="inlineStr">
        <is>
          <t>VÄRMLANDS LÄN</t>
        </is>
      </c>
      <c r="E51" t="inlineStr">
        <is>
          <t>KRISTINEHAMN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37720-2019</t>
        </is>
      </c>
      <c r="B52" s="1" t="n">
        <v>43682</v>
      </c>
      <c r="C52" s="1" t="n">
        <v>45513</v>
      </c>
      <c r="D52" t="inlineStr">
        <is>
          <t>VÄRMLANDS LÄN</t>
        </is>
      </c>
      <c r="E52" t="inlineStr">
        <is>
          <t>KRISTINEHAMN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38427-2019</t>
        </is>
      </c>
      <c r="B53" s="1" t="n">
        <v>43685</v>
      </c>
      <c r="C53" s="1" t="n">
        <v>45513</v>
      </c>
      <c r="D53" t="inlineStr">
        <is>
          <t>VÄRMLANDS LÄN</t>
        </is>
      </c>
      <c r="E53" t="inlineStr">
        <is>
          <t>KRISTINEHAMN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38886-2019</t>
        </is>
      </c>
      <c r="B54" s="1" t="n">
        <v>43689</v>
      </c>
      <c r="C54" s="1" t="n">
        <v>45513</v>
      </c>
      <c r="D54" t="inlineStr">
        <is>
          <t>VÄRMLANDS LÄN</t>
        </is>
      </c>
      <c r="E54" t="inlineStr">
        <is>
          <t>KRISTINEHAMN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38878-2019</t>
        </is>
      </c>
      <c r="B55" s="1" t="n">
        <v>43689</v>
      </c>
      <c r="C55" s="1" t="n">
        <v>45513</v>
      </c>
      <c r="D55" t="inlineStr">
        <is>
          <t>VÄRMLANDS LÄN</t>
        </is>
      </c>
      <c r="E55" t="inlineStr">
        <is>
          <t>KRISTINEHAMN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39948-2019</t>
        </is>
      </c>
      <c r="B56" s="1" t="n">
        <v>43690</v>
      </c>
      <c r="C56" s="1" t="n">
        <v>45513</v>
      </c>
      <c r="D56" t="inlineStr">
        <is>
          <t>VÄRMLANDS LÄN</t>
        </is>
      </c>
      <c r="E56" t="inlineStr">
        <is>
          <t>KRISTINEHAMN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41133-2019</t>
        </is>
      </c>
      <c r="B57" s="1" t="n">
        <v>43691</v>
      </c>
      <c r="C57" s="1" t="n">
        <v>45513</v>
      </c>
      <c r="D57" t="inlineStr">
        <is>
          <t>VÄRMLANDS LÄN</t>
        </is>
      </c>
      <c r="E57" t="inlineStr">
        <is>
          <t>KRISTINEHAMN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40771-2019</t>
        </is>
      </c>
      <c r="B58" s="1" t="n">
        <v>43696</v>
      </c>
      <c r="C58" s="1" t="n">
        <v>45513</v>
      </c>
      <c r="D58" t="inlineStr">
        <is>
          <t>VÄRMLANDS LÄN</t>
        </is>
      </c>
      <c r="E58" t="inlineStr">
        <is>
          <t>KRISTINEHAMN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42856-2019</t>
        </is>
      </c>
      <c r="B59" s="1" t="n">
        <v>43705</v>
      </c>
      <c r="C59" s="1" t="n">
        <v>45513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44951-2019</t>
        </is>
      </c>
      <c r="B60" s="1" t="n">
        <v>43713</v>
      </c>
      <c r="C60" s="1" t="n">
        <v>45513</v>
      </c>
      <c r="D60" t="inlineStr">
        <is>
          <t>VÄRMLANDS LÄN</t>
        </is>
      </c>
      <c r="E60" t="inlineStr">
        <is>
          <t>KRISTINEHAMN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44955-2019</t>
        </is>
      </c>
      <c r="B61" s="1" t="n">
        <v>43713</v>
      </c>
      <c r="C61" s="1" t="n">
        <v>45513</v>
      </c>
      <c r="D61" t="inlineStr">
        <is>
          <t>VÄRMLANDS LÄN</t>
        </is>
      </c>
      <c r="E61" t="inlineStr">
        <is>
          <t>KRISTINEHAMN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47201-2019</t>
        </is>
      </c>
      <c r="B62" s="1" t="n">
        <v>43721</v>
      </c>
      <c r="C62" s="1" t="n">
        <v>45513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47598-2019</t>
        </is>
      </c>
      <c r="B63" s="1" t="n">
        <v>43724</v>
      </c>
      <c r="C63" s="1" t="n">
        <v>45513</v>
      </c>
      <c r="D63" t="inlineStr">
        <is>
          <t>VÄRMLANDS LÄN</t>
        </is>
      </c>
      <c r="E63" t="inlineStr">
        <is>
          <t>KRISTINEHAMN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49333-2019</t>
        </is>
      </c>
      <c r="B64" s="1" t="n">
        <v>43731</v>
      </c>
      <c r="C64" s="1" t="n">
        <v>45513</v>
      </c>
      <c r="D64" t="inlineStr">
        <is>
          <t>VÄRMLANDS LÄN</t>
        </is>
      </c>
      <c r="E64" t="inlineStr">
        <is>
          <t>KRISTINEHAMN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49860-2019</t>
        </is>
      </c>
      <c r="B65" s="1" t="n">
        <v>43733</v>
      </c>
      <c r="C65" s="1" t="n">
        <v>45513</v>
      </c>
      <c r="D65" t="inlineStr">
        <is>
          <t>VÄRMLANDS LÄN</t>
        </is>
      </c>
      <c r="E65" t="inlineStr">
        <is>
          <t>KRISTINEHAMN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53236-2019</t>
        </is>
      </c>
      <c r="B66" s="1" t="n">
        <v>43748</v>
      </c>
      <c r="C66" s="1" t="n">
        <v>45513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54616-2019</t>
        </is>
      </c>
      <c r="B67" s="1" t="n">
        <v>43748</v>
      </c>
      <c r="C67" s="1" t="n">
        <v>45513</v>
      </c>
      <c r="D67" t="inlineStr">
        <is>
          <t>VÄRMLANDS LÄN</t>
        </is>
      </c>
      <c r="E67" t="inlineStr">
        <is>
          <t>KRISTINEHAMN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54853-2019</t>
        </is>
      </c>
      <c r="B68" s="1" t="n">
        <v>43755</v>
      </c>
      <c r="C68" s="1" t="n">
        <v>45513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57029-2019</t>
        </is>
      </c>
      <c r="B69" s="1" t="n">
        <v>43759</v>
      </c>
      <c r="C69" s="1" t="n">
        <v>45513</v>
      </c>
      <c r="D69" t="inlineStr">
        <is>
          <t>VÄRMLANDS LÄN</t>
        </is>
      </c>
      <c r="E69" t="inlineStr">
        <is>
          <t>KRISTINEHAMN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57024-2019</t>
        </is>
      </c>
      <c r="B70" s="1" t="n">
        <v>43759</v>
      </c>
      <c r="C70" s="1" t="n">
        <v>45513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57720-2019</t>
        </is>
      </c>
      <c r="B71" s="1" t="n">
        <v>43763</v>
      </c>
      <c r="C71" s="1" t="n">
        <v>45513</v>
      </c>
      <c r="D71" t="inlineStr">
        <is>
          <t>VÄRMLANDS LÄN</t>
        </is>
      </c>
      <c r="E71" t="inlineStr">
        <is>
          <t>KRISTINEHAMN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56760-2019</t>
        </is>
      </c>
      <c r="B72" s="1" t="n">
        <v>43763</v>
      </c>
      <c r="C72" s="1" t="n">
        <v>45513</v>
      </c>
      <c r="D72" t="inlineStr">
        <is>
          <t>VÄRMLANDS LÄN</t>
        </is>
      </c>
      <c r="E72" t="inlineStr">
        <is>
          <t>KRISTINEHAMN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56570-2019</t>
        </is>
      </c>
      <c r="B73" s="1" t="n">
        <v>43763</v>
      </c>
      <c r="C73" s="1" t="n">
        <v>45513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57380-2019</t>
        </is>
      </c>
      <c r="B74" s="1" t="n">
        <v>43767</v>
      </c>
      <c r="C74" s="1" t="n">
        <v>45513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59805-2019</t>
        </is>
      </c>
      <c r="B75" s="1" t="n">
        <v>43777</v>
      </c>
      <c r="C75" s="1" t="n">
        <v>45513</v>
      </c>
      <c r="D75" t="inlineStr">
        <is>
          <t>VÄRMLANDS LÄN</t>
        </is>
      </c>
      <c r="E75" t="inlineStr">
        <is>
          <t>KRISTINEHAMN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60658-2019</t>
        </is>
      </c>
      <c r="B76" s="1" t="n">
        <v>43781</v>
      </c>
      <c r="C76" s="1" t="n">
        <v>45513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61914-2019</t>
        </is>
      </c>
      <c r="B77" s="1" t="n">
        <v>43787</v>
      </c>
      <c r="C77" s="1" t="n">
        <v>45513</v>
      </c>
      <c r="D77" t="inlineStr">
        <is>
          <t>VÄRMLANDS LÄN</t>
        </is>
      </c>
      <c r="E77" t="inlineStr">
        <is>
          <t>KRISTINEHAMN</t>
        </is>
      </c>
      <c r="F77" t="inlineStr">
        <is>
          <t>Naturvårdsverket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62534-2019</t>
        </is>
      </c>
      <c r="B78" s="1" t="n">
        <v>43789</v>
      </c>
      <c r="C78" s="1" t="n">
        <v>45513</v>
      </c>
      <c r="D78" t="inlineStr">
        <is>
          <t>VÄRMLANDS LÄN</t>
        </is>
      </c>
      <c r="E78" t="inlineStr">
        <is>
          <t>KRISTINEHAMN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64063-2019</t>
        </is>
      </c>
      <c r="B79" s="1" t="n">
        <v>43796</v>
      </c>
      <c r="C79" s="1" t="n">
        <v>45513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64059-2019</t>
        </is>
      </c>
      <c r="B80" s="1" t="n">
        <v>43796</v>
      </c>
      <c r="C80" s="1" t="n">
        <v>45513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65901-2019</t>
        </is>
      </c>
      <c r="B81" s="1" t="n">
        <v>43798</v>
      </c>
      <c r="C81" s="1" t="n">
        <v>45513</v>
      </c>
      <c r="D81" t="inlineStr">
        <is>
          <t>VÄRMLANDS LÄN</t>
        </is>
      </c>
      <c r="E81" t="inlineStr">
        <is>
          <t>KRISTINEHAMN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64823-2019</t>
        </is>
      </c>
      <c r="B82" s="1" t="n">
        <v>43801</v>
      </c>
      <c r="C82" s="1" t="n">
        <v>45513</v>
      </c>
      <c r="D82" t="inlineStr">
        <is>
          <t>VÄRMLANDS LÄN</t>
        </is>
      </c>
      <c r="E82" t="inlineStr">
        <is>
          <t>KRISTINEHAMN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64801-2019</t>
        </is>
      </c>
      <c r="B83" s="1" t="n">
        <v>43801</v>
      </c>
      <c r="C83" s="1" t="n">
        <v>45513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65114-2019</t>
        </is>
      </c>
      <c r="B84" s="1" t="n">
        <v>43802</v>
      </c>
      <c r="C84" s="1" t="n">
        <v>45513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65120-2019</t>
        </is>
      </c>
      <c r="B85" s="1" t="n">
        <v>43802</v>
      </c>
      <c r="C85" s="1" t="n">
        <v>45513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65125-2019</t>
        </is>
      </c>
      <c r="B86" s="1" t="n">
        <v>43802</v>
      </c>
      <c r="C86" s="1" t="n">
        <v>45513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65789-2019</t>
        </is>
      </c>
      <c r="B87" s="1" t="n">
        <v>43805</v>
      </c>
      <c r="C87" s="1" t="n">
        <v>45513</v>
      </c>
      <c r="D87" t="inlineStr">
        <is>
          <t>VÄRMLANDS LÄN</t>
        </is>
      </c>
      <c r="E87" t="inlineStr">
        <is>
          <t>KRISTINEHAMN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66064-2019</t>
        </is>
      </c>
      <c r="B88" s="1" t="n">
        <v>43806</v>
      </c>
      <c r="C88" s="1" t="n">
        <v>45513</v>
      </c>
      <c r="D88" t="inlineStr">
        <is>
          <t>VÄRMLANDS LÄN</t>
        </is>
      </c>
      <c r="E88" t="inlineStr">
        <is>
          <t>KRISTINEHAMN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753-2020</t>
        </is>
      </c>
      <c r="B89" s="1" t="n">
        <v>43818</v>
      </c>
      <c r="C89" s="1" t="n">
        <v>45513</v>
      </c>
      <c r="D89" t="inlineStr">
        <is>
          <t>VÄRMLANDS LÄN</t>
        </is>
      </c>
      <c r="E89" t="inlineStr">
        <is>
          <t>KRISTINEHAMN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757-2020</t>
        </is>
      </c>
      <c r="B90" s="1" t="n">
        <v>43818</v>
      </c>
      <c r="C90" s="1" t="n">
        <v>45513</v>
      </c>
      <c r="D90" t="inlineStr">
        <is>
          <t>VÄRMLANDS LÄN</t>
        </is>
      </c>
      <c r="E90" t="inlineStr">
        <is>
          <t>KRISTINEHAMN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750-2020</t>
        </is>
      </c>
      <c r="B91" s="1" t="n">
        <v>43818</v>
      </c>
      <c r="C91" s="1" t="n">
        <v>45513</v>
      </c>
      <c r="D91" t="inlineStr">
        <is>
          <t>VÄRMLANDS LÄN</t>
        </is>
      </c>
      <c r="E91" t="inlineStr">
        <is>
          <t>KRISTINEHAMN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766-2020</t>
        </is>
      </c>
      <c r="B92" s="1" t="n">
        <v>43818</v>
      </c>
      <c r="C92" s="1" t="n">
        <v>45513</v>
      </c>
      <c r="D92" t="inlineStr">
        <is>
          <t>VÄRMLANDS LÄN</t>
        </is>
      </c>
      <c r="E92" t="inlineStr">
        <is>
          <t>KRISTINEHAMN</t>
        </is>
      </c>
      <c r="F92" t="inlineStr">
        <is>
          <t>Kommuner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68587-2019</t>
        </is>
      </c>
      <c r="B93" s="1" t="n">
        <v>43818</v>
      </c>
      <c r="C93" s="1" t="n">
        <v>45513</v>
      </c>
      <c r="D93" t="inlineStr">
        <is>
          <t>VÄRMLANDS LÄN</t>
        </is>
      </c>
      <c r="E93" t="inlineStr">
        <is>
          <t>KRISTINEHAMN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69090-2019</t>
        </is>
      </c>
      <c r="B94" s="1" t="n">
        <v>43829</v>
      </c>
      <c r="C94" s="1" t="n">
        <v>45513</v>
      </c>
      <c r="D94" t="inlineStr">
        <is>
          <t>VÄRMLANDS LÄN</t>
        </is>
      </c>
      <c r="E94" t="inlineStr">
        <is>
          <t>KRISTINEHAMN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785-2020</t>
        </is>
      </c>
      <c r="B95" s="1" t="n">
        <v>43838</v>
      </c>
      <c r="C95" s="1" t="n">
        <v>45513</v>
      </c>
      <c r="D95" t="inlineStr">
        <is>
          <t>VÄRMLANDS LÄN</t>
        </is>
      </c>
      <c r="E95" t="inlineStr">
        <is>
          <t>KRISTINEHAMN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953-2020</t>
        </is>
      </c>
      <c r="B96" s="1" t="n">
        <v>43839</v>
      </c>
      <c r="C96" s="1" t="n">
        <v>45513</v>
      </c>
      <c r="D96" t="inlineStr">
        <is>
          <t>VÄRMLANDS LÄN</t>
        </is>
      </c>
      <c r="E96" t="inlineStr">
        <is>
          <t>KRISTINEHAMN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1293-2020</t>
        </is>
      </c>
      <c r="B97" s="1" t="n">
        <v>43842</v>
      </c>
      <c r="C97" s="1" t="n">
        <v>45513</v>
      </c>
      <c r="D97" t="inlineStr">
        <is>
          <t>VÄRMLANDS LÄN</t>
        </is>
      </c>
      <c r="E97" t="inlineStr">
        <is>
          <t>KRISTINEHAMN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1294-2020</t>
        </is>
      </c>
      <c r="B98" s="1" t="n">
        <v>43842</v>
      </c>
      <c r="C98" s="1" t="n">
        <v>45513</v>
      </c>
      <c r="D98" t="inlineStr">
        <is>
          <t>VÄRMLANDS LÄN</t>
        </is>
      </c>
      <c r="E98" t="inlineStr">
        <is>
          <t>KRISTINEHAMN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2544-2020</t>
        </is>
      </c>
      <c r="B99" s="1" t="n">
        <v>43843</v>
      </c>
      <c r="C99" s="1" t="n">
        <v>45513</v>
      </c>
      <c r="D99" t="inlineStr">
        <is>
          <t>VÄRMLANDS LÄN</t>
        </is>
      </c>
      <c r="E99" t="inlineStr">
        <is>
          <t>KRISTINEHAMN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1594-2020</t>
        </is>
      </c>
      <c r="B100" s="1" t="n">
        <v>43844</v>
      </c>
      <c r="C100" s="1" t="n">
        <v>45513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Naturvårdsverket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2120-2020</t>
        </is>
      </c>
      <c r="B101" s="1" t="n">
        <v>43846</v>
      </c>
      <c r="C101" s="1" t="n">
        <v>45513</v>
      </c>
      <c r="D101" t="inlineStr">
        <is>
          <t>VÄRMLANDS LÄN</t>
        </is>
      </c>
      <c r="E101" t="inlineStr">
        <is>
          <t>KRISTINEHAMN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3665-2020</t>
        </is>
      </c>
      <c r="B102" s="1" t="n">
        <v>43853</v>
      </c>
      <c r="C102" s="1" t="n">
        <v>45513</v>
      </c>
      <c r="D102" t="inlineStr">
        <is>
          <t>VÄRMLANDS LÄN</t>
        </is>
      </c>
      <c r="E102" t="inlineStr">
        <is>
          <t>KRISTINEHAMN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4210-2020</t>
        </is>
      </c>
      <c r="B103" s="1" t="n">
        <v>43857</v>
      </c>
      <c r="C103" s="1" t="n">
        <v>45513</v>
      </c>
      <c r="D103" t="inlineStr">
        <is>
          <t>VÄRMLANDS LÄN</t>
        </is>
      </c>
      <c r="E103" t="inlineStr">
        <is>
          <t>KRISTINEHAMN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5443-2020</t>
        </is>
      </c>
      <c r="B104" s="1" t="n">
        <v>43861</v>
      </c>
      <c r="C104" s="1" t="n">
        <v>45513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5455-2020</t>
        </is>
      </c>
      <c r="B105" s="1" t="n">
        <v>43861</v>
      </c>
      <c r="C105" s="1" t="n">
        <v>45513</v>
      </c>
      <c r="D105" t="inlineStr">
        <is>
          <t>VÄRMLANDS LÄN</t>
        </is>
      </c>
      <c r="E105" t="inlineStr">
        <is>
          <t>KRISTINEHAMN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6059-2020</t>
        </is>
      </c>
      <c r="B106" s="1" t="n">
        <v>43864</v>
      </c>
      <c r="C106" s="1" t="n">
        <v>45513</v>
      </c>
      <c r="D106" t="inlineStr">
        <is>
          <t>VÄRMLANDS LÄN</t>
        </is>
      </c>
      <c r="E106" t="inlineStr">
        <is>
          <t>KRISTINEHAMN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5949-2020</t>
        </is>
      </c>
      <c r="B107" s="1" t="n">
        <v>43864</v>
      </c>
      <c r="C107" s="1" t="n">
        <v>45513</v>
      </c>
      <c r="D107" t="inlineStr">
        <is>
          <t>VÄRMLANDS LÄN</t>
        </is>
      </c>
      <c r="E107" t="inlineStr">
        <is>
          <t>KRISTINEHAMN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6031-2020</t>
        </is>
      </c>
      <c r="B108" s="1" t="n">
        <v>43865</v>
      </c>
      <c r="C108" s="1" t="n">
        <v>45513</v>
      </c>
      <c r="D108" t="inlineStr">
        <is>
          <t>VÄRMLANDS LÄN</t>
        </is>
      </c>
      <c r="E108" t="inlineStr">
        <is>
          <t>KRISTINEHAMN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7035-2020</t>
        </is>
      </c>
      <c r="B109" s="1" t="n">
        <v>43868</v>
      </c>
      <c r="C109" s="1" t="n">
        <v>45513</v>
      </c>
      <c r="D109" t="inlineStr">
        <is>
          <t>VÄRMLANDS LÄN</t>
        </is>
      </c>
      <c r="E109" t="inlineStr">
        <is>
          <t>KRISTINEHAMN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7641-2020</t>
        </is>
      </c>
      <c r="B110" s="1" t="n">
        <v>43872</v>
      </c>
      <c r="C110" s="1" t="n">
        <v>45513</v>
      </c>
      <c r="D110" t="inlineStr">
        <is>
          <t>VÄRMLANDS LÄN</t>
        </is>
      </c>
      <c r="E110" t="inlineStr">
        <is>
          <t>KRISTINEHAMN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7816-2020</t>
        </is>
      </c>
      <c r="B111" s="1" t="n">
        <v>43873</v>
      </c>
      <c r="C111" s="1" t="n">
        <v>45513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7980-2020</t>
        </is>
      </c>
      <c r="B112" s="1" t="n">
        <v>43873</v>
      </c>
      <c r="C112" s="1" t="n">
        <v>45513</v>
      </c>
      <c r="D112" t="inlineStr">
        <is>
          <t>VÄRMLANDS LÄN</t>
        </is>
      </c>
      <c r="E112" t="inlineStr">
        <is>
          <t>KRISTINEHAMN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7977-2020</t>
        </is>
      </c>
      <c r="B113" s="1" t="n">
        <v>43873</v>
      </c>
      <c r="C113" s="1" t="n">
        <v>45513</v>
      </c>
      <c r="D113" t="inlineStr">
        <is>
          <t>VÄRMLANDS LÄN</t>
        </is>
      </c>
      <c r="E113" t="inlineStr">
        <is>
          <t>KRISTINEHAMN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8208-2020</t>
        </is>
      </c>
      <c r="B114" s="1" t="n">
        <v>43874</v>
      </c>
      <c r="C114" s="1" t="n">
        <v>45513</v>
      </c>
      <c r="D114" t="inlineStr">
        <is>
          <t>VÄRMLANDS LÄN</t>
        </is>
      </c>
      <c r="E114" t="inlineStr">
        <is>
          <t>KRISTINEHAMN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8211-2020</t>
        </is>
      </c>
      <c r="B115" s="1" t="n">
        <v>43874</v>
      </c>
      <c r="C115" s="1" t="n">
        <v>45513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8573-2020</t>
        </is>
      </c>
      <c r="B116" s="1" t="n">
        <v>43878</v>
      </c>
      <c r="C116" s="1" t="n">
        <v>45513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Naturvårdsverket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9923-2020</t>
        </is>
      </c>
      <c r="B117" s="1" t="n">
        <v>43882</v>
      </c>
      <c r="C117" s="1" t="n">
        <v>45513</v>
      </c>
      <c r="D117" t="inlineStr">
        <is>
          <t>VÄRMLANDS LÄN</t>
        </is>
      </c>
      <c r="E117" t="inlineStr">
        <is>
          <t>KRISTINEHAMN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11203-2020</t>
        </is>
      </c>
      <c r="B118" s="1" t="n">
        <v>43885</v>
      </c>
      <c r="C118" s="1" t="n">
        <v>45513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11241-2020</t>
        </is>
      </c>
      <c r="B119" s="1" t="n">
        <v>43885</v>
      </c>
      <c r="C119" s="1" t="n">
        <v>45513</v>
      </c>
      <c r="D119" t="inlineStr">
        <is>
          <t>VÄRMLANDS LÄN</t>
        </is>
      </c>
      <c r="E119" t="inlineStr">
        <is>
          <t>KRISTINEHAMN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11100-2020</t>
        </is>
      </c>
      <c r="B120" s="1" t="n">
        <v>43889</v>
      </c>
      <c r="C120" s="1" t="n">
        <v>45513</v>
      </c>
      <c r="D120" t="inlineStr">
        <is>
          <t>VÄRMLANDS LÄN</t>
        </is>
      </c>
      <c r="E120" t="inlineStr">
        <is>
          <t>KRISTINEHAMN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12454-2020</t>
        </is>
      </c>
      <c r="B121" s="1" t="n">
        <v>43892</v>
      </c>
      <c r="C121" s="1" t="n">
        <v>45513</v>
      </c>
      <c r="D121" t="inlineStr">
        <is>
          <t>VÄRMLANDS LÄN</t>
        </is>
      </c>
      <c r="E121" t="inlineStr">
        <is>
          <t>KRISTINEHAMN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12053-2020</t>
        </is>
      </c>
      <c r="B122" s="1" t="n">
        <v>43894</v>
      </c>
      <c r="C122" s="1" t="n">
        <v>45513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12655-2020</t>
        </is>
      </c>
      <c r="B123" s="1" t="n">
        <v>43897</v>
      </c>
      <c r="C123" s="1" t="n">
        <v>45513</v>
      </c>
      <c r="D123" t="inlineStr">
        <is>
          <t>VÄRMLANDS LÄN</t>
        </is>
      </c>
      <c r="E123" t="inlineStr">
        <is>
          <t>KRISTINEHAMN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12659-2020</t>
        </is>
      </c>
      <c r="B124" s="1" t="n">
        <v>43898</v>
      </c>
      <c r="C124" s="1" t="n">
        <v>45513</v>
      </c>
      <c r="D124" t="inlineStr">
        <is>
          <t>VÄRMLANDS LÄN</t>
        </is>
      </c>
      <c r="E124" t="inlineStr">
        <is>
          <t>KRISTINEHAMN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14013-2020</t>
        </is>
      </c>
      <c r="B125" s="1" t="n">
        <v>43899</v>
      </c>
      <c r="C125" s="1" t="n">
        <v>45513</v>
      </c>
      <c r="D125" t="inlineStr">
        <is>
          <t>VÄRMLANDS LÄN</t>
        </is>
      </c>
      <c r="E125" t="inlineStr">
        <is>
          <t>KRISTINEHAMN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13275-2020</t>
        </is>
      </c>
      <c r="B126" s="1" t="n">
        <v>43901</v>
      </c>
      <c r="C126" s="1" t="n">
        <v>45513</v>
      </c>
      <c r="D126" t="inlineStr">
        <is>
          <t>VÄRMLANDS LÄN</t>
        </is>
      </c>
      <c r="E126" t="inlineStr">
        <is>
          <t>KRISTINEHAMN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13508-2020</t>
        </is>
      </c>
      <c r="B127" s="1" t="n">
        <v>43902</v>
      </c>
      <c r="C127" s="1" t="n">
        <v>45513</v>
      </c>
      <c r="D127" t="inlineStr">
        <is>
          <t>VÄRMLANDS LÄN</t>
        </is>
      </c>
      <c r="E127" t="inlineStr">
        <is>
          <t>KRISTINEHAMN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13824-2020</t>
        </is>
      </c>
      <c r="B128" s="1" t="n">
        <v>43905</v>
      </c>
      <c r="C128" s="1" t="n">
        <v>45513</v>
      </c>
      <c r="D128" t="inlineStr">
        <is>
          <t>VÄRMLANDS LÄN</t>
        </is>
      </c>
      <c r="E128" t="inlineStr">
        <is>
          <t>KRISTINEHAMN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13962-2020</t>
        </is>
      </c>
      <c r="B129" s="1" t="n">
        <v>43906</v>
      </c>
      <c r="C129" s="1" t="n">
        <v>45513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13973-2020</t>
        </is>
      </c>
      <c r="B130" s="1" t="n">
        <v>43906</v>
      </c>
      <c r="C130" s="1" t="n">
        <v>45513</v>
      </c>
      <c r="D130" t="inlineStr">
        <is>
          <t>VÄRMLANDS LÄN</t>
        </is>
      </c>
      <c r="E130" t="inlineStr">
        <is>
          <t>KRISTINEHAMN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15013-2020</t>
        </is>
      </c>
      <c r="B131" s="1" t="n">
        <v>43907</v>
      </c>
      <c r="C131" s="1" t="n">
        <v>45513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16557-2020</t>
        </is>
      </c>
      <c r="B132" s="1" t="n">
        <v>43909</v>
      </c>
      <c r="C132" s="1" t="n">
        <v>45513</v>
      </c>
      <c r="D132" t="inlineStr">
        <is>
          <t>VÄRMLANDS LÄN</t>
        </is>
      </c>
      <c r="E132" t="inlineStr">
        <is>
          <t>KRISTINEHAMN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16560-2020</t>
        </is>
      </c>
      <c r="B133" s="1" t="n">
        <v>43909</v>
      </c>
      <c r="C133" s="1" t="n">
        <v>45513</v>
      </c>
      <c r="D133" t="inlineStr">
        <is>
          <t>VÄRMLANDS LÄN</t>
        </is>
      </c>
      <c r="E133" t="inlineStr">
        <is>
          <t>KRISTINEHAMN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15578-2020</t>
        </is>
      </c>
      <c r="B134" s="1" t="n">
        <v>43914</v>
      </c>
      <c r="C134" s="1" t="n">
        <v>45513</v>
      </c>
      <c r="D134" t="inlineStr">
        <is>
          <t>VÄRMLANDS LÄN</t>
        </is>
      </c>
      <c r="E134" t="inlineStr">
        <is>
          <t>KRISTINEHAMN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15575-2020</t>
        </is>
      </c>
      <c r="B135" s="1" t="n">
        <v>43914</v>
      </c>
      <c r="C135" s="1" t="n">
        <v>45513</v>
      </c>
      <c r="D135" t="inlineStr">
        <is>
          <t>VÄRMLANDS LÄN</t>
        </is>
      </c>
      <c r="E135" t="inlineStr">
        <is>
          <t>KRISTINEHAMN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17152-2020</t>
        </is>
      </c>
      <c r="B136" s="1" t="n">
        <v>43915</v>
      </c>
      <c r="C136" s="1" t="n">
        <v>45513</v>
      </c>
      <c r="D136" t="inlineStr">
        <is>
          <t>VÄRMLANDS LÄN</t>
        </is>
      </c>
      <c r="E136" t="inlineStr">
        <is>
          <t>KRISTINEHAMN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15967-2020</t>
        </is>
      </c>
      <c r="B137" s="1" t="n">
        <v>43915</v>
      </c>
      <c r="C137" s="1" t="n">
        <v>45513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15969-2020</t>
        </is>
      </c>
      <c r="B138" s="1" t="n">
        <v>43915</v>
      </c>
      <c r="C138" s="1" t="n">
        <v>45513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15962-2020</t>
        </is>
      </c>
      <c r="B139" s="1" t="n">
        <v>43915</v>
      </c>
      <c r="C139" s="1" t="n">
        <v>45513</v>
      </c>
      <c r="D139" t="inlineStr">
        <is>
          <t>VÄRMLANDS LÄN</t>
        </is>
      </c>
      <c r="E139" t="inlineStr">
        <is>
          <t>KRISTINEHAMN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17151-2020</t>
        </is>
      </c>
      <c r="B140" s="1" t="n">
        <v>43915</v>
      </c>
      <c r="C140" s="1" t="n">
        <v>45513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16215-2020</t>
        </is>
      </c>
      <c r="B141" s="1" t="n">
        <v>43917</v>
      </c>
      <c r="C141" s="1" t="n">
        <v>45513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Bergvik skog väst AB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16299-2020</t>
        </is>
      </c>
      <c r="B142" s="1" t="n">
        <v>43917</v>
      </c>
      <c r="C142" s="1" t="n">
        <v>45513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17534-2020</t>
        </is>
      </c>
      <c r="B143" s="1" t="n">
        <v>43917</v>
      </c>
      <c r="C143" s="1" t="n">
        <v>45513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16751-2020</t>
        </is>
      </c>
      <c r="B144" s="1" t="n">
        <v>43920</v>
      </c>
      <c r="C144" s="1" t="n">
        <v>45513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16697-2020</t>
        </is>
      </c>
      <c r="B145" s="1" t="n">
        <v>43920</v>
      </c>
      <c r="C145" s="1" t="n">
        <v>45513</v>
      </c>
      <c r="D145" t="inlineStr">
        <is>
          <t>VÄRMLANDS LÄN</t>
        </is>
      </c>
      <c r="E145" t="inlineStr">
        <is>
          <t>KRISTINEHAMN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16749-2020</t>
        </is>
      </c>
      <c r="B146" s="1" t="n">
        <v>43920</v>
      </c>
      <c r="C146" s="1" t="n">
        <v>45513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16745-2020</t>
        </is>
      </c>
      <c r="B147" s="1" t="n">
        <v>43920</v>
      </c>
      <c r="C147" s="1" t="n">
        <v>45513</v>
      </c>
      <c r="D147" t="inlineStr">
        <is>
          <t>VÄRMLANDS LÄN</t>
        </is>
      </c>
      <c r="E147" t="inlineStr">
        <is>
          <t>KRISTINEHAMN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17544-2020</t>
        </is>
      </c>
      <c r="B148" s="1" t="n">
        <v>43920</v>
      </c>
      <c r="C148" s="1" t="n">
        <v>45513</v>
      </c>
      <c r="D148" t="inlineStr">
        <is>
          <t>VÄRMLANDS LÄN</t>
        </is>
      </c>
      <c r="E148" t="inlineStr">
        <is>
          <t>KRISTINEHAMN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17627-2020</t>
        </is>
      </c>
      <c r="B149" s="1" t="n">
        <v>43921</v>
      </c>
      <c r="C149" s="1" t="n">
        <v>45513</v>
      </c>
      <c r="D149" t="inlineStr">
        <is>
          <t>VÄRMLANDS LÄN</t>
        </is>
      </c>
      <c r="E149" t="inlineStr">
        <is>
          <t>KRISTINEHAMN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17964-2020</t>
        </is>
      </c>
      <c r="B150" s="1" t="n">
        <v>43925</v>
      </c>
      <c r="C150" s="1" t="n">
        <v>45513</v>
      </c>
      <c r="D150" t="inlineStr">
        <is>
          <t>VÄRMLANDS LÄN</t>
        </is>
      </c>
      <c r="E150" t="inlineStr">
        <is>
          <t>KRISTINEHAMN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18657-2020</t>
        </is>
      </c>
      <c r="B151" s="1" t="n">
        <v>43930</v>
      </c>
      <c r="C151" s="1" t="n">
        <v>45513</v>
      </c>
      <c r="D151" t="inlineStr">
        <is>
          <t>VÄRMLANDS LÄN</t>
        </is>
      </c>
      <c r="E151" t="inlineStr">
        <is>
          <t>KRISTINEHAMN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18659-2020</t>
        </is>
      </c>
      <c r="B152" s="1" t="n">
        <v>43930</v>
      </c>
      <c r="C152" s="1" t="n">
        <v>45513</v>
      </c>
      <c r="D152" t="inlineStr">
        <is>
          <t>VÄRMLANDS LÄN</t>
        </is>
      </c>
      <c r="E152" t="inlineStr">
        <is>
          <t>KRISTINEHAMN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18688-2020</t>
        </is>
      </c>
      <c r="B153" s="1" t="n">
        <v>43930</v>
      </c>
      <c r="C153" s="1" t="n">
        <v>45513</v>
      </c>
      <c r="D153" t="inlineStr">
        <is>
          <t>VÄRMLANDS LÄN</t>
        </is>
      </c>
      <c r="E153" t="inlineStr">
        <is>
          <t>KRISTINEHAMN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18768-2020</t>
        </is>
      </c>
      <c r="B154" s="1" t="n">
        <v>43930</v>
      </c>
      <c r="C154" s="1" t="n">
        <v>45513</v>
      </c>
      <c r="D154" t="inlineStr">
        <is>
          <t>VÄRMLANDS LÄN</t>
        </is>
      </c>
      <c r="E154" t="inlineStr">
        <is>
          <t>KRISTINEHAMN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19965-2020</t>
        </is>
      </c>
      <c r="B155" s="1" t="n">
        <v>43943</v>
      </c>
      <c r="C155" s="1" t="n">
        <v>45513</v>
      </c>
      <c r="D155" t="inlineStr">
        <is>
          <t>VÄRMLANDS LÄN</t>
        </is>
      </c>
      <c r="E155" t="inlineStr">
        <is>
          <t>KRISTINEHAMN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21000-2020</t>
        </is>
      </c>
      <c r="B156" s="1" t="n">
        <v>43949</v>
      </c>
      <c r="C156" s="1" t="n">
        <v>45513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22211-2020</t>
        </is>
      </c>
      <c r="B157" s="1" t="n">
        <v>43955</v>
      </c>
      <c r="C157" s="1" t="n">
        <v>45513</v>
      </c>
      <c r="D157" t="inlineStr">
        <is>
          <t>VÄRMLANDS LÄN</t>
        </is>
      </c>
      <c r="E157" t="inlineStr">
        <is>
          <t>KRISTINEHAMN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21943-2020</t>
        </is>
      </c>
      <c r="B158" s="1" t="n">
        <v>43955</v>
      </c>
      <c r="C158" s="1" t="n">
        <v>45513</v>
      </c>
      <c r="D158" t="inlineStr">
        <is>
          <t>VÄRMLANDS LÄN</t>
        </is>
      </c>
      <c r="E158" t="inlineStr">
        <is>
          <t>KRISTINEHAMN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22215-2020</t>
        </is>
      </c>
      <c r="B159" s="1" t="n">
        <v>43955</v>
      </c>
      <c r="C159" s="1" t="n">
        <v>45513</v>
      </c>
      <c r="D159" t="inlineStr">
        <is>
          <t>VÄRMLANDS LÄN</t>
        </is>
      </c>
      <c r="E159" t="inlineStr">
        <is>
          <t>KRISTINEHAMN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22223-2020</t>
        </is>
      </c>
      <c r="B160" s="1" t="n">
        <v>43955</v>
      </c>
      <c r="C160" s="1" t="n">
        <v>45513</v>
      </c>
      <c r="D160" t="inlineStr">
        <is>
          <t>VÄRMLANDS LÄN</t>
        </is>
      </c>
      <c r="E160" t="inlineStr">
        <is>
          <t>KRISTINEHAMN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21578-2020</t>
        </is>
      </c>
      <c r="B161" s="1" t="n">
        <v>43956</v>
      </c>
      <c r="C161" s="1" t="n">
        <v>45513</v>
      </c>
      <c r="D161" t="inlineStr">
        <is>
          <t>VÄRMLANDS LÄN</t>
        </is>
      </c>
      <c r="E161" t="inlineStr">
        <is>
          <t>KRISTINEHAMN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23955-2020</t>
        </is>
      </c>
      <c r="B162" s="1" t="n">
        <v>43971</v>
      </c>
      <c r="C162" s="1" t="n">
        <v>45513</v>
      </c>
      <c r="D162" t="inlineStr">
        <is>
          <t>VÄRMLANDS LÄN</t>
        </is>
      </c>
      <c r="E162" t="inlineStr">
        <is>
          <t>KRISTINEHAMN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25233-2020</t>
        </is>
      </c>
      <c r="B163" s="1" t="n">
        <v>43980</v>
      </c>
      <c r="C163" s="1" t="n">
        <v>45513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Naturvårdsverket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25253-2020</t>
        </is>
      </c>
      <c r="B164" s="1" t="n">
        <v>43980</v>
      </c>
      <c r="C164" s="1" t="n">
        <v>45513</v>
      </c>
      <c r="D164" t="inlineStr">
        <is>
          <t>VÄRMLANDS LÄN</t>
        </is>
      </c>
      <c r="E164" t="inlineStr">
        <is>
          <t>KRISTINEHAMN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25570-2020</t>
        </is>
      </c>
      <c r="B165" s="1" t="n">
        <v>43980</v>
      </c>
      <c r="C165" s="1" t="n">
        <v>45513</v>
      </c>
      <c r="D165" t="inlineStr">
        <is>
          <t>VÄRMLANDS LÄN</t>
        </is>
      </c>
      <c r="E165" t="inlineStr">
        <is>
          <t>KRISTINEHAMN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25860-2020</t>
        </is>
      </c>
      <c r="B166" s="1" t="n">
        <v>43983</v>
      </c>
      <c r="C166" s="1" t="n">
        <v>45513</v>
      </c>
      <c r="D166" t="inlineStr">
        <is>
          <t>VÄRMLANDS LÄN</t>
        </is>
      </c>
      <c r="E166" t="inlineStr">
        <is>
          <t>KRISTINEHAMN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27680-2020</t>
        </is>
      </c>
      <c r="B167" s="1" t="n">
        <v>43994</v>
      </c>
      <c r="C167" s="1" t="n">
        <v>45513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28387-2020</t>
        </is>
      </c>
      <c r="B168" s="1" t="n">
        <v>43998</v>
      </c>
      <c r="C168" s="1" t="n">
        <v>45513</v>
      </c>
      <c r="D168" t="inlineStr">
        <is>
          <t>VÄRMLANDS LÄN</t>
        </is>
      </c>
      <c r="E168" t="inlineStr">
        <is>
          <t>KRISTINEHAMN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28493-2020</t>
        </is>
      </c>
      <c r="B169" s="1" t="n">
        <v>43999</v>
      </c>
      <c r="C169" s="1" t="n">
        <v>45513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Kommuner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33996-2020</t>
        </is>
      </c>
      <c r="B170" s="1" t="n">
        <v>44028</v>
      </c>
      <c r="C170" s="1" t="n">
        <v>45513</v>
      </c>
      <c r="D170" t="inlineStr">
        <is>
          <t>VÄRMLANDS LÄN</t>
        </is>
      </c>
      <c r="E170" t="inlineStr">
        <is>
          <t>KRISTINEHAMN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34166-2020</t>
        </is>
      </c>
      <c r="B171" s="1" t="n">
        <v>44029</v>
      </c>
      <c r="C171" s="1" t="n">
        <v>45513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35278-2020</t>
        </is>
      </c>
      <c r="B172" s="1" t="n">
        <v>44041</v>
      </c>
      <c r="C172" s="1" t="n">
        <v>45513</v>
      </c>
      <c r="D172" t="inlineStr">
        <is>
          <t>VÄRMLANDS LÄN</t>
        </is>
      </c>
      <c r="E172" t="inlineStr">
        <is>
          <t>KRISTINEHAMN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39443-2020</t>
        </is>
      </c>
      <c r="B173" s="1" t="n">
        <v>44064</v>
      </c>
      <c r="C173" s="1" t="n">
        <v>45513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39447-2020</t>
        </is>
      </c>
      <c r="B174" s="1" t="n">
        <v>44064</v>
      </c>
      <c r="C174" s="1" t="n">
        <v>45513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39462-2020</t>
        </is>
      </c>
      <c r="B175" s="1" t="n">
        <v>44064</v>
      </c>
      <c r="C175" s="1" t="n">
        <v>45513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39458-2020</t>
        </is>
      </c>
      <c r="B176" s="1" t="n">
        <v>44064</v>
      </c>
      <c r="C176" s="1" t="n">
        <v>45513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39538-2020</t>
        </is>
      </c>
      <c r="B177" s="1" t="n">
        <v>44064</v>
      </c>
      <c r="C177" s="1" t="n">
        <v>45513</v>
      </c>
      <c r="D177" t="inlineStr">
        <is>
          <t>VÄRMLANDS LÄN</t>
        </is>
      </c>
      <c r="E177" t="inlineStr">
        <is>
          <t>KRISTINEHAMN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39824-2020</t>
        </is>
      </c>
      <c r="B178" s="1" t="n">
        <v>44067</v>
      </c>
      <c r="C178" s="1" t="n">
        <v>45513</v>
      </c>
      <c r="D178" t="inlineStr">
        <is>
          <t>VÄRMLANDS LÄN</t>
        </is>
      </c>
      <c r="E178" t="inlineStr">
        <is>
          <t>KRISTINEHAMN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40653-2020</t>
        </is>
      </c>
      <c r="B179" s="1" t="n">
        <v>44069</v>
      </c>
      <c r="C179" s="1" t="n">
        <v>45513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40436-2020</t>
        </is>
      </c>
      <c r="B180" s="1" t="n">
        <v>44069</v>
      </c>
      <c r="C180" s="1" t="n">
        <v>45513</v>
      </c>
      <c r="D180" t="inlineStr">
        <is>
          <t>VÄRMLANDS LÄN</t>
        </is>
      </c>
      <c r="E180" t="inlineStr">
        <is>
          <t>KRISTINEHAMN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40687-2020</t>
        </is>
      </c>
      <c r="B181" s="1" t="n">
        <v>44069</v>
      </c>
      <c r="C181" s="1" t="n">
        <v>45513</v>
      </c>
      <c r="D181" t="inlineStr">
        <is>
          <t>VÄRMLANDS LÄN</t>
        </is>
      </c>
      <c r="E181" t="inlineStr">
        <is>
          <t>KRISTINEHAMN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42623-2020</t>
        </is>
      </c>
      <c r="B182" s="1" t="n">
        <v>44077</v>
      </c>
      <c r="C182" s="1" t="n">
        <v>45513</v>
      </c>
      <c r="D182" t="inlineStr">
        <is>
          <t>VÄRMLANDS LÄN</t>
        </is>
      </c>
      <c r="E182" t="inlineStr">
        <is>
          <t>KRISTINEHAMN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42627-2020</t>
        </is>
      </c>
      <c r="B183" s="1" t="n">
        <v>44077</v>
      </c>
      <c r="C183" s="1" t="n">
        <v>45513</v>
      </c>
      <c r="D183" t="inlineStr">
        <is>
          <t>VÄRMLANDS LÄN</t>
        </is>
      </c>
      <c r="E183" t="inlineStr">
        <is>
          <t>KRISTINEHAMN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43133-2020</t>
        </is>
      </c>
      <c r="B184" s="1" t="n">
        <v>44080</v>
      </c>
      <c r="C184" s="1" t="n">
        <v>45513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Bergvik skog väst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43132-2020</t>
        </is>
      </c>
      <c r="B185" s="1" t="n">
        <v>44080</v>
      </c>
      <c r="C185" s="1" t="n">
        <v>45513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43428-2020</t>
        </is>
      </c>
      <c r="B186" s="1" t="n">
        <v>44081</v>
      </c>
      <c r="C186" s="1" t="n">
        <v>45513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43426-2020</t>
        </is>
      </c>
      <c r="B187" s="1" t="n">
        <v>44081</v>
      </c>
      <c r="C187" s="1" t="n">
        <v>45513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45402-2020</t>
        </is>
      </c>
      <c r="B188" s="1" t="n">
        <v>44089</v>
      </c>
      <c r="C188" s="1" t="n">
        <v>45513</v>
      </c>
      <c r="D188" t="inlineStr">
        <is>
          <t>VÄRMLANDS LÄN</t>
        </is>
      </c>
      <c r="E188" t="inlineStr">
        <is>
          <t>KRISTINEHAMN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45269-2020</t>
        </is>
      </c>
      <c r="B189" s="1" t="n">
        <v>44089</v>
      </c>
      <c r="C189" s="1" t="n">
        <v>45513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45799-2020</t>
        </is>
      </c>
      <c r="B190" s="1" t="n">
        <v>44090</v>
      </c>
      <c r="C190" s="1" t="n">
        <v>45513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45805-2020</t>
        </is>
      </c>
      <c r="B191" s="1" t="n">
        <v>44090</v>
      </c>
      <c r="C191" s="1" t="n">
        <v>45513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45803-2020</t>
        </is>
      </c>
      <c r="B192" s="1" t="n">
        <v>44090</v>
      </c>
      <c r="C192" s="1" t="n">
        <v>45513</v>
      </c>
      <c r="D192" t="inlineStr">
        <is>
          <t>VÄRMLANDS LÄN</t>
        </is>
      </c>
      <c r="E192" t="inlineStr">
        <is>
          <t>KRISTINEHAMN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45811-2020</t>
        </is>
      </c>
      <c r="B193" s="1" t="n">
        <v>44090</v>
      </c>
      <c r="C193" s="1" t="n">
        <v>45513</v>
      </c>
      <c r="D193" t="inlineStr">
        <is>
          <t>VÄRMLANDS LÄN</t>
        </is>
      </c>
      <c r="E193" t="inlineStr">
        <is>
          <t>KRISTINEHAMN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47728-2020</t>
        </is>
      </c>
      <c r="B194" s="1" t="n">
        <v>44096</v>
      </c>
      <c r="C194" s="1" t="n">
        <v>45513</v>
      </c>
      <c r="D194" t="inlineStr">
        <is>
          <t>VÄRMLANDS LÄN</t>
        </is>
      </c>
      <c r="E194" t="inlineStr">
        <is>
          <t>KRISTINEHAMN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48677-2020</t>
        </is>
      </c>
      <c r="B195" s="1" t="n">
        <v>44098</v>
      </c>
      <c r="C195" s="1" t="n">
        <v>45513</v>
      </c>
      <c r="D195" t="inlineStr">
        <is>
          <t>VÄRMLANDS LÄN</t>
        </is>
      </c>
      <c r="E195" t="inlineStr">
        <is>
          <t>KRISTINEHAMN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48700-2020</t>
        </is>
      </c>
      <c r="B196" s="1" t="n">
        <v>44098</v>
      </c>
      <c r="C196" s="1" t="n">
        <v>45513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49382-2020</t>
        </is>
      </c>
      <c r="B197" s="1" t="n">
        <v>44105</v>
      </c>
      <c r="C197" s="1" t="n">
        <v>45513</v>
      </c>
      <c r="D197" t="inlineStr">
        <is>
          <t>VÄRMLANDS LÄN</t>
        </is>
      </c>
      <c r="E197" t="inlineStr">
        <is>
          <t>KRISTINEHAMN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50504-2020</t>
        </is>
      </c>
      <c r="B198" s="1" t="n">
        <v>44110</v>
      </c>
      <c r="C198" s="1" t="n">
        <v>45513</v>
      </c>
      <c r="D198" t="inlineStr">
        <is>
          <t>VÄRMLANDS LÄN</t>
        </is>
      </c>
      <c r="E198" t="inlineStr">
        <is>
          <t>KRISTINEHAMN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50668-2020</t>
        </is>
      </c>
      <c r="B199" s="1" t="n">
        <v>44111</v>
      </c>
      <c r="C199" s="1" t="n">
        <v>45513</v>
      </c>
      <c r="D199" t="inlineStr">
        <is>
          <t>VÄRMLANDS LÄN</t>
        </is>
      </c>
      <c r="E199" t="inlineStr">
        <is>
          <t>KRISTINEHAMN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50673-2020</t>
        </is>
      </c>
      <c r="B200" s="1" t="n">
        <v>44111</v>
      </c>
      <c r="C200" s="1" t="n">
        <v>45513</v>
      </c>
      <c r="D200" t="inlineStr">
        <is>
          <t>VÄRMLANDS LÄN</t>
        </is>
      </c>
      <c r="E200" t="inlineStr">
        <is>
          <t>KRISTINEHAMN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52577-2020</t>
        </is>
      </c>
      <c r="B201" s="1" t="n">
        <v>44118</v>
      </c>
      <c r="C201" s="1" t="n">
        <v>45513</v>
      </c>
      <c r="D201" t="inlineStr">
        <is>
          <t>VÄRMLANDS LÄN</t>
        </is>
      </c>
      <c r="E201" t="inlineStr">
        <is>
          <t>KRISTINEHAMN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53361-2020</t>
        </is>
      </c>
      <c r="B202" s="1" t="n">
        <v>44123</v>
      </c>
      <c r="C202" s="1" t="n">
        <v>45513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53362-2020</t>
        </is>
      </c>
      <c r="B203" s="1" t="n">
        <v>44123</v>
      </c>
      <c r="C203" s="1" t="n">
        <v>45513</v>
      </c>
      <c r="D203" t="inlineStr">
        <is>
          <t>VÄRMLANDS LÄN</t>
        </is>
      </c>
      <c r="E203" t="inlineStr">
        <is>
          <t>KRISTINEHAMN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56052-2020</t>
        </is>
      </c>
      <c r="B204" s="1" t="n">
        <v>44133</v>
      </c>
      <c r="C204" s="1" t="n">
        <v>45513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56045-2020</t>
        </is>
      </c>
      <c r="B205" s="1" t="n">
        <v>44133</v>
      </c>
      <c r="C205" s="1" t="n">
        <v>45513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56146-2020</t>
        </is>
      </c>
      <c r="B206" s="1" t="n">
        <v>44133</v>
      </c>
      <c r="C206" s="1" t="n">
        <v>45513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57775-2020</t>
        </is>
      </c>
      <c r="B207" s="1" t="n">
        <v>44141</v>
      </c>
      <c r="C207" s="1" t="n">
        <v>45513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57780-2020</t>
        </is>
      </c>
      <c r="B208" s="1" t="n">
        <v>44141</v>
      </c>
      <c r="C208" s="1" t="n">
        <v>45513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57776-2020</t>
        </is>
      </c>
      <c r="B209" s="1" t="n">
        <v>44141</v>
      </c>
      <c r="C209" s="1" t="n">
        <v>45513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57772-2020</t>
        </is>
      </c>
      <c r="B210" s="1" t="n">
        <v>44141</v>
      </c>
      <c r="C210" s="1" t="n">
        <v>45513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57778-2020</t>
        </is>
      </c>
      <c r="B211" s="1" t="n">
        <v>44141</v>
      </c>
      <c r="C211" s="1" t="n">
        <v>45513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57782-2020</t>
        </is>
      </c>
      <c r="B212" s="1" t="n">
        <v>44141</v>
      </c>
      <c r="C212" s="1" t="n">
        <v>45513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58201-2020</t>
        </is>
      </c>
      <c r="B213" s="1" t="n">
        <v>44144</v>
      </c>
      <c r="C213" s="1" t="n">
        <v>45513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Naturvårdsverket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61410-2020</t>
        </is>
      </c>
      <c r="B214" s="1" t="n">
        <v>44156</v>
      </c>
      <c r="C214" s="1" t="n">
        <v>45513</v>
      </c>
      <c r="D214" t="inlineStr">
        <is>
          <t>VÄRMLANDS LÄN</t>
        </is>
      </c>
      <c r="E214" t="inlineStr">
        <is>
          <t>KRISTINEHAMN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61409-2020</t>
        </is>
      </c>
      <c r="B215" s="1" t="n">
        <v>44156</v>
      </c>
      <c r="C215" s="1" t="n">
        <v>45513</v>
      </c>
      <c r="D215" t="inlineStr">
        <is>
          <t>VÄRMLANDS LÄN</t>
        </is>
      </c>
      <c r="E215" t="inlineStr">
        <is>
          <t>KRISTINEHAMN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61777-2020</t>
        </is>
      </c>
      <c r="B216" s="1" t="n">
        <v>44158</v>
      </c>
      <c r="C216" s="1" t="n">
        <v>45513</v>
      </c>
      <c r="D216" t="inlineStr">
        <is>
          <t>VÄRMLANDS LÄN</t>
        </is>
      </c>
      <c r="E216" t="inlineStr">
        <is>
          <t>KRISTINEHAMN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62165-2020</t>
        </is>
      </c>
      <c r="B217" s="1" t="n">
        <v>44159</v>
      </c>
      <c r="C217" s="1" t="n">
        <v>45513</v>
      </c>
      <c r="D217" t="inlineStr">
        <is>
          <t>VÄRMLANDS LÄN</t>
        </is>
      </c>
      <c r="E217" t="inlineStr">
        <is>
          <t>KRISTINEHAMN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62156-2020</t>
        </is>
      </c>
      <c r="B218" s="1" t="n">
        <v>44159</v>
      </c>
      <c r="C218" s="1" t="n">
        <v>45513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62167-2020</t>
        </is>
      </c>
      <c r="B219" s="1" t="n">
        <v>44159</v>
      </c>
      <c r="C219" s="1" t="n">
        <v>45513</v>
      </c>
      <c r="D219" t="inlineStr">
        <is>
          <t>VÄRMLANDS LÄN</t>
        </is>
      </c>
      <c r="E219" t="inlineStr">
        <is>
          <t>KRISTINEHAMN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62171-2020</t>
        </is>
      </c>
      <c r="B220" s="1" t="n">
        <v>44159</v>
      </c>
      <c r="C220" s="1" t="n">
        <v>45513</v>
      </c>
      <c r="D220" t="inlineStr">
        <is>
          <t>VÄRMLANDS LÄN</t>
        </is>
      </c>
      <c r="E220" t="inlineStr">
        <is>
          <t>KRISTINEHAMN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65120-2020</t>
        </is>
      </c>
      <c r="B221" s="1" t="n">
        <v>44168</v>
      </c>
      <c r="C221" s="1" t="n">
        <v>45513</v>
      </c>
      <c r="D221" t="inlineStr">
        <is>
          <t>VÄRMLANDS LÄN</t>
        </is>
      </c>
      <c r="E221" t="inlineStr">
        <is>
          <t>KRISTINEHAMN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67353-2020</t>
        </is>
      </c>
      <c r="B222" s="1" t="n">
        <v>44181</v>
      </c>
      <c r="C222" s="1" t="n">
        <v>45513</v>
      </c>
      <c r="D222" t="inlineStr">
        <is>
          <t>VÄRMLANDS LÄN</t>
        </is>
      </c>
      <c r="E222" t="inlineStr">
        <is>
          <t>KRISTINEHAMN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69237-2020</t>
        </is>
      </c>
      <c r="B223" s="1" t="n">
        <v>44192</v>
      </c>
      <c r="C223" s="1" t="n">
        <v>45513</v>
      </c>
      <c r="D223" t="inlineStr">
        <is>
          <t>VÄRMLANDS LÄN</t>
        </is>
      </c>
      <c r="E223" t="inlineStr">
        <is>
          <t>KRISTINEHAMN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69384-2020</t>
        </is>
      </c>
      <c r="B224" s="1" t="n">
        <v>44193</v>
      </c>
      <c r="C224" s="1" t="n">
        <v>45513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69492-2020</t>
        </is>
      </c>
      <c r="B225" s="1" t="n">
        <v>44194</v>
      </c>
      <c r="C225" s="1" t="n">
        <v>45513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69661-2020</t>
        </is>
      </c>
      <c r="B226" s="1" t="n">
        <v>44195</v>
      </c>
      <c r="C226" s="1" t="n">
        <v>45513</v>
      </c>
      <c r="D226" t="inlineStr">
        <is>
          <t>VÄRMLANDS LÄN</t>
        </is>
      </c>
      <c r="E226" t="inlineStr">
        <is>
          <t>KRISTINEHAMN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105-2021</t>
        </is>
      </c>
      <c r="B227" s="1" t="n">
        <v>44200</v>
      </c>
      <c r="C227" s="1" t="n">
        <v>45513</v>
      </c>
      <c r="D227" t="inlineStr">
        <is>
          <t>VÄRMLANDS LÄN</t>
        </is>
      </c>
      <c r="E227" t="inlineStr">
        <is>
          <t>KRISTINEHAMN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1974-2021</t>
        </is>
      </c>
      <c r="B228" s="1" t="n">
        <v>44210</v>
      </c>
      <c r="C228" s="1" t="n">
        <v>45513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2107-2021</t>
        </is>
      </c>
      <c r="B229" s="1" t="n">
        <v>44210</v>
      </c>
      <c r="C229" s="1" t="n">
        <v>45513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2059-2021</t>
        </is>
      </c>
      <c r="B230" s="1" t="n">
        <v>44210</v>
      </c>
      <c r="C230" s="1" t="n">
        <v>45513</v>
      </c>
      <c r="D230" t="inlineStr">
        <is>
          <t>VÄRMLANDS LÄN</t>
        </is>
      </c>
      <c r="E230" t="inlineStr">
        <is>
          <t>KRISTINEHAMN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2114-2021</t>
        </is>
      </c>
      <c r="B231" s="1" t="n">
        <v>44210</v>
      </c>
      <c r="C231" s="1" t="n">
        <v>45513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2031-2021</t>
        </is>
      </c>
      <c r="B232" s="1" t="n">
        <v>44211</v>
      </c>
      <c r="C232" s="1" t="n">
        <v>45513</v>
      </c>
      <c r="D232" t="inlineStr">
        <is>
          <t>VÄRMLANDS LÄN</t>
        </is>
      </c>
      <c r="E232" t="inlineStr">
        <is>
          <t>KRISTINEHAMN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4083-2021</t>
        </is>
      </c>
      <c r="B233" s="1" t="n">
        <v>44222</v>
      </c>
      <c r="C233" s="1" t="n">
        <v>45513</v>
      </c>
      <c r="D233" t="inlineStr">
        <is>
          <t>VÄRMLANDS LÄN</t>
        </is>
      </c>
      <c r="E233" t="inlineStr">
        <is>
          <t>KRISTINEHAMN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6194-2021</t>
        </is>
      </c>
      <c r="B234" s="1" t="n">
        <v>44234</v>
      </c>
      <c r="C234" s="1" t="n">
        <v>45513</v>
      </c>
      <c r="D234" t="inlineStr">
        <is>
          <t>VÄRMLANDS LÄN</t>
        </is>
      </c>
      <c r="E234" t="inlineStr">
        <is>
          <t>KRISTINEHAMN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6505-2021</t>
        </is>
      </c>
      <c r="B235" s="1" t="n">
        <v>44236</v>
      </c>
      <c r="C235" s="1" t="n">
        <v>45513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8600-2021</t>
        </is>
      </c>
      <c r="B236" s="1" t="n">
        <v>44245</v>
      </c>
      <c r="C236" s="1" t="n">
        <v>45513</v>
      </c>
      <c r="D236" t="inlineStr">
        <is>
          <t>VÄRMLANDS LÄN</t>
        </is>
      </c>
      <c r="E236" t="inlineStr">
        <is>
          <t>KRISTINEHAMN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9687-2021</t>
        </is>
      </c>
      <c r="B237" s="1" t="n">
        <v>44252</v>
      </c>
      <c r="C237" s="1" t="n">
        <v>45513</v>
      </c>
      <c r="D237" t="inlineStr">
        <is>
          <t>VÄRMLANDS LÄN</t>
        </is>
      </c>
      <c r="E237" t="inlineStr">
        <is>
          <t>KRISTINEHAMN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10104-2021</t>
        </is>
      </c>
      <c r="B238" s="1" t="n">
        <v>44256</v>
      </c>
      <c r="C238" s="1" t="n">
        <v>45513</v>
      </c>
      <c r="D238" t="inlineStr">
        <is>
          <t>VÄRMLANDS LÄN</t>
        </is>
      </c>
      <c r="E238" t="inlineStr">
        <is>
          <t>KRISTINEHAMN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10111-2021</t>
        </is>
      </c>
      <c r="B239" s="1" t="n">
        <v>44256</v>
      </c>
      <c r="C239" s="1" t="n">
        <v>45513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10103-2021</t>
        </is>
      </c>
      <c r="B240" s="1" t="n">
        <v>44256</v>
      </c>
      <c r="C240" s="1" t="n">
        <v>45513</v>
      </c>
      <c r="D240" t="inlineStr">
        <is>
          <t>VÄRMLANDS LÄN</t>
        </is>
      </c>
      <c r="E240" t="inlineStr">
        <is>
          <t>KRISTINEHAMN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10109-2021</t>
        </is>
      </c>
      <c r="B241" s="1" t="n">
        <v>44256</v>
      </c>
      <c r="C241" s="1" t="n">
        <v>45513</v>
      </c>
      <c r="D241" t="inlineStr">
        <is>
          <t>VÄRMLANDS LÄN</t>
        </is>
      </c>
      <c r="E241" t="inlineStr">
        <is>
          <t>KRISTINEHAMN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10184-2021</t>
        </is>
      </c>
      <c r="B242" s="1" t="n">
        <v>44256</v>
      </c>
      <c r="C242" s="1" t="n">
        <v>45513</v>
      </c>
      <c r="D242" t="inlineStr">
        <is>
          <t>VÄRMLANDS LÄN</t>
        </is>
      </c>
      <c r="E242" t="inlineStr">
        <is>
          <t>KRISTINEHAMN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10182-2021</t>
        </is>
      </c>
      <c r="B243" s="1" t="n">
        <v>44256</v>
      </c>
      <c r="C243" s="1" t="n">
        <v>45513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10102-2021</t>
        </is>
      </c>
      <c r="B244" s="1" t="n">
        <v>44256</v>
      </c>
      <c r="C244" s="1" t="n">
        <v>45513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10108-2021</t>
        </is>
      </c>
      <c r="B245" s="1" t="n">
        <v>44256</v>
      </c>
      <c r="C245" s="1" t="n">
        <v>45513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10175-2021</t>
        </is>
      </c>
      <c r="B246" s="1" t="n">
        <v>44256</v>
      </c>
      <c r="C246" s="1" t="n">
        <v>45513</v>
      </c>
      <c r="D246" t="inlineStr">
        <is>
          <t>VÄRMLANDS LÄN</t>
        </is>
      </c>
      <c r="E246" t="inlineStr">
        <is>
          <t>KRISTINEHAMN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10190-2021</t>
        </is>
      </c>
      <c r="B247" s="1" t="n">
        <v>44256</v>
      </c>
      <c r="C247" s="1" t="n">
        <v>45513</v>
      </c>
      <c r="D247" t="inlineStr">
        <is>
          <t>VÄRMLANDS LÄN</t>
        </is>
      </c>
      <c r="E247" t="inlineStr">
        <is>
          <t>KRISTINEHAMN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10107-2021</t>
        </is>
      </c>
      <c r="B248" s="1" t="n">
        <v>44256</v>
      </c>
      <c r="C248" s="1" t="n">
        <v>45513</v>
      </c>
      <c r="D248" t="inlineStr">
        <is>
          <t>VÄRMLANDS LÄN</t>
        </is>
      </c>
      <c r="E248" t="inlineStr">
        <is>
          <t>KRISTINEHAMN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10494-2021</t>
        </is>
      </c>
      <c r="B249" s="1" t="n">
        <v>44258</v>
      </c>
      <c r="C249" s="1" t="n">
        <v>45513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11921-2021</t>
        </is>
      </c>
      <c r="B250" s="1" t="n">
        <v>44265</v>
      </c>
      <c r="C250" s="1" t="n">
        <v>45513</v>
      </c>
      <c r="D250" t="inlineStr">
        <is>
          <t>VÄRMLANDS LÄN</t>
        </is>
      </c>
      <c r="E250" t="inlineStr">
        <is>
          <t>KRISTINEHAMN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12542-2021</t>
        </is>
      </c>
      <c r="B251" s="1" t="n">
        <v>44270</v>
      </c>
      <c r="C251" s="1" t="n">
        <v>45513</v>
      </c>
      <c r="D251" t="inlineStr">
        <is>
          <t>VÄRMLANDS LÄN</t>
        </is>
      </c>
      <c r="E251" t="inlineStr">
        <is>
          <t>KRISTINEHAMN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12541-2021</t>
        </is>
      </c>
      <c r="B252" s="1" t="n">
        <v>44270</v>
      </c>
      <c r="C252" s="1" t="n">
        <v>45513</v>
      </c>
      <c r="D252" t="inlineStr">
        <is>
          <t>VÄRMLANDS LÄN</t>
        </is>
      </c>
      <c r="E252" t="inlineStr">
        <is>
          <t>KRISTINEHAMN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13914-2021</t>
        </is>
      </c>
      <c r="B253" s="1" t="n">
        <v>44277</v>
      </c>
      <c r="C253" s="1" t="n">
        <v>45513</v>
      </c>
      <c r="D253" t="inlineStr">
        <is>
          <t>VÄRMLANDS LÄN</t>
        </is>
      </c>
      <c r="E253" t="inlineStr">
        <is>
          <t>KRISTINEHAMN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14808-2021</t>
        </is>
      </c>
      <c r="B254" s="1" t="n">
        <v>44280</v>
      </c>
      <c r="C254" s="1" t="n">
        <v>45513</v>
      </c>
      <c r="D254" t="inlineStr">
        <is>
          <t>VÄRMLANDS LÄN</t>
        </is>
      </c>
      <c r="E254" t="inlineStr">
        <is>
          <t>KRISTINEHAMN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15577-2021</t>
        </is>
      </c>
      <c r="B255" s="1" t="n">
        <v>44285</v>
      </c>
      <c r="C255" s="1" t="n">
        <v>45513</v>
      </c>
      <c r="D255" t="inlineStr">
        <is>
          <t>VÄRMLANDS LÄN</t>
        </is>
      </c>
      <c r="E255" t="inlineStr">
        <is>
          <t>KRISTINEHAMN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18232-2021</t>
        </is>
      </c>
      <c r="B256" s="1" t="n">
        <v>44303</v>
      </c>
      <c r="C256" s="1" t="n">
        <v>45513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Kommuner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19349-2021</t>
        </is>
      </c>
      <c r="B257" s="1" t="n">
        <v>44309</v>
      </c>
      <c r="C257" s="1" t="n">
        <v>45513</v>
      </c>
      <c r="D257" t="inlineStr">
        <is>
          <t>VÄRMLANDS LÄN</t>
        </is>
      </c>
      <c r="E257" t="inlineStr">
        <is>
          <t>KRISTINEHAMN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23567-2021</t>
        </is>
      </c>
      <c r="B258" s="1" t="n">
        <v>44333</v>
      </c>
      <c r="C258" s="1" t="n">
        <v>45513</v>
      </c>
      <c r="D258" t="inlineStr">
        <is>
          <t>VÄRMLANDS LÄN</t>
        </is>
      </c>
      <c r="E258" t="inlineStr">
        <is>
          <t>KRISTINEHAMN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23576-2021</t>
        </is>
      </c>
      <c r="B259" s="1" t="n">
        <v>44334</v>
      </c>
      <c r="C259" s="1" t="n">
        <v>45513</v>
      </c>
      <c r="D259" t="inlineStr">
        <is>
          <t>VÄRMLANDS LÄN</t>
        </is>
      </c>
      <c r="E259" t="inlineStr">
        <is>
          <t>KRISTINEHAMN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23562-2021</t>
        </is>
      </c>
      <c r="B260" s="1" t="n">
        <v>44334</v>
      </c>
      <c r="C260" s="1" t="n">
        <v>45513</v>
      </c>
      <c r="D260" t="inlineStr">
        <is>
          <t>VÄRMLANDS LÄN</t>
        </is>
      </c>
      <c r="E260" t="inlineStr">
        <is>
          <t>KRISTINEHAMN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23933-2021</t>
        </is>
      </c>
      <c r="B261" s="1" t="n">
        <v>44335</v>
      </c>
      <c r="C261" s="1" t="n">
        <v>45513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23940-2021</t>
        </is>
      </c>
      <c r="B262" s="1" t="n">
        <v>44335</v>
      </c>
      <c r="C262" s="1" t="n">
        <v>45513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24334-2021</t>
        </is>
      </c>
      <c r="B263" s="1" t="n">
        <v>44337</v>
      </c>
      <c r="C263" s="1" t="n">
        <v>45513</v>
      </c>
      <c r="D263" t="inlineStr">
        <is>
          <t>VÄRMLANDS LÄN</t>
        </is>
      </c>
      <c r="E263" t="inlineStr">
        <is>
          <t>KRISTINEHAMN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25209-2021</t>
        </is>
      </c>
      <c r="B264" s="1" t="n">
        <v>44342</v>
      </c>
      <c r="C264" s="1" t="n">
        <v>45513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25206-2021</t>
        </is>
      </c>
      <c r="B265" s="1" t="n">
        <v>44342</v>
      </c>
      <c r="C265" s="1" t="n">
        <v>45513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25208-2021</t>
        </is>
      </c>
      <c r="B266" s="1" t="n">
        <v>44342</v>
      </c>
      <c r="C266" s="1" t="n">
        <v>45513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25207-2021</t>
        </is>
      </c>
      <c r="B267" s="1" t="n">
        <v>44342</v>
      </c>
      <c r="C267" s="1" t="n">
        <v>45513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26317-2021</t>
        </is>
      </c>
      <c r="B268" s="1" t="n">
        <v>44347</v>
      </c>
      <c r="C268" s="1" t="n">
        <v>45513</v>
      </c>
      <c r="D268" t="inlineStr">
        <is>
          <t>VÄRMLANDS LÄN</t>
        </is>
      </c>
      <c r="E268" t="inlineStr">
        <is>
          <t>KRISTINEHAMN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26427-2021</t>
        </is>
      </c>
      <c r="B269" s="1" t="n">
        <v>44347</v>
      </c>
      <c r="C269" s="1" t="n">
        <v>45513</v>
      </c>
      <c r="D269" t="inlineStr">
        <is>
          <t>VÄRMLANDS LÄN</t>
        </is>
      </c>
      <c r="E269" t="inlineStr">
        <is>
          <t>KRISTINEHAMN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27420-2021</t>
        </is>
      </c>
      <c r="B270" s="1" t="n">
        <v>44351</v>
      </c>
      <c r="C270" s="1" t="n">
        <v>45513</v>
      </c>
      <c r="D270" t="inlineStr">
        <is>
          <t>VÄRMLANDS LÄN</t>
        </is>
      </c>
      <c r="E270" t="inlineStr">
        <is>
          <t>KRISTINEHAMN</t>
        </is>
      </c>
      <c r="G270" t="n">
        <v>12.5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27815-2021</t>
        </is>
      </c>
      <c r="B271" s="1" t="n">
        <v>44354</v>
      </c>
      <c r="C271" s="1" t="n">
        <v>45513</v>
      </c>
      <c r="D271" t="inlineStr">
        <is>
          <t>VÄRMLANDS LÄN</t>
        </is>
      </c>
      <c r="E271" t="inlineStr">
        <is>
          <t>KRISTINEHAMN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27836-2021</t>
        </is>
      </c>
      <c r="B272" s="1" t="n">
        <v>44354</v>
      </c>
      <c r="C272" s="1" t="n">
        <v>45513</v>
      </c>
      <c r="D272" t="inlineStr">
        <is>
          <t>VÄRMLANDS LÄN</t>
        </is>
      </c>
      <c r="E272" t="inlineStr">
        <is>
          <t>KRISTINEHAMN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28084-2021</t>
        </is>
      </c>
      <c r="B273" s="1" t="n">
        <v>44355</v>
      </c>
      <c r="C273" s="1" t="n">
        <v>45513</v>
      </c>
      <c r="D273" t="inlineStr">
        <is>
          <t>VÄRMLANDS LÄN</t>
        </is>
      </c>
      <c r="E273" t="inlineStr">
        <is>
          <t>KRISTINEHAMN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28529-2021</t>
        </is>
      </c>
      <c r="B274" s="1" t="n">
        <v>44356</v>
      </c>
      <c r="C274" s="1" t="n">
        <v>45513</v>
      </c>
      <c r="D274" t="inlineStr">
        <is>
          <t>VÄRMLANDS LÄN</t>
        </is>
      </c>
      <c r="E274" t="inlineStr">
        <is>
          <t>KRISTINEHAMN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29340-2021</t>
        </is>
      </c>
      <c r="B275" s="1" t="n">
        <v>44361</v>
      </c>
      <c r="C275" s="1" t="n">
        <v>45513</v>
      </c>
      <c r="D275" t="inlineStr">
        <is>
          <t>VÄRMLANDS LÄN</t>
        </is>
      </c>
      <c r="E275" t="inlineStr">
        <is>
          <t>KRISTINEHAMN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30678-2021</t>
        </is>
      </c>
      <c r="B276" s="1" t="n">
        <v>44365</v>
      </c>
      <c r="C276" s="1" t="n">
        <v>45513</v>
      </c>
      <c r="D276" t="inlineStr">
        <is>
          <t>VÄRMLANDS LÄN</t>
        </is>
      </c>
      <c r="E276" t="inlineStr">
        <is>
          <t>KRISTINEHAMN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30685-2021</t>
        </is>
      </c>
      <c r="B277" s="1" t="n">
        <v>44365</v>
      </c>
      <c r="C277" s="1" t="n">
        <v>45513</v>
      </c>
      <c r="D277" t="inlineStr">
        <is>
          <t>VÄRMLANDS LÄN</t>
        </is>
      </c>
      <c r="E277" t="inlineStr">
        <is>
          <t>KRISTINEHAMN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30701-2021</t>
        </is>
      </c>
      <c r="B278" s="1" t="n">
        <v>44365</v>
      </c>
      <c r="C278" s="1" t="n">
        <v>45513</v>
      </c>
      <c r="D278" t="inlineStr">
        <is>
          <t>VÄRMLANDS LÄN</t>
        </is>
      </c>
      <c r="E278" t="inlineStr">
        <is>
          <t>KRISTINEHAMN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33291-2021</t>
        </is>
      </c>
      <c r="B279" s="1" t="n">
        <v>44377</v>
      </c>
      <c r="C279" s="1" t="n">
        <v>45513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34299-2021</t>
        </is>
      </c>
      <c r="B280" s="1" t="n">
        <v>44379</v>
      </c>
      <c r="C280" s="1" t="n">
        <v>45513</v>
      </c>
      <c r="D280" t="inlineStr">
        <is>
          <t>VÄRMLANDS LÄN</t>
        </is>
      </c>
      <c r="E280" t="inlineStr">
        <is>
          <t>KRISTINEHAMN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34430-2021</t>
        </is>
      </c>
      <c r="B281" s="1" t="n">
        <v>44380</v>
      </c>
      <c r="C281" s="1" t="n">
        <v>45513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35947-2021</t>
        </is>
      </c>
      <c r="B282" s="1" t="n">
        <v>44388</v>
      </c>
      <c r="C282" s="1" t="n">
        <v>45513</v>
      </c>
      <c r="D282" t="inlineStr">
        <is>
          <t>VÄRMLANDS LÄN</t>
        </is>
      </c>
      <c r="E282" t="inlineStr">
        <is>
          <t>KRISTINEHAMN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35978-2021</t>
        </is>
      </c>
      <c r="B283" s="1" t="n">
        <v>44389</v>
      </c>
      <c r="C283" s="1" t="n">
        <v>45513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35973-2021</t>
        </is>
      </c>
      <c r="B284" s="1" t="n">
        <v>44389</v>
      </c>
      <c r="C284" s="1" t="n">
        <v>45513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35975-2021</t>
        </is>
      </c>
      <c r="B285" s="1" t="n">
        <v>44389</v>
      </c>
      <c r="C285" s="1" t="n">
        <v>45513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36961-2021</t>
        </is>
      </c>
      <c r="B286" s="1" t="n">
        <v>44393</v>
      </c>
      <c r="C286" s="1" t="n">
        <v>45513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36960-2021</t>
        </is>
      </c>
      <c r="B287" s="1" t="n">
        <v>44393</v>
      </c>
      <c r="C287" s="1" t="n">
        <v>45513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36955-2021</t>
        </is>
      </c>
      <c r="B288" s="1" t="n">
        <v>44393</v>
      </c>
      <c r="C288" s="1" t="n">
        <v>45513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38490-2021</t>
        </is>
      </c>
      <c r="B289" s="1" t="n">
        <v>44407</v>
      </c>
      <c r="C289" s="1" t="n">
        <v>45513</v>
      </c>
      <c r="D289" t="inlineStr">
        <is>
          <t>VÄRMLANDS LÄN</t>
        </is>
      </c>
      <c r="E289" t="inlineStr">
        <is>
          <t>KRISTINEHAMN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39653-2021</t>
        </is>
      </c>
      <c r="B290" s="1" t="n">
        <v>44413</v>
      </c>
      <c r="C290" s="1" t="n">
        <v>45513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39638-2021</t>
        </is>
      </c>
      <c r="B291" s="1" t="n">
        <v>44413</v>
      </c>
      <c r="C291" s="1" t="n">
        <v>45513</v>
      </c>
      <c r="D291" t="inlineStr">
        <is>
          <t>VÄRMLANDS LÄN</t>
        </is>
      </c>
      <c r="E291" t="inlineStr">
        <is>
          <t>KRISTINEHAMN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39628-2021</t>
        </is>
      </c>
      <c r="B292" s="1" t="n">
        <v>44413</v>
      </c>
      <c r="C292" s="1" t="n">
        <v>45513</v>
      </c>
      <c r="D292" t="inlineStr">
        <is>
          <t>VÄRMLANDS LÄN</t>
        </is>
      </c>
      <c r="E292" t="inlineStr">
        <is>
          <t>KRISTINEHAMN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39659-2021</t>
        </is>
      </c>
      <c r="B293" s="1" t="n">
        <v>44413</v>
      </c>
      <c r="C293" s="1" t="n">
        <v>45513</v>
      </c>
      <c r="D293" t="inlineStr">
        <is>
          <t>VÄRMLANDS LÄN</t>
        </is>
      </c>
      <c r="E293" t="inlineStr">
        <is>
          <t>KRISTINEHAMN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40243-2021</t>
        </is>
      </c>
      <c r="B294" s="1" t="n">
        <v>44419</v>
      </c>
      <c r="C294" s="1" t="n">
        <v>45513</v>
      </c>
      <c r="D294" t="inlineStr">
        <is>
          <t>VÄRMLANDS LÄN</t>
        </is>
      </c>
      <c r="E294" t="inlineStr">
        <is>
          <t>KRISTINEHAMN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40988-2021</t>
        </is>
      </c>
      <c r="B295" s="1" t="n">
        <v>44421</v>
      </c>
      <c r="C295" s="1" t="n">
        <v>45513</v>
      </c>
      <c r="D295" t="inlineStr">
        <is>
          <t>VÄRMLANDS LÄN</t>
        </is>
      </c>
      <c r="E295" t="inlineStr">
        <is>
          <t>KRISTINEHAMN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41297-2021</t>
        </is>
      </c>
      <c r="B296" s="1" t="n">
        <v>44424</v>
      </c>
      <c r="C296" s="1" t="n">
        <v>45513</v>
      </c>
      <c r="D296" t="inlineStr">
        <is>
          <t>VÄRMLANDS LÄN</t>
        </is>
      </c>
      <c r="E296" t="inlineStr">
        <is>
          <t>KRISTINEHAMN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42220-2021</t>
        </is>
      </c>
      <c r="B297" s="1" t="n">
        <v>44426</v>
      </c>
      <c r="C297" s="1" t="n">
        <v>45513</v>
      </c>
      <c r="D297" t="inlineStr">
        <is>
          <t>VÄRMLANDS LÄN</t>
        </is>
      </c>
      <c r="E297" t="inlineStr">
        <is>
          <t>KRISTINEHAMN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42947-2021</t>
        </is>
      </c>
      <c r="B298" s="1" t="n">
        <v>44431</v>
      </c>
      <c r="C298" s="1" t="n">
        <v>45513</v>
      </c>
      <c r="D298" t="inlineStr">
        <is>
          <t>VÄRMLANDS LÄN</t>
        </is>
      </c>
      <c r="E298" t="inlineStr">
        <is>
          <t>KRISTINEHAMN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45481-2021</t>
        </is>
      </c>
      <c r="B299" s="1" t="n">
        <v>44440</v>
      </c>
      <c r="C299" s="1" t="n">
        <v>45513</v>
      </c>
      <c r="D299" t="inlineStr">
        <is>
          <t>VÄRMLANDS LÄN</t>
        </is>
      </c>
      <c r="E299" t="inlineStr">
        <is>
          <t>KRISTINEHAMN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45690-2021</t>
        </is>
      </c>
      <c r="B300" s="1" t="n">
        <v>44441</v>
      </c>
      <c r="C300" s="1" t="n">
        <v>45513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45659-2021</t>
        </is>
      </c>
      <c r="B301" s="1" t="n">
        <v>44441</v>
      </c>
      <c r="C301" s="1" t="n">
        <v>45513</v>
      </c>
      <c r="D301" t="inlineStr">
        <is>
          <t>VÄRMLANDS LÄN</t>
        </is>
      </c>
      <c r="E301" t="inlineStr">
        <is>
          <t>KRISTINEHAMN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45662-2021</t>
        </is>
      </c>
      <c r="B302" s="1" t="n">
        <v>44441</v>
      </c>
      <c r="C302" s="1" t="n">
        <v>45513</v>
      </c>
      <c r="D302" t="inlineStr">
        <is>
          <t>VÄRMLANDS LÄN</t>
        </is>
      </c>
      <c r="E302" t="inlineStr">
        <is>
          <t>KRISTINEHAMN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46861-2021</t>
        </is>
      </c>
      <c r="B303" s="1" t="n">
        <v>44446</v>
      </c>
      <c r="C303" s="1" t="n">
        <v>45513</v>
      </c>
      <c r="D303" t="inlineStr">
        <is>
          <t>VÄRMLANDS LÄN</t>
        </is>
      </c>
      <c r="E303" t="inlineStr">
        <is>
          <t>KRISTINEHAMN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47952-2021</t>
        </is>
      </c>
      <c r="B304" s="1" t="n">
        <v>44448</v>
      </c>
      <c r="C304" s="1" t="n">
        <v>45513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47950-2021</t>
        </is>
      </c>
      <c r="B305" s="1" t="n">
        <v>44448</v>
      </c>
      <c r="C305" s="1" t="n">
        <v>45513</v>
      </c>
      <c r="D305" t="inlineStr">
        <is>
          <t>VÄRMLANDS LÄN</t>
        </is>
      </c>
      <c r="E305" t="inlineStr">
        <is>
          <t>KRISTINEHAMN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47951-2021</t>
        </is>
      </c>
      <c r="B306" s="1" t="n">
        <v>44448</v>
      </c>
      <c r="C306" s="1" t="n">
        <v>45513</v>
      </c>
      <c r="D306" t="inlineStr">
        <is>
          <t>VÄRMLANDS LÄN</t>
        </is>
      </c>
      <c r="E306" t="inlineStr">
        <is>
          <t>KRISTINEHAMN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47949-2021</t>
        </is>
      </c>
      <c r="B307" s="1" t="n">
        <v>44448</v>
      </c>
      <c r="C307" s="1" t="n">
        <v>45513</v>
      </c>
      <c r="D307" t="inlineStr">
        <is>
          <t>VÄRMLANDS LÄN</t>
        </is>
      </c>
      <c r="E307" t="inlineStr">
        <is>
          <t>KRISTINEHAMN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48205-2021</t>
        </is>
      </c>
      <c r="B308" s="1" t="n">
        <v>44449</v>
      </c>
      <c r="C308" s="1" t="n">
        <v>45513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48206-2021</t>
        </is>
      </c>
      <c r="B309" s="1" t="n">
        <v>44449</v>
      </c>
      <c r="C309" s="1" t="n">
        <v>45513</v>
      </c>
      <c r="D309" t="inlineStr">
        <is>
          <t>VÄRMLANDS LÄN</t>
        </is>
      </c>
      <c r="E309" t="inlineStr">
        <is>
          <t>KRISTINEHAMN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48416-2021</t>
        </is>
      </c>
      <c r="B310" s="1" t="n">
        <v>44452</v>
      </c>
      <c r="C310" s="1" t="n">
        <v>45513</v>
      </c>
      <c r="D310" t="inlineStr">
        <is>
          <t>VÄRMLANDS LÄN</t>
        </is>
      </c>
      <c r="E310" t="inlineStr">
        <is>
          <t>KRISTINEHAMN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49338-2021</t>
        </is>
      </c>
      <c r="B311" s="1" t="n">
        <v>44454</v>
      </c>
      <c r="C311" s="1" t="n">
        <v>45513</v>
      </c>
      <c r="D311" t="inlineStr">
        <is>
          <t>VÄRMLANDS LÄN</t>
        </is>
      </c>
      <c r="E311" t="inlineStr">
        <is>
          <t>KRISTINEHAMN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49335-2021</t>
        </is>
      </c>
      <c r="B312" s="1" t="n">
        <v>44454</v>
      </c>
      <c r="C312" s="1" t="n">
        <v>45513</v>
      </c>
      <c r="D312" t="inlineStr">
        <is>
          <t>VÄRMLANDS LÄN</t>
        </is>
      </c>
      <c r="E312" t="inlineStr">
        <is>
          <t>KRISTINEHAMN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49348-2021</t>
        </is>
      </c>
      <c r="B313" s="1" t="n">
        <v>44454</v>
      </c>
      <c r="C313" s="1" t="n">
        <v>45513</v>
      </c>
      <c r="D313" t="inlineStr">
        <is>
          <t>VÄRMLANDS LÄN</t>
        </is>
      </c>
      <c r="E313" t="inlineStr">
        <is>
          <t>KRISTINEHAMN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49714-2021</t>
        </is>
      </c>
      <c r="B314" s="1" t="n">
        <v>44455</v>
      </c>
      <c r="C314" s="1" t="n">
        <v>45513</v>
      </c>
      <c r="D314" t="inlineStr">
        <is>
          <t>VÄRMLANDS LÄN</t>
        </is>
      </c>
      <c r="E314" t="inlineStr">
        <is>
          <t>KRISTINEHAMN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51958-2021</t>
        </is>
      </c>
      <c r="B315" s="1" t="n">
        <v>44462</v>
      </c>
      <c r="C315" s="1" t="n">
        <v>45513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52750-2021</t>
        </is>
      </c>
      <c r="B316" s="1" t="n">
        <v>44466</v>
      </c>
      <c r="C316" s="1" t="n">
        <v>45513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52836-2021</t>
        </is>
      </c>
      <c r="B317" s="1" t="n">
        <v>44466</v>
      </c>
      <c r="C317" s="1" t="n">
        <v>45513</v>
      </c>
      <c r="D317" t="inlineStr">
        <is>
          <t>VÄRMLANDS LÄN</t>
        </is>
      </c>
      <c r="E317" t="inlineStr">
        <is>
          <t>KRISTINEHAMN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52853-2021</t>
        </is>
      </c>
      <c r="B318" s="1" t="n">
        <v>44466</v>
      </c>
      <c r="C318" s="1" t="n">
        <v>45513</v>
      </c>
      <c r="D318" t="inlineStr">
        <is>
          <t>VÄRMLANDS LÄN</t>
        </is>
      </c>
      <c r="E318" t="inlineStr">
        <is>
          <t>KRISTINEHAMN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53300-2021</t>
        </is>
      </c>
      <c r="B319" s="1" t="n">
        <v>44468</v>
      </c>
      <c r="C319" s="1" t="n">
        <v>45513</v>
      </c>
      <c r="D319" t="inlineStr">
        <is>
          <t>VÄRMLANDS LÄN</t>
        </is>
      </c>
      <c r="E319" t="inlineStr">
        <is>
          <t>KRISTINEHAMN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54140-2021</t>
        </is>
      </c>
      <c r="B320" s="1" t="n">
        <v>44470</v>
      </c>
      <c r="C320" s="1" t="n">
        <v>45513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54603-2021</t>
        </is>
      </c>
      <c r="B321" s="1" t="n">
        <v>44473</v>
      </c>
      <c r="C321" s="1" t="n">
        <v>45513</v>
      </c>
      <c r="D321" t="inlineStr">
        <is>
          <t>VÄRMLANDS LÄN</t>
        </is>
      </c>
      <c r="E321" t="inlineStr">
        <is>
          <t>KRISTINEHAMN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54606-2021</t>
        </is>
      </c>
      <c r="B322" s="1" t="n">
        <v>44473</v>
      </c>
      <c r="C322" s="1" t="n">
        <v>45513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55003-2021</t>
        </is>
      </c>
      <c r="B323" s="1" t="n">
        <v>44474</v>
      </c>
      <c r="C323" s="1" t="n">
        <v>45513</v>
      </c>
      <c r="D323" t="inlineStr">
        <is>
          <t>VÄRMLANDS LÄN</t>
        </is>
      </c>
      <c r="E323" t="inlineStr">
        <is>
          <t>KRISTINEHAMN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56522-2021</t>
        </is>
      </c>
      <c r="B324" s="1" t="n">
        <v>44480</v>
      </c>
      <c r="C324" s="1" t="n">
        <v>45513</v>
      </c>
      <c r="D324" t="inlineStr">
        <is>
          <t>VÄRMLANDS LÄN</t>
        </is>
      </c>
      <c r="E324" t="inlineStr">
        <is>
          <t>KRISTINEHAMN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58616-2021</t>
        </is>
      </c>
      <c r="B325" s="1" t="n">
        <v>44489</v>
      </c>
      <c r="C325" s="1" t="n">
        <v>45513</v>
      </c>
      <c r="D325" t="inlineStr">
        <is>
          <t>VÄRMLANDS LÄN</t>
        </is>
      </c>
      <c r="E325" t="inlineStr">
        <is>
          <t>KRISTINEHAMN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59144-2021</t>
        </is>
      </c>
      <c r="B326" s="1" t="n">
        <v>44490</v>
      </c>
      <c r="C326" s="1" t="n">
        <v>45513</v>
      </c>
      <c r="D326" t="inlineStr">
        <is>
          <t>VÄRMLANDS LÄN</t>
        </is>
      </c>
      <c r="E326" t="inlineStr">
        <is>
          <t>KRISTINEHAMN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61034-2021</t>
        </is>
      </c>
      <c r="B327" s="1" t="n">
        <v>44497</v>
      </c>
      <c r="C327" s="1" t="n">
        <v>45513</v>
      </c>
      <c r="D327" t="inlineStr">
        <is>
          <t>VÄRMLANDS LÄN</t>
        </is>
      </c>
      <c r="E327" t="inlineStr">
        <is>
          <t>KRISTINEHAMN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61036-2021</t>
        </is>
      </c>
      <c r="B328" s="1" t="n">
        <v>44497</v>
      </c>
      <c r="C328" s="1" t="n">
        <v>45513</v>
      </c>
      <c r="D328" t="inlineStr">
        <is>
          <t>VÄRMLANDS LÄN</t>
        </is>
      </c>
      <c r="E328" t="inlineStr">
        <is>
          <t>KRISTINEHAMN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61133-2021</t>
        </is>
      </c>
      <c r="B329" s="1" t="n">
        <v>44498</v>
      </c>
      <c r="C329" s="1" t="n">
        <v>45513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61707-2021</t>
        </is>
      </c>
      <c r="B330" s="1" t="n">
        <v>44501</v>
      </c>
      <c r="C330" s="1" t="n">
        <v>45513</v>
      </c>
      <c r="D330" t="inlineStr">
        <is>
          <t>VÄRMLANDS LÄN</t>
        </is>
      </c>
      <c r="E330" t="inlineStr">
        <is>
          <t>KRISTINEHAMN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61768-2021</t>
        </is>
      </c>
      <c r="B331" s="1" t="n">
        <v>44501</v>
      </c>
      <c r="C331" s="1" t="n">
        <v>45513</v>
      </c>
      <c r="D331" t="inlineStr">
        <is>
          <t>VÄRMLANDS LÄN</t>
        </is>
      </c>
      <c r="E331" t="inlineStr">
        <is>
          <t>KRISTINEHAMN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62139-2021</t>
        </is>
      </c>
      <c r="B332" s="1" t="n">
        <v>44502</v>
      </c>
      <c r="C332" s="1" t="n">
        <v>45513</v>
      </c>
      <c r="D332" t="inlineStr">
        <is>
          <t>VÄRMLANDS LÄN</t>
        </is>
      </c>
      <c r="E332" t="inlineStr">
        <is>
          <t>KRISTINEHAMN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63551-2021</t>
        </is>
      </c>
      <c r="B333" s="1" t="n">
        <v>44504</v>
      </c>
      <c r="C333" s="1" t="n">
        <v>45513</v>
      </c>
      <c r="D333" t="inlineStr">
        <is>
          <t>VÄRMLANDS LÄN</t>
        </is>
      </c>
      <c r="E333" t="inlineStr">
        <is>
          <t>KRISTINEHAMN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62924-2021</t>
        </is>
      </c>
      <c r="B334" s="1" t="n">
        <v>44504</v>
      </c>
      <c r="C334" s="1" t="n">
        <v>45513</v>
      </c>
      <c r="D334" t="inlineStr">
        <is>
          <t>VÄRMLANDS LÄN</t>
        </is>
      </c>
      <c r="E334" t="inlineStr">
        <is>
          <t>KRISTINEHAMN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66442-2021</t>
        </is>
      </c>
      <c r="B335" s="1" t="n">
        <v>44518</v>
      </c>
      <c r="C335" s="1" t="n">
        <v>45513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66438-2021</t>
        </is>
      </c>
      <c r="B336" s="1" t="n">
        <v>44518</v>
      </c>
      <c r="C336" s="1" t="n">
        <v>45513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66439-2021</t>
        </is>
      </c>
      <c r="B337" s="1" t="n">
        <v>44518</v>
      </c>
      <c r="C337" s="1" t="n">
        <v>45513</v>
      </c>
      <c r="D337" t="inlineStr">
        <is>
          <t>VÄRMLANDS LÄN</t>
        </is>
      </c>
      <c r="E337" t="inlineStr">
        <is>
          <t>KRISTINEHAMN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68490-2021</t>
        </is>
      </c>
      <c r="B338" s="1" t="n">
        <v>44525</v>
      </c>
      <c r="C338" s="1" t="n">
        <v>45513</v>
      </c>
      <c r="D338" t="inlineStr">
        <is>
          <t>VÄRMLANDS LÄN</t>
        </is>
      </c>
      <c r="E338" t="inlineStr">
        <is>
          <t>KRISTINEHAMN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45513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45513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45513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45513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45513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45513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45513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45513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45513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45513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45513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45513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45513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45513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45513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45513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45513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45513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45513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45513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45513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45513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45513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45513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45513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45513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45513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45513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45513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45513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45513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45513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45513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45513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45513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45513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45513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45513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45513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45513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45513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45513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45513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45513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45513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45513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45513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45513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45513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45513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45513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45513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45513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45513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45513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45513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45513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45513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45513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45513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45513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45513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45513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45513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45513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45513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45513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45513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45513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45513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45513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45513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45513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45513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45513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45513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45513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45513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45513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45513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45513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45513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45513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45513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45513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45513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45513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45513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45513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45513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45513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45513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45513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45513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45513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45513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45513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45513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45513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45513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45513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45513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45513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45513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45513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45513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45513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45513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45513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45513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45513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45513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45513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45513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45513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45513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45513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45513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45513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45513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45513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45513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45513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45513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45513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45513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45513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45513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45513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45513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45513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45513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45513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45513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45513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45513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45513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45513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45513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45513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45513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45513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45513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45513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45513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45513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45513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45513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45513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45513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45513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45513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45513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45513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45513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45513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45513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45513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45513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45513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45513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45513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45513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45513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45513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45513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45513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45513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45513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45513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45513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45513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45513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45513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45513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45513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45513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45513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45513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45513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45513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45513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45513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45513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45513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45513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45513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45513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45513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45513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45513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45513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45513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45513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45513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45513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45513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45513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45513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45513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45513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45513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45513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45513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45513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45513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45513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45513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45513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45513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45513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45513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45513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45513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45513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45513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45513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45513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45513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45513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45513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45513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45513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45513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45513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45513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45513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45513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45513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45513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45513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45513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45513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45513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45513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45513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45513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45513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45513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45513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45513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45513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45513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45513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45513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45513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45513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45513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45513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45513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45513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45513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45513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45513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45513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45513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45513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45513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45513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45513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45513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45513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45513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45513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45513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45513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45513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45513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45513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45513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45513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45513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45513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45513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45513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45513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45513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45513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45513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45513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45513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45513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45513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45513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45513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45513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45513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45513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45513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45513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45513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45513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45513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45513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45513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45513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45513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45513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45513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45513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45513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45513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45513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45513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45513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45513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45513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45513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45513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45513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45513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45513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45513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45513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45513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45513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45513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45513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45513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45513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45513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45513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45513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45513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45513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45513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45513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45513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45513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45513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45513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45513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45513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45513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45513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45513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45513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45513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45513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45513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45513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45513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45513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45513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45513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45513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45513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45513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45513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45513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45513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45513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45513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45513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45513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45513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45513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45513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45513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45513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45513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45513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45513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45513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45513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45513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45513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45513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45513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45513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45513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45513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45513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45513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45513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45513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45513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45513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45513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45513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45513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45513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45513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45513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45513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45513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45513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45513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45513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45513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45513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45513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45513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45513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45513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45513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45513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45513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45513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45513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45513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45513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45513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45513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45513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45513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45513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45513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45513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45513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45513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45513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45513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45513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45513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45513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45513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45513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45513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45513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45513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45513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45513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45513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45513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45513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45513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45513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45513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45513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45513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45513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45513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45513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45513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45513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45513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45513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45513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45513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45513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45513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45513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45513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45513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29384-2024</t>
        </is>
      </c>
      <c r="B784" s="1" t="n">
        <v>45483</v>
      </c>
      <c r="C784" s="1" t="n">
        <v>45513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32198-2024</t>
        </is>
      </c>
      <c r="B785" s="1" t="n">
        <v>45511</v>
      </c>
      <c r="C785" s="1" t="n">
        <v>45513</v>
      </c>
      <c r="D785" t="inlineStr">
        <is>
          <t>VÄRMLANDS LÄN</t>
        </is>
      </c>
      <c r="E785" t="inlineStr">
        <is>
          <t>KRISTINEHAMN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2024-08-09T10:46:28Z</dcterms:created>
  <dcterms:modified xmlns:dcterms="http://purl.org/dc/terms/" xmlns:xsi="http://www.w3.org/2001/XMLSchema-instance" xsi:type="dcterms:W3CDTF">2024-08-09T10:46:28Z</dcterms:modified>
</cp:coreProperties>
</file>