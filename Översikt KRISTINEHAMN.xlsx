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46273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46273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46273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46273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46273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46273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20746-2026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46141</v>
      </c>
      <c r="E21" s="1" t="n">
        <v>46273</v>
      </c>
      <c r="F21" t="inlineStr">
        <is>
          <t>VÄRMLANDS LÄN</t>
        </is>
      </c>
      <c r="G21" t="inlineStr">
        <is>
          <t>KRISTINEHAMN</t>
        </is>
      </c>
      <c r="H21" t="inlineStr">
        <is>
          <t>Naturvårdsverket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 sköldmossa</t>
        </is>
      </c>
      <c r="W21">
        <f>HYPERLINK("https://klasma.github.io/Logging_1781/artfynd/A 20746-2026 artfynd.xlsx", "A 20746-2026")</f>
        <v/>
      </c>
      <c r="X21">
        <f>HYPERLINK("https://klasma.github.io/Logging_1781/kartor/A 20746-2026 karta.png", "A 20746-2026")</f>
        <v/>
      </c>
      <c r="Y21">
        <f>HYPERLINK("https://klasma.github.io/Logging_1781/kartor_geotiff/A 20746-2026 georefererad karta.tif", "A 20746-2026")</f>
        <v/>
      </c>
      <c r="AA21">
        <f>HYPERLINK("https://klasma.github.io/Logging_1781/klagomål/A 20746-2026 FSC-klagomål.docx", "A 20746-2026")</f>
        <v/>
      </c>
      <c r="AB21">
        <f>HYPERLINK("https://klasma.github.io/Logging_1781/klagomålsmail/A 20746-2026 FSC-klagomål mail.docx", "A 20746-2026")</f>
        <v/>
      </c>
      <c r="AC21">
        <f>HYPERLINK("https://klasma.github.io/Logging_1781/tillsyn/A 20746-2026 tillsynsbegäran.docx", "A 20746-2026")</f>
        <v/>
      </c>
      <c r="AD21">
        <f>HYPERLINK("https://klasma.github.io/Logging_1781/tillsynsmail/A 20746-2026 tillsynsbegäran mail.docx", "A 20746-2026")</f>
        <v/>
      </c>
    </row>
    <row r="22" ht="15" customHeight="1">
      <c r="A22" t="inlineStr">
        <is>
          <t>A 45122-2022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44843</v>
      </c>
      <c r="E22" s="1" t="n">
        <v>46273</v>
      </c>
      <c r="F22" t="inlineStr">
        <is>
          <t>VÄRMLANDS LÄN</t>
        </is>
      </c>
      <c r="G22" t="inlineStr">
        <is>
          <t>KRISTINEHAMN</t>
        </is>
      </c>
      <c r="I22" t="n">
        <v>3.3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Dvärglin</t>
        </is>
      </c>
      <c r="W22">
        <f>HYPERLINK("https://klasma.github.io/Logging_1781/artfynd/A 45122-2022 artfynd.xlsx", "A 45122-2022")</f>
        <v/>
      </c>
      <c r="X22">
        <f>HYPERLINK("https://klasma.github.io/Logging_1781/kartor/A 45122-2022 karta.png", "A 45122-2022")</f>
        <v/>
      </c>
      <c r="Y22">
        <f>HYPERLINK("https://klasma.github.io/Logging_1781/kartor_geotiff/A 45122-2022 georefererad karta.tif", "A 45122-2022")</f>
        <v/>
      </c>
      <c r="AA22">
        <f>HYPERLINK("https://klasma.github.io/Logging_1781/klagomål/A 45122-2022 FSC-klagomål.docx", "A 45122-2022")</f>
        <v/>
      </c>
      <c r="AB22">
        <f>HYPERLINK("https://klasma.github.io/Logging_1781/klagomålsmail/A 45122-2022 FSC-klagomål mail.docx", "A 45122-2022")</f>
        <v/>
      </c>
      <c r="AC22">
        <f>HYPERLINK("https://klasma.github.io/Logging_1781/tillsyn/A 45122-2022 tillsynsbegäran.docx", "A 45122-2022")</f>
        <v/>
      </c>
      <c r="AD22">
        <f>HYPERLINK("https://klasma.github.io/Logging_1781/tillsynsmail/A 45122-2022 tillsynsbegäran mail.docx", "A 45122-2022")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46273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46273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46273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13025-2023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46273</v>
      </c>
      <c r="F26" t="inlineStr">
        <is>
          <t>VÄRMLANDS LÄN</t>
        </is>
      </c>
      <c r="G26" t="inlineStr">
        <is>
          <t>KRISTINEHAMN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Kamjordstjärna</t>
        </is>
      </c>
      <c r="W26">
        <f>HYPERLINK("https://klasma.github.io/Logging_1781/artfynd/A 13025-2023 artfynd.xlsx", "A 13025-2023")</f>
        <v/>
      </c>
      <c r="X26">
        <f>HYPERLINK("https://klasma.github.io/Logging_1781/kartor/A 13025-2023 karta.png", "A 13025-2023")</f>
        <v/>
      </c>
      <c r="Y26">
        <f>HYPERLINK("https://klasma.github.io/Logging_1781/kartor_geotiff/A 13025-2023 georefererad karta.tif", "A 13025-2023")</f>
        <v/>
      </c>
      <c r="AA26">
        <f>HYPERLINK("https://klasma.github.io/Logging_1781/klagomål/A 13025-2023 FSC-klagomål.docx", "A 13025-2023")</f>
        <v/>
      </c>
      <c r="AB26">
        <f>HYPERLINK("https://klasma.github.io/Logging_1781/klagomålsmail/A 13025-2023 FSC-klagomål mail.docx", "A 13025-2023")</f>
        <v/>
      </c>
      <c r="AC26">
        <f>HYPERLINK("https://klasma.github.io/Logging_1781/tillsyn/A 13025-2023 tillsynsbegäran.docx", "A 13025-2023")</f>
        <v/>
      </c>
      <c r="AD26">
        <f>HYPERLINK("https://klasma.github.io/Logging_1781/tillsynsmail/A 13025-2023 tillsynsbegäran mail.docx", "A 13025-2023")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46273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46273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46273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46273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46273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46273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46273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46273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46273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46273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46273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46273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46273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46273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46273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46273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46273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46273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46273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46273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46273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46273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46273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46273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46273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46273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46273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46273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46273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46273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46273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46273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46273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47952-2021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44448</v>
      </c>
      <c r="E60" s="1" t="n">
        <v>46273</v>
      </c>
      <c r="F60" t="inlineStr">
        <is>
          <t>VÄRMLANDS LÄN</t>
        </is>
      </c>
      <c r="G60" t="inlineStr">
        <is>
          <t>KRISTINEHAMN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46273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46273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46273</v>
      </c>
      <c r="F63" t="inlineStr">
        <is>
          <t>VÄRMLANDS LÄN</t>
        </is>
      </c>
      <c r="G63" t="inlineStr">
        <is>
          <t>KRISTINEHAMN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46273</v>
      </c>
      <c r="F64" t="inlineStr">
        <is>
          <t>VÄRMLANDS LÄN</t>
        </is>
      </c>
      <c r="G64" t="inlineStr">
        <is>
          <t>KRISTINEHAMN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46273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44449</v>
      </c>
      <c r="E66" s="1" t="n">
        <v>46273</v>
      </c>
      <c r="F66" t="inlineStr">
        <is>
          <t>VÄRMLANDS LÄN</t>
        </is>
      </c>
      <c r="G66" t="inlineStr">
        <is>
          <t>KRISTINEHAMN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46273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46273</v>
      </c>
      <c r="F68" t="inlineStr">
        <is>
          <t>VÄRMLANDS LÄN</t>
        </is>
      </c>
      <c r="G68" t="inlineStr">
        <is>
          <t>KRISTINEHAMN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46273</v>
      </c>
      <c r="F69" t="inlineStr">
        <is>
          <t>VÄRMLANDS LÄN</t>
        </is>
      </c>
      <c r="G69" t="inlineStr">
        <is>
          <t>KRISTINEHAMN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46273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46273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44707</v>
      </c>
      <c r="E72" s="1" t="n">
        <v>46273</v>
      </c>
      <c r="F72" t="inlineStr">
        <is>
          <t>VÄRMLANDS LÄN</t>
        </is>
      </c>
      <c r="G72" t="inlineStr">
        <is>
          <t>KRISTINEHAMN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46273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46273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46273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46273</v>
      </c>
      <c r="F76" t="inlineStr">
        <is>
          <t>VÄRMLANDS LÄN</t>
        </is>
      </c>
      <c r="G76" t="inlineStr">
        <is>
          <t>KRISTINEHAMN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46273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46273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46273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46273</v>
      </c>
      <c r="F80" t="inlineStr">
        <is>
          <t>VÄRMLANDS LÄN</t>
        </is>
      </c>
      <c r="G80" t="inlineStr">
        <is>
          <t>KRISTINEHAMN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46273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66438-2021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46273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46273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46273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46273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46273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46273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46273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46273</v>
      </c>
      <c r="F89" t="inlineStr">
        <is>
          <t>VÄRMLANDS LÄN</t>
        </is>
      </c>
      <c r="G89" t="inlineStr">
        <is>
          <t>KRISTINEHAMN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46273</v>
      </c>
      <c r="F90" t="inlineStr">
        <is>
          <t>VÄRMLANDS LÄN</t>
        </is>
      </c>
      <c r="G90" t="inlineStr">
        <is>
          <t>KRISTINEHAMN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46273</v>
      </c>
      <c r="F91" t="inlineStr">
        <is>
          <t>VÄRMLANDS LÄN</t>
        </is>
      </c>
      <c r="G91" t="inlineStr">
        <is>
          <t>KRISTINEHAMN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44742</v>
      </c>
      <c r="E92" s="1" t="n">
        <v>46273</v>
      </c>
      <c r="F92" t="inlineStr">
        <is>
          <t>VÄRMLANDS LÄN</t>
        </is>
      </c>
      <c r="G92" t="inlineStr">
        <is>
          <t>KRISTINEHAMN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46273</v>
      </c>
      <c r="F93" t="inlineStr">
        <is>
          <t>VÄRMLANDS LÄN</t>
        </is>
      </c>
      <c r="G93" t="inlineStr">
        <is>
          <t>KRISTINEHAMN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46273</v>
      </c>
      <c r="F94" t="inlineStr">
        <is>
          <t>VÄRMLANDS LÄN</t>
        </is>
      </c>
      <c r="G94" t="inlineStr">
        <is>
          <t>KRISTINEHAMN</t>
        </is>
      </c>
      <c r="I94" t="n">
        <v>13.2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45202</v>
      </c>
      <c r="E95" s="1" t="n">
        <v>46273</v>
      </c>
      <c r="F95" t="inlineStr">
        <is>
          <t>VÄRMLANDS LÄN</t>
        </is>
      </c>
      <c r="G95" t="inlineStr">
        <is>
          <t>KRISTINEHAMN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46273</v>
      </c>
      <c r="F96" t="inlineStr">
        <is>
          <t>VÄRMLANDS LÄN</t>
        </is>
      </c>
      <c r="G96" t="inlineStr">
        <is>
          <t>KRISTINEHAMN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31152-2022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44770</v>
      </c>
      <c r="E97" s="1" t="n">
        <v>46273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46273</v>
      </c>
      <c r="F98" t="inlineStr">
        <is>
          <t>VÄRMLANDS LÄN</t>
        </is>
      </c>
      <c r="G98" t="inlineStr">
        <is>
          <t>KRISTINEHAMN</t>
        </is>
      </c>
      <c r="H98" t="inlineStr">
        <is>
          <t>Naturvårdsverket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45095</v>
      </c>
      <c r="E99" s="1" t="n">
        <v>46273</v>
      </c>
      <c r="F99" t="inlineStr">
        <is>
          <t>VÄRMLANDS LÄN</t>
        </is>
      </c>
      <c r="G99" t="inlineStr">
        <is>
          <t>KRISTINEHAMN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19447-2024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46273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45282</v>
      </c>
      <c r="E101" s="1" t="n">
        <v>46273</v>
      </c>
      <c r="F101" t="inlineStr">
        <is>
          <t>VÄRMLANDS LÄN</t>
        </is>
      </c>
      <c r="G101" t="inlineStr">
        <is>
          <t>KRISTINEHAMN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46273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46273</v>
      </c>
      <c r="F103" t="inlineStr">
        <is>
          <t>VÄRMLANDS LÄN</t>
        </is>
      </c>
      <c r="G103" t="inlineStr">
        <is>
          <t>KRISTINEHAMN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46273</v>
      </c>
      <c r="F104" t="inlineStr">
        <is>
          <t>VÄRMLANDS LÄN</t>
        </is>
      </c>
      <c r="G104" t="inlineStr">
        <is>
          <t>KRISTINEHAMN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46273</v>
      </c>
      <c r="F105" t="inlineStr">
        <is>
          <t>VÄRMLANDS LÄN</t>
        </is>
      </c>
      <c r="G105" t="inlineStr">
        <is>
          <t>KRISTINEHAMN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46273</v>
      </c>
      <c r="F106" t="inlineStr">
        <is>
          <t>VÄRMLANDS LÄN</t>
        </is>
      </c>
      <c r="G106" t="inlineStr">
        <is>
          <t>KRISTINEHAMN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46273</v>
      </c>
      <c r="F107" t="inlineStr">
        <is>
          <t>VÄRMLANDS LÄN</t>
        </is>
      </c>
      <c r="G107" t="inlineStr">
        <is>
          <t>KRISTINEHAMN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46273</v>
      </c>
      <c r="F108" t="inlineStr">
        <is>
          <t>VÄRMLANDS LÄN</t>
        </is>
      </c>
      <c r="G108" t="inlineStr">
        <is>
          <t>KRISTINEHAMN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46273</v>
      </c>
      <c r="F109" t="inlineStr">
        <is>
          <t>VÄRMLANDS LÄN</t>
        </is>
      </c>
      <c r="G109" t="inlineStr">
        <is>
          <t>KRISTINEHAMN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44941</v>
      </c>
      <c r="E110" s="1" t="n">
        <v>46273</v>
      </c>
      <c r="F110" t="inlineStr">
        <is>
          <t>VÄRMLANDS LÄN</t>
        </is>
      </c>
      <c r="G110" t="inlineStr">
        <is>
          <t>KRISTINEHAMN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46273</v>
      </c>
      <c r="F111" t="inlineStr">
        <is>
          <t>VÄRMLANDS LÄN</t>
        </is>
      </c>
      <c r="G111" t="inlineStr">
        <is>
          <t>KRISTINEHAMN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32624-2024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46273</v>
      </c>
      <c r="F112" t="inlineStr">
        <is>
          <t>VÄRMLANDS LÄN</t>
        </is>
      </c>
      <c r="G112" t="inlineStr">
        <is>
          <t>KRISTINEHAMN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44917</v>
      </c>
      <c r="E113" s="1" t="n">
        <v>46273</v>
      </c>
      <c r="F113" t="inlineStr">
        <is>
          <t>VÄRMLANDS LÄN</t>
        </is>
      </c>
      <c r="G113" t="inlineStr">
        <is>
          <t>KRISTINEHAMN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46273</v>
      </c>
      <c r="F114" t="inlineStr">
        <is>
          <t>VÄRMLANDS LÄN</t>
        </is>
      </c>
      <c r="G114" t="inlineStr">
        <is>
          <t>KRISTINEHAMN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46273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Kommuner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45593</v>
      </c>
      <c r="E116" s="1" t="n">
        <v>46273</v>
      </c>
      <c r="F116" t="inlineStr">
        <is>
          <t>VÄRMLANDS LÄN</t>
        </is>
      </c>
      <c r="G116" t="inlineStr">
        <is>
          <t>KRISTINEHAMN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45121</v>
      </c>
      <c r="E117" s="1" t="n">
        <v>46273</v>
      </c>
      <c r="F117" t="inlineStr">
        <is>
          <t>VÄRMLANDS LÄN</t>
        </is>
      </c>
      <c r="G117" t="inlineStr">
        <is>
          <t>KRISTINEHAMN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46273</v>
      </c>
      <c r="F118" t="inlineStr">
        <is>
          <t>VÄRMLANDS LÄN</t>
        </is>
      </c>
      <c r="G118" t="inlineStr">
        <is>
          <t>KRISTINEHAMN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60567-2024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46273</v>
      </c>
      <c r="F119" t="inlineStr">
        <is>
          <t>VÄRMLANDS LÄN</t>
        </is>
      </c>
      <c r="G119" t="inlineStr">
        <is>
          <t>KRISTINEHAMN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46273</v>
      </c>
      <c r="F120" t="inlineStr">
        <is>
          <t>VÄRMLANDS LÄN</t>
        </is>
      </c>
      <c r="G120" t="inlineStr">
        <is>
          <t>KRISTINEHAMN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46273</v>
      </c>
      <c r="F121" t="inlineStr">
        <is>
          <t>VÄRMLANDS LÄN</t>
        </is>
      </c>
      <c r="G121" t="inlineStr">
        <is>
          <t>KRISTINEHAMN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46273</v>
      </c>
      <c r="F122" t="inlineStr">
        <is>
          <t>VÄRMLANDS LÄN</t>
        </is>
      </c>
      <c r="G122" t="inlineStr">
        <is>
          <t>KRISTINEHAMN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48416-2021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46273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17110-2022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44677</v>
      </c>
      <c r="E124" s="1" t="n">
        <v>46273</v>
      </c>
      <c r="F124" t="inlineStr">
        <is>
          <t>VÄRMLANDS LÄN</t>
        </is>
      </c>
      <c r="G124" t="inlineStr">
        <is>
          <t>KRISTINEHAMN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46273</v>
      </c>
      <c r="F125" t="inlineStr">
        <is>
          <t>VÄRMLANDS LÄN</t>
        </is>
      </c>
      <c r="G125" t="inlineStr">
        <is>
          <t>KRISTINEHAMN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46273</v>
      </c>
      <c r="F126" t="inlineStr">
        <is>
          <t>VÄRMLANDS LÄN</t>
        </is>
      </c>
      <c r="G126" t="inlineStr">
        <is>
          <t>KRISTINEHAMN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46273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46273</v>
      </c>
      <c r="F128" t="inlineStr">
        <is>
          <t>VÄRMLANDS LÄN</t>
        </is>
      </c>
      <c r="G128" t="inlineStr">
        <is>
          <t>KRISTINEHAMN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46273</v>
      </c>
      <c r="F129" t="inlineStr">
        <is>
          <t>VÄRMLANDS LÄN</t>
        </is>
      </c>
      <c r="G129" t="inlineStr">
        <is>
          <t>KRISTINEHAMN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46273</v>
      </c>
      <c r="F130" t="inlineStr">
        <is>
          <t>VÄRMLANDS LÄN</t>
        </is>
      </c>
      <c r="G130" t="inlineStr">
        <is>
          <t>KRISTINEHAMN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45453</v>
      </c>
      <c r="E131" s="1" t="n">
        <v>46273</v>
      </c>
      <c r="F131" t="inlineStr">
        <is>
          <t>VÄRMLANDS LÄN</t>
        </is>
      </c>
      <c r="G131" t="inlineStr">
        <is>
          <t>KRISTINEHAMN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45041</v>
      </c>
      <c r="E132" s="1" t="n">
        <v>46273</v>
      </c>
      <c r="F132" t="inlineStr">
        <is>
          <t>VÄRMLANDS LÄN</t>
        </is>
      </c>
      <c r="G132" t="inlineStr">
        <is>
          <t>KRISTINEHAMN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46273</v>
      </c>
      <c r="F133" t="inlineStr">
        <is>
          <t>VÄRMLANDS LÄN</t>
        </is>
      </c>
      <c r="G133" t="inlineStr">
        <is>
          <t>KRISTINEHAMN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46273</v>
      </c>
      <c r="F134" t="inlineStr">
        <is>
          <t>VÄRMLANDS LÄN</t>
        </is>
      </c>
      <c r="G134" t="inlineStr">
        <is>
          <t>KRISTINEHAMN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46273</v>
      </c>
      <c r="F135" t="inlineStr">
        <is>
          <t>VÄRMLANDS LÄN</t>
        </is>
      </c>
      <c r="G135" t="inlineStr">
        <is>
          <t>KRISTINEHAMN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46273</v>
      </c>
      <c r="F136" t="inlineStr">
        <is>
          <t>VÄRMLANDS LÄN</t>
        </is>
      </c>
      <c r="G136" t="inlineStr">
        <is>
          <t>KRISTINEHAMN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46273</v>
      </c>
      <c r="F137" t="inlineStr">
        <is>
          <t>VÄRMLANDS LÄN</t>
        </is>
      </c>
      <c r="G137" t="inlineStr">
        <is>
          <t>KRISTINEHAMN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29526-2022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46273</v>
      </c>
      <c r="F138" t="inlineStr">
        <is>
          <t>VÄRMLANDS LÄN</t>
        </is>
      </c>
      <c r="G138" t="inlineStr">
        <is>
          <t>KRISTINEHAMN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45361</v>
      </c>
      <c r="E139" s="1" t="n">
        <v>46273</v>
      </c>
      <c r="F139" t="inlineStr">
        <is>
          <t>VÄRMLANDS LÄN</t>
        </is>
      </c>
      <c r="G139" t="inlineStr">
        <is>
          <t>KRISTINEHAMN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44497</v>
      </c>
      <c r="E140" s="1" t="n">
        <v>46273</v>
      </c>
      <c r="F140" t="inlineStr">
        <is>
          <t>VÄRMLANDS LÄN</t>
        </is>
      </c>
      <c r="G140" t="inlineStr">
        <is>
          <t>KRISTINEHAMN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46273</v>
      </c>
      <c r="F141" t="inlineStr">
        <is>
          <t>VÄRMLANDS LÄN</t>
        </is>
      </c>
      <c r="G141" t="inlineStr">
        <is>
          <t>KRISTINEHAMN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45118</v>
      </c>
      <c r="E142" s="1" t="n">
        <v>46273</v>
      </c>
      <c r="F142" t="inlineStr">
        <is>
          <t>VÄRMLANDS LÄN</t>
        </is>
      </c>
      <c r="G142" t="inlineStr">
        <is>
          <t>KRISTINEHAMN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45058</v>
      </c>
      <c r="E143" s="1" t="n">
        <v>46273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Kommuner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44712</v>
      </c>
      <c r="E144" s="1" t="n">
        <v>46273</v>
      </c>
      <c r="F144" t="inlineStr">
        <is>
          <t>VÄRMLANDS LÄN</t>
        </is>
      </c>
      <c r="G144" t="inlineStr">
        <is>
          <t>KRISTINEHAMN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46273</v>
      </c>
      <c r="F145" t="inlineStr">
        <is>
          <t>VÄRMLANDS LÄN</t>
        </is>
      </c>
      <c r="G145" t="inlineStr">
        <is>
          <t>KRISTINEHAMN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28485-2024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45477</v>
      </c>
      <c r="E146" s="1" t="n">
        <v>46273</v>
      </c>
      <c r="F146" t="inlineStr">
        <is>
          <t>VÄRMLANDS LÄN</t>
        </is>
      </c>
      <c r="G146" t="inlineStr">
        <is>
          <t>KRISTINEHAMN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46273</v>
      </c>
      <c r="F147" t="inlineStr">
        <is>
          <t>VÄRMLANDS LÄN</t>
        </is>
      </c>
      <c r="G147" t="inlineStr">
        <is>
          <t>KRISTINEHAMN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45662</v>
      </c>
      <c r="E148" s="1" t="n">
        <v>46273</v>
      </c>
      <c r="F148" t="inlineStr">
        <is>
          <t>VÄRMLANDS LÄN</t>
        </is>
      </c>
      <c r="G148" t="inlineStr">
        <is>
          <t>KRISTINEHAMN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44924</v>
      </c>
      <c r="E149" s="1" t="n">
        <v>46273</v>
      </c>
      <c r="F149" t="inlineStr">
        <is>
          <t>VÄRMLANDS LÄN</t>
        </is>
      </c>
      <c r="G149" t="inlineStr">
        <is>
          <t>KRISTINEHAMN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46273</v>
      </c>
      <c r="F150" t="inlineStr">
        <is>
          <t>VÄRMLANDS LÄN</t>
        </is>
      </c>
      <c r="G150" t="inlineStr">
        <is>
          <t>KRISTINEHAMN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32161-2023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46273</v>
      </c>
      <c r="F151" t="inlineStr">
        <is>
          <t>VÄRMLANDS LÄN</t>
        </is>
      </c>
      <c r="G151" t="inlineStr">
        <is>
          <t>KRISTINEHAMN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46273</v>
      </c>
      <c r="F152" t="inlineStr">
        <is>
          <t>VÄRMLANDS LÄN</t>
        </is>
      </c>
      <c r="G152" t="inlineStr">
        <is>
          <t>KRISTINEHAMN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45141</v>
      </c>
      <c r="E153" s="1" t="n">
        <v>46273</v>
      </c>
      <c r="F153" t="inlineStr">
        <is>
          <t>VÄRMLANDS LÄN</t>
        </is>
      </c>
      <c r="G153" t="inlineStr">
        <is>
          <t>KRISTINEHAMN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46273</v>
      </c>
      <c r="F154" t="inlineStr">
        <is>
          <t>VÄRMLANDS LÄN</t>
        </is>
      </c>
      <c r="G154" t="inlineStr">
        <is>
          <t>KRISTINEHAMN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46273</v>
      </c>
      <c r="F155" t="inlineStr">
        <is>
          <t>VÄRMLANDS LÄN</t>
        </is>
      </c>
      <c r="G155" t="inlineStr">
        <is>
          <t>KRISTINEHAMN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46273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46273</v>
      </c>
      <c r="F157" t="inlineStr">
        <is>
          <t>VÄRMLANDS LÄN</t>
        </is>
      </c>
      <c r="G157" t="inlineStr">
        <is>
          <t>KRISTINEHAMN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46273</v>
      </c>
      <c r="F158" t="inlineStr">
        <is>
          <t>VÄRMLANDS LÄN</t>
        </is>
      </c>
      <c r="G158" t="inlineStr">
        <is>
          <t>KRISTINEHAMN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46273</v>
      </c>
      <c r="F159" t="inlineStr">
        <is>
          <t>VÄRMLANDS LÄN</t>
        </is>
      </c>
      <c r="G159" t="inlineStr">
        <is>
          <t>KRISTINEHAMN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45701</v>
      </c>
      <c r="E160" s="1" t="n">
        <v>46273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Naturvårdsverket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46273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46273</v>
      </c>
      <c r="F162" t="inlineStr">
        <is>
          <t>VÄRMLANDS LÄN</t>
        </is>
      </c>
      <c r="G162" t="inlineStr">
        <is>
          <t>KRISTINEHAMN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45905</v>
      </c>
      <c r="E163" s="1" t="n">
        <v>46273</v>
      </c>
      <c r="F163" t="inlineStr">
        <is>
          <t>VÄRMLANDS LÄN</t>
        </is>
      </c>
      <c r="G163" t="inlineStr">
        <is>
          <t>KRISTINEHAMN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46273</v>
      </c>
      <c r="F164" t="inlineStr">
        <is>
          <t>VÄRMLANDS LÄN</t>
        </is>
      </c>
      <c r="G164" t="inlineStr">
        <is>
          <t>KRISTINEHAMN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46273</v>
      </c>
      <c r="F165" t="inlineStr">
        <is>
          <t>VÄRMLANDS LÄN</t>
        </is>
      </c>
      <c r="G165" t="inlineStr">
        <is>
          <t>KRISTINEHAMN</t>
        </is>
      </c>
      <c r="I165" t="n">
        <v>9.300000000000001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20102-2026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46273</v>
      </c>
      <c r="F166" t="inlineStr">
        <is>
          <t>VÄRMLANDS LÄN</t>
        </is>
      </c>
      <c r="G166" t="inlineStr">
        <is>
          <t>KRISTINEHAMN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46273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14.2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17245-2025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45756</v>
      </c>
      <c r="E168" s="1" t="n">
        <v>46273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46273</v>
      </c>
      <c r="F169" t="inlineStr">
        <is>
          <t>VÄRMLANDS LÄN</t>
        </is>
      </c>
      <c r="G169" t="inlineStr">
        <is>
          <t>KRISTINEHAMN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46273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34230-2023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45127</v>
      </c>
      <c r="E171" s="1" t="n">
        <v>46273</v>
      </c>
      <c r="F171" t="inlineStr">
        <is>
          <t>VÄRMLANDS LÄN</t>
        </is>
      </c>
      <c r="G171" t="inlineStr">
        <is>
          <t>KRISTINEHAMN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45442</v>
      </c>
      <c r="E172" s="1" t="n">
        <v>46273</v>
      </c>
      <c r="F172" t="inlineStr">
        <is>
          <t>VÄRMLANDS LÄN</t>
        </is>
      </c>
      <c r="G172" t="inlineStr">
        <is>
          <t>KRISTINEHAMN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46273</v>
      </c>
      <c r="F173" t="inlineStr">
        <is>
          <t>VÄRMLANDS LÄN</t>
        </is>
      </c>
      <c r="G173" t="inlineStr">
        <is>
          <t>KRISTINEHAMN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46273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45647</v>
      </c>
      <c r="E175" s="1" t="n">
        <v>46273</v>
      </c>
      <c r="F175" t="inlineStr">
        <is>
          <t>VÄRMLANDS LÄN</t>
        </is>
      </c>
      <c r="G175" t="inlineStr">
        <is>
          <t>KRISTINEHAMN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54606-2021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44473</v>
      </c>
      <c r="E176" s="1" t="n">
        <v>46273</v>
      </c>
      <c r="F176" t="inlineStr">
        <is>
          <t>VÄRMLANDS LÄN</t>
        </is>
      </c>
      <c r="G176" t="inlineStr">
        <is>
          <t>KRISTINEHAMN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13021-2023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45002</v>
      </c>
      <c r="E177" s="1" t="n">
        <v>46273</v>
      </c>
      <c r="F177" t="inlineStr">
        <is>
          <t>VÄRMLANDS LÄN</t>
        </is>
      </c>
      <c r="G177" t="inlineStr">
        <is>
          <t>KRISTINEHAMN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46273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41857-2023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45176</v>
      </c>
      <c r="E179" s="1" t="n">
        <v>46273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45686</v>
      </c>
      <c r="E180" s="1" t="n">
        <v>46273</v>
      </c>
      <c r="F180" t="inlineStr">
        <is>
          <t>VÄRMLANDS LÄN</t>
        </is>
      </c>
      <c r="G180" t="inlineStr">
        <is>
          <t>KRISTINEHAMN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46273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46273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46273</v>
      </c>
      <c r="F183" t="inlineStr">
        <is>
          <t>VÄRMLANDS LÄN</t>
        </is>
      </c>
      <c r="G183" t="inlineStr">
        <is>
          <t>KRISTINEHAMN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46273</v>
      </c>
      <c r="F184" t="inlineStr">
        <is>
          <t>VÄRMLANDS LÄN</t>
        </is>
      </c>
      <c r="G184" t="inlineStr">
        <is>
          <t>KRISTINEHAMN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46273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70126-2021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44533</v>
      </c>
      <c r="E186" s="1" t="n">
        <v>46273</v>
      </c>
      <c r="F186" t="inlineStr">
        <is>
          <t>VÄRMLANDS LÄN</t>
        </is>
      </c>
      <c r="G186" t="inlineStr">
        <is>
          <t>KRISTINEHAMN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46273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22060-2026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46149</v>
      </c>
      <c r="E188" s="1" t="n">
        <v>46273</v>
      </c>
      <c r="F188" t="inlineStr">
        <is>
          <t>VÄRMLANDS LÄN</t>
        </is>
      </c>
      <c r="G188" t="inlineStr">
        <is>
          <t>KRISTINEHAMN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45933</v>
      </c>
      <c r="E189" s="1" t="n">
        <v>46273</v>
      </c>
      <c r="F189" t="inlineStr">
        <is>
          <t>VÄRMLANDS LÄN</t>
        </is>
      </c>
      <c r="G189" t="inlineStr">
        <is>
          <t>KRISTINEHAMN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46273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46273</v>
      </c>
      <c r="F191" t="inlineStr">
        <is>
          <t>VÄRMLANDS LÄN</t>
        </is>
      </c>
      <c r="G191" t="inlineStr">
        <is>
          <t>KRISTINEHAMN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45260</v>
      </c>
      <c r="E192" s="1" t="n">
        <v>46273</v>
      </c>
      <c r="F192" t="inlineStr">
        <is>
          <t>VÄRMLANDS LÄN</t>
        </is>
      </c>
      <c r="G192" t="inlineStr">
        <is>
          <t>KRISTINEHAMN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46273</v>
      </c>
      <c r="F193" t="inlineStr">
        <is>
          <t>VÄRMLANDS LÄN</t>
        </is>
      </c>
      <c r="G193" t="inlineStr">
        <is>
          <t>KRISTINEHAMN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46273</v>
      </c>
      <c r="F194" t="inlineStr">
        <is>
          <t>VÄRMLANDS LÄN</t>
        </is>
      </c>
      <c r="G194" t="inlineStr">
        <is>
          <t>KRISTINEHAMN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46273</v>
      </c>
      <c r="F195" t="inlineStr">
        <is>
          <t>VÄRMLANDS LÄN</t>
        </is>
      </c>
      <c r="G195" t="inlineStr">
        <is>
          <t>KRISTINEHAMN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49335-2021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44454</v>
      </c>
      <c r="E196" s="1" t="n">
        <v>46273</v>
      </c>
      <c r="F196" t="inlineStr">
        <is>
          <t>VÄRMLANDS LÄN</t>
        </is>
      </c>
      <c r="G196" t="inlineStr">
        <is>
          <t>KRISTINEHAMN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46273</v>
      </c>
      <c r="F197" t="inlineStr">
        <is>
          <t>VÄRMLANDS LÄN</t>
        </is>
      </c>
      <c r="G197" t="inlineStr">
        <is>
          <t>KRISTINEHAMN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46273</v>
      </c>
      <c r="F198" t="inlineStr">
        <is>
          <t>VÄRMLANDS LÄN</t>
        </is>
      </c>
      <c r="G198" t="inlineStr">
        <is>
          <t>KRISTINEHAMN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46273</v>
      </c>
      <c r="F199" t="inlineStr">
        <is>
          <t>VÄRMLANDS LÄN</t>
        </is>
      </c>
      <c r="G199" t="inlineStr">
        <is>
          <t>KRISTINEHAMN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46273</v>
      </c>
      <c r="F200" t="inlineStr">
        <is>
          <t>VÄRMLANDS LÄN</t>
        </is>
      </c>
      <c r="G200" t="inlineStr">
        <is>
          <t>KRISTINEHAMN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46273</v>
      </c>
      <c r="F201" t="inlineStr">
        <is>
          <t>VÄRMLANDS LÄN</t>
        </is>
      </c>
      <c r="G201" t="inlineStr">
        <is>
          <t>KRISTINEHAMN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46273</v>
      </c>
      <c r="F202" t="inlineStr">
        <is>
          <t>VÄRMLANDS LÄN</t>
        </is>
      </c>
      <c r="G202" t="inlineStr">
        <is>
          <t>KRISTINEHAMN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54603-2021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46273</v>
      </c>
      <c r="F203" t="inlineStr">
        <is>
          <t>VÄRMLANDS LÄN</t>
        </is>
      </c>
      <c r="G203" t="inlineStr">
        <is>
          <t>KRISTINEHAMN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46273</v>
      </c>
      <c r="F204" t="inlineStr">
        <is>
          <t>VÄRMLANDS LÄN</t>
        </is>
      </c>
      <c r="G204" t="inlineStr">
        <is>
          <t>KRISTINEHAMN</t>
        </is>
      </c>
      <c r="I204" t="n">
        <v>15.9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46273</v>
      </c>
      <c r="F205" t="inlineStr">
        <is>
          <t>VÄRMLANDS LÄN</t>
        </is>
      </c>
      <c r="G205" t="inlineStr">
        <is>
          <t>KRISTINEHAMN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68505-2021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44525</v>
      </c>
      <c r="E206" s="1" t="n">
        <v>46273</v>
      </c>
      <c r="F206" t="inlineStr">
        <is>
          <t>VÄRMLANDS LÄN</t>
        </is>
      </c>
      <c r="G206" t="inlineStr">
        <is>
          <t>KRISTINEHAMN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45366</v>
      </c>
      <c r="E207" s="1" t="n">
        <v>46273</v>
      </c>
      <c r="F207" t="inlineStr">
        <is>
          <t>VÄRMLANDS LÄN</t>
        </is>
      </c>
      <c r="G207" t="inlineStr">
        <is>
          <t>KRISTINEHAMN</t>
        </is>
      </c>
      <c r="I207" t="n">
        <v>19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44923</v>
      </c>
      <c r="E208" s="1" t="n">
        <v>46273</v>
      </c>
      <c r="F208" t="inlineStr">
        <is>
          <t>VÄRMLANDS LÄN</t>
        </is>
      </c>
      <c r="G208" t="inlineStr">
        <is>
          <t>KRISTINEHAMN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46273</v>
      </c>
      <c r="F209" t="inlineStr">
        <is>
          <t>VÄRMLANDS LÄN</t>
        </is>
      </c>
      <c r="G209" t="inlineStr">
        <is>
          <t>KRISTINEHAMN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39781-2023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46273</v>
      </c>
      <c r="F210" t="inlineStr">
        <is>
          <t>VÄRMLANDS LÄN</t>
        </is>
      </c>
      <c r="G210" t="inlineStr">
        <is>
          <t>KRISTINEHAMN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46273</v>
      </c>
      <c r="F211" t="inlineStr">
        <is>
          <t>VÄRMLANDS LÄN</t>
        </is>
      </c>
      <c r="G211" t="inlineStr">
        <is>
          <t>KRISTINEHAMN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45081</v>
      </c>
      <c r="E212" s="1" t="n">
        <v>46273</v>
      </c>
      <c r="F212" t="inlineStr">
        <is>
          <t>VÄRMLANDS LÄN</t>
        </is>
      </c>
      <c r="G212" t="inlineStr">
        <is>
          <t>KRISTINEHAMN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46273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46273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46273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46273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46273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46273</v>
      </c>
      <c r="F218" t="inlineStr">
        <is>
          <t>VÄRMLANDS LÄN</t>
        </is>
      </c>
      <c r="G218" t="inlineStr">
        <is>
          <t>KRISTINEHAMN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46273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45679</v>
      </c>
      <c r="E220" s="1" t="n">
        <v>46273</v>
      </c>
      <c r="F220" t="inlineStr">
        <is>
          <t>VÄRMLANDS LÄN</t>
        </is>
      </c>
      <c r="G220" t="inlineStr">
        <is>
          <t>KRISTINEHAMN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46273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46273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Naturvårdsverket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46273</v>
      </c>
      <c r="F223" t="inlineStr">
        <is>
          <t>VÄRMLANDS LÄN</t>
        </is>
      </c>
      <c r="G223" t="inlineStr">
        <is>
          <t>KRISTINEHAMN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45081</v>
      </c>
      <c r="E224" s="1" t="n">
        <v>46273</v>
      </c>
      <c r="F224" t="inlineStr">
        <is>
          <t>VÄRMLANDS LÄN</t>
        </is>
      </c>
      <c r="G224" t="inlineStr">
        <is>
          <t>KRISTINEHAMN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45252</v>
      </c>
      <c r="E225" s="1" t="n">
        <v>46273</v>
      </c>
      <c r="F225" t="inlineStr">
        <is>
          <t>VÄRMLANDS LÄN</t>
        </is>
      </c>
      <c r="G225" t="inlineStr">
        <is>
          <t>KRISTINEHAMN</t>
        </is>
      </c>
      <c r="I225" t="n">
        <v>19.4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24570-2026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46170</v>
      </c>
      <c r="E226" s="1" t="n">
        <v>46273</v>
      </c>
      <c r="F226" t="inlineStr">
        <is>
          <t>VÄRMLANDS LÄN</t>
        </is>
      </c>
      <c r="G226" t="inlineStr">
        <is>
          <t>KRISTINEHAMN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45238</v>
      </c>
      <c r="E227" s="1" t="n">
        <v>46273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Kommuner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46273</v>
      </c>
      <c r="F228" t="inlineStr">
        <is>
          <t>VÄRMLANDS LÄN</t>
        </is>
      </c>
      <c r="G228" t="inlineStr">
        <is>
          <t>KRISTINEHAMN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12423-2024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45379</v>
      </c>
      <c r="E229" s="1" t="n">
        <v>46273</v>
      </c>
      <c r="F229" t="inlineStr">
        <is>
          <t>VÄRMLANDS LÄN</t>
        </is>
      </c>
      <c r="G229" t="inlineStr">
        <is>
          <t>KRISTINEHAMN</t>
        </is>
      </c>
      <c r="I229" t="n">
        <v>12.6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46273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46273</v>
      </c>
      <c r="F231" t="inlineStr">
        <is>
          <t>VÄRMLANDS LÄN</t>
        </is>
      </c>
      <c r="G231" t="inlineStr">
        <is>
          <t>KRISTINEHAMN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13459-2024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45387</v>
      </c>
      <c r="E232" s="1" t="n">
        <v>46273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45974</v>
      </c>
      <c r="E233" s="1" t="n">
        <v>46273</v>
      </c>
      <c r="F233" t="inlineStr">
        <is>
          <t>VÄRMLANDS LÄN</t>
        </is>
      </c>
      <c r="G233" t="inlineStr">
        <is>
          <t>KRISTINEHAMN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25258-2026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46175</v>
      </c>
      <c r="E234" s="1" t="n">
        <v>46273</v>
      </c>
      <c r="F234" t="inlineStr">
        <is>
          <t>VÄRMLANDS LÄN</t>
        </is>
      </c>
      <c r="G234" t="inlineStr">
        <is>
          <t>KRISTINEHAMN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46273</v>
      </c>
      <c r="F235" t="inlineStr">
        <is>
          <t>VÄRMLANDS LÄN</t>
        </is>
      </c>
      <c r="G235" t="inlineStr">
        <is>
          <t>KRISTINEHAMN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44959</v>
      </c>
      <c r="E236" s="1" t="n">
        <v>46273</v>
      </c>
      <c r="F236" t="inlineStr">
        <is>
          <t>VÄRMLANDS LÄN</t>
        </is>
      </c>
      <c r="G236" t="inlineStr">
        <is>
          <t>KRISTINEHAMN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44851</v>
      </c>
      <c r="E237" s="1" t="n">
        <v>46273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Kommuner</t>
        </is>
      </c>
      <c r="I237" t="n">
        <v>8.6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46273</v>
      </c>
      <c r="F238" t="inlineStr">
        <is>
          <t>VÄRMLANDS LÄN</t>
        </is>
      </c>
      <c r="G238" t="inlineStr">
        <is>
          <t>KRISTINEHAMN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46037</v>
      </c>
      <c r="E239" s="1" t="n">
        <v>46273</v>
      </c>
      <c r="F239" t="inlineStr">
        <is>
          <t>VÄRMLANDS LÄN</t>
        </is>
      </c>
      <c r="G239" t="inlineStr">
        <is>
          <t>KRISTINEHAMN</t>
        </is>
      </c>
      <c r="I239" t="n">
        <v>11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46273</v>
      </c>
      <c r="F240" t="inlineStr">
        <is>
          <t>VÄRMLANDS LÄN</t>
        </is>
      </c>
      <c r="G240" t="inlineStr">
        <is>
          <t>KRISTINEHAMN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46273</v>
      </c>
      <c r="F241" t="inlineStr">
        <is>
          <t>VÄRMLANDS LÄN</t>
        </is>
      </c>
      <c r="G241" t="inlineStr">
        <is>
          <t>KRISTINEHAMN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45461</v>
      </c>
      <c r="E242" s="1" t="n">
        <v>46273</v>
      </c>
      <c r="F242" t="inlineStr">
        <is>
          <t>VÄRMLANDS LÄN</t>
        </is>
      </c>
      <c r="G242" t="inlineStr">
        <is>
          <t>KRISTINEHAMN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45698</v>
      </c>
      <c r="E243" s="1" t="n">
        <v>46273</v>
      </c>
      <c r="F243" t="inlineStr">
        <is>
          <t>VÄRMLANDS LÄN</t>
        </is>
      </c>
      <c r="G243" t="inlineStr">
        <is>
          <t>KRISTINEHAMN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45456</v>
      </c>
      <c r="E244" s="1" t="n">
        <v>46273</v>
      </c>
      <c r="F244" t="inlineStr">
        <is>
          <t>VÄRMLANDS LÄN</t>
        </is>
      </c>
      <c r="G244" t="inlineStr">
        <is>
          <t>KRISTINEHAMN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45995</v>
      </c>
      <c r="E245" s="1" t="n">
        <v>46273</v>
      </c>
      <c r="F245" t="inlineStr">
        <is>
          <t>VÄRMLANDS LÄN</t>
        </is>
      </c>
      <c r="G245" t="inlineStr">
        <is>
          <t>KRISTINEHAMN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46273</v>
      </c>
      <c r="F246" t="inlineStr">
        <is>
          <t>VÄRMLANDS LÄN</t>
        </is>
      </c>
      <c r="G246" t="inlineStr">
        <is>
          <t>KRISTINEHAMN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46273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46273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46273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Naturvårdsverket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46273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46273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46273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46273</v>
      </c>
      <c r="F253" t="inlineStr">
        <is>
          <t>VÄRMLANDS LÄN</t>
        </is>
      </c>
      <c r="G253" t="inlineStr">
        <is>
          <t>KRISTINEHAMN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46273</v>
      </c>
      <c r="F254" t="inlineStr">
        <is>
          <t>VÄRMLANDS LÄN</t>
        </is>
      </c>
      <c r="G254" t="inlineStr">
        <is>
          <t>KRISTINEHAMN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46273</v>
      </c>
      <c r="F255" t="inlineStr">
        <is>
          <t>VÄRMLANDS LÄN</t>
        </is>
      </c>
      <c r="G255" t="inlineStr">
        <is>
          <t>KRISTINEHAMN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45442</v>
      </c>
      <c r="E256" s="1" t="n">
        <v>46273</v>
      </c>
      <c r="F256" t="inlineStr">
        <is>
          <t>VÄRMLANDS LÄN</t>
        </is>
      </c>
      <c r="G256" t="inlineStr">
        <is>
          <t>KRISTINEHAMN</t>
        </is>
      </c>
      <c r="I256" t="n">
        <v>14.9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46273</v>
      </c>
      <c r="F257" t="inlineStr">
        <is>
          <t>VÄRMLANDS LÄN</t>
        </is>
      </c>
      <c r="G257" t="inlineStr">
        <is>
          <t>KRISTINEHAMN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45595</v>
      </c>
      <c r="E258" s="1" t="n">
        <v>46273</v>
      </c>
      <c r="F258" t="inlineStr">
        <is>
          <t>VÄRMLANDS LÄN</t>
        </is>
      </c>
      <c r="G258" t="inlineStr">
        <is>
          <t>KRISTINEHAMN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46273</v>
      </c>
      <c r="F259" t="inlineStr">
        <is>
          <t>VÄRMLANDS LÄN</t>
        </is>
      </c>
      <c r="G259" t="inlineStr">
        <is>
          <t>KRISTINEHAMN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46273</v>
      </c>
      <c r="F260" t="inlineStr">
        <is>
          <t>VÄRMLANDS LÄN</t>
        </is>
      </c>
      <c r="G260" t="inlineStr">
        <is>
          <t>KRISTINEHAMN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46273</v>
      </c>
      <c r="F261" t="inlineStr">
        <is>
          <t>VÄRMLANDS LÄN</t>
        </is>
      </c>
      <c r="G261" t="inlineStr">
        <is>
          <t>KRISTINEHAMN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44588</v>
      </c>
      <c r="E262" s="1" t="n">
        <v>46273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44588</v>
      </c>
      <c r="E263" s="1" t="n">
        <v>46273</v>
      </c>
      <c r="F263" t="inlineStr">
        <is>
          <t>VÄRMLANDS LÄN</t>
        </is>
      </c>
      <c r="G263" t="inlineStr">
        <is>
          <t>KRISTINEHAMN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62349-2025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46273</v>
      </c>
      <c r="F264" t="inlineStr">
        <is>
          <t>VÄRMLANDS LÄN</t>
        </is>
      </c>
      <c r="G264" t="inlineStr">
        <is>
          <t>KRISTINEHAMN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46273</v>
      </c>
      <c r="F265" t="inlineStr">
        <is>
          <t>VÄRMLANDS LÄN</t>
        </is>
      </c>
      <c r="G265" t="inlineStr">
        <is>
          <t>KRISTINEHAMN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46273</v>
      </c>
      <c r="F266" t="inlineStr">
        <is>
          <t>VÄRMLANDS LÄN</t>
        </is>
      </c>
      <c r="G266" t="inlineStr">
        <is>
          <t>KRISTINEHAMN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46009</v>
      </c>
      <c r="E267" s="1" t="n">
        <v>46273</v>
      </c>
      <c r="F267" t="inlineStr">
        <is>
          <t>VÄRMLANDS LÄN</t>
        </is>
      </c>
      <c r="G267" t="inlineStr">
        <is>
          <t>KRISTINEHAMN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46273</v>
      </c>
      <c r="F268" t="inlineStr">
        <is>
          <t>VÄRMLANDS LÄN</t>
        </is>
      </c>
      <c r="G268" t="inlineStr">
        <is>
          <t>KRISTINEHAMN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46273</v>
      </c>
      <c r="F269" t="inlineStr">
        <is>
          <t>VÄRMLANDS LÄN</t>
        </is>
      </c>
      <c r="G269" t="inlineStr">
        <is>
          <t>KRISTINEHAMN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46273</v>
      </c>
      <c r="F270" t="inlineStr">
        <is>
          <t>VÄRMLANDS LÄN</t>
        </is>
      </c>
      <c r="G270" t="inlineStr">
        <is>
          <t>KRISTINEHAMN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28834-2024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45478</v>
      </c>
      <c r="E271" s="1" t="n">
        <v>46273</v>
      </c>
      <c r="F271" t="inlineStr">
        <is>
          <t>VÄRMLANDS LÄN</t>
        </is>
      </c>
      <c r="G271" t="inlineStr">
        <is>
          <t>KRISTINEHAMN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45450</v>
      </c>
      <c r="E272" s="1" t="n">
        <v>46273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Kommuner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44648</v>
      </c>
      <c r="E273" s="1" t="n">
        <v>46273</v>
      </c>
      <c r="F273" t="inlineStr">
        <is>
          <t>VÄRMLANDS LÄN</t>
        </is>
      </c>
      <c r="G273" t="inlineStr">
        <is>
          <t>KRISTINEHAMN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46273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45198</v>
      </c>
      <c r="E275" s="1" t="n">
        <v>46273</v>
      </c>
      <c r="F275" t="inlineStr">
        <is>
          <t>VÄRMLANDS LÄN</t>
        </is>
      </c>
      <c r="G275" t="inlineStr">
        <is>
          <t>KRISTINEHAMN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46273</v>
      </c>
      <c r="F276" t="inlineStr">
        <is>
          <t>VÄRMLANDS LÄN</t>
        </is>
      </c>
      <c r="G276" t="inlineStr">
        <is>
          <t>KRISTINEHAMN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46273</v>
      </c>
      <c r="F277" t="inlineStr">
        <is>
          <t>VÄRMLANDS LÄN</t>
        </is>
      </c>
      <c r="G277" t="inlineStr">
        <is>
          <t>KRISTINEHAMN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46273</v>
      </c>
      <c r="F278" t="inlineStr">
        <is>
          <t>VÄRMLANDS LÄN</t>
        </is>
      </c>
      <c r="G278" t="inlineStr">
        <is>
          <t>KRISTINEHAMN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46273</v>
      </c>
      <c r="F279" t="inlineStr">
        <is>
          <t>VÄRMLANDS LÄN</t>
        </is>
      </c>
      <c r="G279" t="inlineStr">
        <is>
          <t>KRISTINEHAMN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46273</v>
      </c>
      <c r="F280" t="inlineStr">
        <is>
          <t>VÄRMLANDS LÄN</t>
        </is>
      </c>
      <c r="G280" t="inlineStr">
        <is>
          <t>KRISTINEHAMN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45044</v>
      </c>
      <c r="E281" s="1" t="n">
        <v>46273</v>
      </c>
      <c r="F281" t="inlineStr">
        <is>
          <t>VÄRMLANDS LÄN</t>
        </is>
      </c>
      <c r="G281" t="inlineStr">
        <is>
          <t>KRISTINEHAMN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45313</v>
      </c>
      <c r="E282" s="1" t="n">
        <v>46273</v>
      </c>
      <c r="F282" t="inlineStr">
        <is>
          <t>VÄRMLANDS LÄN</t>
        </is>
      </c>
      <c r="G282" t="inlineStr">
        <is>
          <t>KRISTINEHAMN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46273</v>
      </c>
      <c r="F283" t="inlineStr">
        <is>
          <t>VÄRMLANDS LÄN</t>
        </is>
      </c>
      <c r="G283" t="inlineStr">
        <is>
          <t>KRISTINEHAMN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45456</v>
      </c>
      <c r="E284" s="1" t="n">
        <v>46273</v>
      </c>
      <c r="F284" t="inlineStr">
        <is>
          <t>VÄRMLANDS LÄN</t>
        </is>
      </c>
      <c r="G284" t="inlineStr">
        <is>
          <t>KRISTINEHAMN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46273</v>
      </c>
      <c r="F285" t="inlineStr">
        <is>
          <t>VÄRMLANDS LÄN</t>
        </is>
      </c>
      <c r="G285" t="inlineStr">
        <is>
          <t>KRISTINEHAMN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46273</v>
      </c>
      <c r="F286" t="inlineStr">
        <is>
          <t>VÄRMLANDS LÄN</t>
        </is>
      </c>
      <c r="G286" t="inlineStr">
        <is>
          <t>KRISTINEHAMN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26042-2022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44734</v>
      </c>
      <c r="E287" s="1" t="n">
        <v>46273</v>
      </c>
      <c r="F287" t="inlineStr">
        <is>
          <t>VÄRMLANDS LÄN</t>
        </is>
      </c>
      <c r="G287" t="inlineStr">
        <is>
          <t>KRISTINEHAMN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6259-2026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46051</v>
      </c>
      <c r="E288" s="1" t="n">
        <v>46273</v>
      </c>
      <c r="F288" t="inlineStr">
        <is>
          <t>VÄRMLANDS LÄN</t>
        </is>
      </c>
      <c r="G288" t="inlineStr">
        <is>
          <t>KRISTINEHAMN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46273</v>
      </c>
      <c r="F289" t="inlineStr">
        <is>
          <t>VÄRMLANDS LÄN</t>
        </is>
      </c>
      <c r="G289" t="inlineStr">
        <is>
          <t>KRISTINEHAMN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46273</v>
      </c>
      <c r="F290" t="inlineStr">
        <is>
          <t>VÄRMLANDS LÄN</t>
        </is>
      </c>
      <c r="G290" t="inlineStr">
        <is>
          <t>KRISTINEHAMN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45666</v>
      </c>
      <c r="E291" s="1" t="n">
        <v>46273</v>
      </c>
      <c r="F291" t="inlineStr">
        <is>
          <t>VÄRMLANDS LÄN</t>
        </is>
      </c>
      <c r="G291" t="inlineStr">
        <is>
          <t>KRISTINEHAMN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45181</v>
      </c>
      <c r="E292" s="1" t="n">
        <v>46273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45202</v>
      </c>
      <c r="E293" s="1" t="n">
        <v>46273</v>
      </c>
      <c r="F293" t="inlineStr">
        <is>
          <t>VÄRMLANDS LÄN</t>
        </is>
      </c>
      <c r="G293" t="inlineStr">
        <is>
          <t>KRISTINEHAMN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19292-2025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46273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Kyrkan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45243</v>
      </c>
      <c r="E295" s="1" t="n">
        <v>46273</v>
      </c>
      <c r="F295" t="inlineStr">
        <is>
          <t>VÄRMLANDS LÄN</t>
        </is>
      </c>
      <c r="G295" t="inlineStr">
        <is>
          <t>KRISTINEHAMN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46273</v>
      </c>
      <c r="F296" t="inlineStr">
        <is>
          <t>VÄRMLANDS LÄN</t>
        </is>
      </c>
      <c r="G296" t="inlineStr">
        <is>
          <t>KRISTINEHAMN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46273</v>
      </c>
      <c r="F297" t="inlineStr">
        <is>
          <t>VÄRMLANDS LÄN</t>
        </is>
      </c>
      <c r="G297" t="inlineStr">
        <is>
          <t>KRISTINEHAMN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44749</v>
      </c>
      <c r="E298" s="1" t="n">
        <v>46273</v>
      </c>
      <c r="F298" t="inlineStr">
        <is>
          <t>VÄRMLANDS LÄN</t>
        </is>
      </c>
      <c r="G298" t="inlineStr">
        <is>
          <t>KRISTINEHAMN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46273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Naturvårdsverket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46273</v>
      </c>
      <c r="F300" t="inlineStr">
        <is>
          <t>VÄRMLANDS LÄN</t>
        </is>
      </c>
      <c r="G300" t="inlineStr">
        <is>
          <t>KRISTINEHAMN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46213</v>
      </c>
      <c r="E301" s="1" t="n">
        <v>46273</v>
      </c>
      <c r="F301" t="inlineStr">
        <is>
          <t>VÄRMLANDS LÄN</t>
        </is>
      </c>
      <c r="G301" t="inlineStr">
        <is>
          <t>KRISTINEHAMN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45191</v>
      </c>
      <c r="E302" s="1" t="n">
        <v>46273</v>
      </c>
      <c r="F302" t="inlineStr">
        <is>
          <t>VÄRMLANDS LÄN</t>
        </is>
      </c>
      <c r="G302" t="inlineStr">
        <is>
          <t>KRISTINEHAMN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46273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48405-2023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45201</v>
      </c>
      <c r="E304" s="1" t="n">
        <v>46273</v>
      </c>
      <c r="F304" t="inlineStr">
        <is>
          <t>VÄRMLANDS LÄN</t>
        </is>
      </c>
      <c r="G304" t="inlineStr">
        <is>
          <t>KRISTINEHAMN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45302</v>
      </c>
      <c r="E305" s="1" t="n">
        <v>46273</v>
      </c>
      <c r="F305" t="inlineStr">
        <is>
          <t>VÄRMLANDS LÄN</t>
        </is>
      </c>
      <c r="G305" t="inlineStr">
        <is>
          <t>KRISTINEHAMN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46273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46273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45315</v>
      </c>
      <c r="E308" s="1" t="n">
        <v>46273</v>
      </c>
      <c r="F308" t="inlineStr">
        <is>
          <t>VÄRMLANDS LÄN</t>
        </is>
      </c>
      <c r="G308" t="inlineStr">
        <is>
          <t>KRISTINEHAMN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46273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46273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46273</v>
      </c>
      <c r="F311" t="inlineStr">
        <is>
          <t>VÄRMLANDS LÄN</t>
        </is>
      </c>
      <c r="G311" t="inlineStr">
        <is>
          <t>KRISTINEHAMN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46273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45344</v>
      </c>
      <c r="E313" s="1" t="n">
        <v>46273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Naturvårdsverket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42408-2022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44831</v>
      </c>
      <c r="E314" s="1" t="n">
        <v>46273</v>
      </c>
      <c r="F314" t="inlineStr">
        <is>
          <t>VÄRMLANDS LÄN</t>
        </is>
      </c>
      <c r="G314" t="inlineStr">
        <is>
          <t>KRISTINEHAMN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46273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46273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46101</v>
      </c>
      <c r="E317" s="1" t="n">
        <v>46273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45097</v>
      </c>
      <c r="E318" s="1" t="n">
        <v>46273</v>
      </c>
      <c r="F318" t="inlineStr">
        <is>
          <t>VÄRMLANDS LÄN</t>
        </is>
      </c>
      <c r="G318" t="inlineStr">
        <is>
          <t>KRISTINEHAMN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47467-2023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46273</v>
      </c>
      <c r="F319" t="inlineStr">
        <is>
          <t>VÄRMLANDS LÄN</t>
        </is>
      </c>
      <c r="G319" t="inlineStr">
        <is>
          <t>KRISTINEHAMN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56522-2021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44480</v>
      </c>
      <c r="E320" s="1" t="n">
        <v>46273</v>
      </c>
      <c r="F320" t="inlineStr">
        <is>
          <t>VÄRMLANDS LÄN</t>
        </is>
      </c>
      <c r="G320" t="inlineStr">
        <is>
          <t>KRISTINEHAMN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46101</v>
      </c>
      <c r="E321" s="1" t="n">
        <v>46273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46273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12395-2024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45379</v>
      </c>
      <c r="E323" s="1" t="n">
        <v>46273</v>
      </c>
      <c r="F323" t="inlineStr">
        <is>
          <t>VÄRMLANDS LÄN</t>
        </is>
      </c>
      <c r="G323" t="inlineStr">
        <is>
          <t>KRISTINEHAMN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46273</v>
      </c>
      <c r="F324" t="inlineStr">
        <is>
          <t>VÄRMLANDS LÄN</t>
        </is>
      </c>
      <c r="G324" t="inlineStr">
        <is>
          <t>KRISTINEHAMN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15646-2026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46106</v>
      </c>
      <c r="E325" s="1" t="n">
        <v>46273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46273</v>
      </c>
      <c r="F326" t="inlineStr">
        <is>
          <t>VÄRMLANDS LÄN</t>
        </is>
      </c>
      <c r="G326" t="inlineStr">
        <is>
          <t>KRISTINEHAMN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46273</v>
      </c>
      <c r="F327" t="inlineStr">
        <is>
          <t>VÄRMLANDS LÄN</t>
        </is>
      </c>
      <c r="G327" t="inlineStr">
        <is>
          <t>KRISTINEHAMN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46273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Kommuner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46273</v>
      </c>
      <c r="F329" t="inlineStr">
        <is>
          <t>VÄRMLANDS LÄN</t>
        </is>
      </c>
      <c r="G329" t="inlineStr">
        <is>
          <t>KRISTINEHAMN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47951-2021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44448</v>
      </c>
      <c r="E330" s="1" t="n">
        <v>46273</v>
      </c>
      <c r="F330" t="inlineStr">
        <is>
          <t>VÄRMLANDS LÄN</t>
        </is>
      </c>
      <c r="G330" t="inlineStr">
        <is>
          <t>KRISTINEHAMN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45112</v>
      </c>
      <c r="E331" s="1" t="n">
        <v>46273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45386</v>
      </c>
      <c r="E332" s="1" t="n">
        <v>46273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45302</v>
      </c>
      <c r="E333" s="1" t="n">
        <v>46273</v>
      </c>
      <c r="F333" t="inlineStr">
        <is>
          <t>VÄRMLANDS LÄN</t>
        </is>
      </c>
      <c r="G333" t="inlineStr">
        <is>
          <t>KRISTINEHAMN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46273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18909-2026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46129</v>
      </c>
      <c r="E335" s="1" t="n">
        <v>46273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32821-2023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45112</v>
      </c>
      <c r="E336" s="1" t="n">
        <v>46273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Kommuner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45681</v>
      </c>
      <c r="E337" s="1" t="n">
        <v>46273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46273</v>
      </c>
      <c r="F338" t="inlineStr">
        <is>
          <t>VÄRMLANDS LÄN</t>
        </is>
      </c>
      <c r="G338" t="inlineStr">
        <is>
          <t>KRISTINEHAMN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46230</v>
      </c>
      <c r="E339" s="1" t="n">
        <v>46273</v>
      </c>
      <c r="F339" t="inlineStr">
        <is>
          <t>VÄRMLANDS LÄN</t>
        </is>
      </c>
      <c r="G339" t="inlineStr">
        <is>
          <t>KRISTINEHAMN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45477</v>
      </c>
      <c r="E340" s="1" t="n">
        <v>46273</v>
      </c>
      <c r="F340" t="inlineStr">
        <is>
          <t>VÄRMLANDS LÄN</t>
        </is>
      </c>
      <c r="G340" t="inlineStr">
        <is>
          <t>KRISTINEHAMN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45268</v>
      </c>
      <c r="E341" s="1" t="n">
        <v>46273</v>
      </c>
      <c r="F341" t="inlineStr">
        <is>
          <t>VÄRMLANDS LÄN</t>
        </is>
      </c>
      <c r="G341" t="inlineStr">
        <is>
          <t>KRISTINEHAMN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44651</v>
      </c>
      <c r="E342" s="1" t="n">
        <v>46273</v>
      </c>
      <c r="F342" t="inlineStr">
        <is>
          <t>VÄRMLANDS LÄN</t>
        </is>
      </c>
      <c r="G342" t="inlineStr">
        <is>
          <t>KRISTINEHAMN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45563-2022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44841</v>
      </c>
      <c r="E343" s="1" t="n">
        <v>46273</v>
      </c>
      <c r="F343" t="inlineStr">
        <is>
          <t>VÄRMLANDS LÄN</t>
        </is>
      </c>
      <c r="G343" t="inlineStr">
        <is>
          <t>KRISTINEHAMN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27210-2022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44741</v>
      </c>
      <c r="E344" s="1" t="n">
        <v>46273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46273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46273</v>
      </c>
      <c r="F346" t="inlineStr">
        <is>
          <t>VÄRMLANDS LÄN</t>
        </is>
      </c>
      <c r="G346" t="inlineStr">
        <is>
          <t>KRISTINEHAMN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24710-2024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46273</v>
      </c>
      <c r="F347" t="inlineStr">
        <is>
          <t>VÄRMLANDS LÄN</t>
        </is>
      </c>
      <c r="G347" t="inlineStr">
        <is>
          <t>KRISTINEHAMN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51616-2023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46273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58616-2021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44489</v>
      </c>
      <c r="E349" s="1" t="n">
        <v>46273</v>
      </c>
      <c r="F349" t="inlineStr">
        <is>
          <t>VÄRMLANDS LÄN</t>
        </is>
      </c>
      <c r="G349" t="inlineStr">
        <is>
          <t>KRISTINEHAMN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45478</v>
      </c>
      <c r="E350" s="1" t="n">
        <v>46273</v>
      </c>
      <c r="F350" t="inlineStr">
        <is>
          <t>VÄRMLANDS LÄN</t>
        </is>
      </c>
      <c r="G350" t="inlineStr">
        <is>
          <t>KRISTINEHAMN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45478</v>
      </c>
      <c r="E351" s="1" t="n">
        <v>46273</v>
      </c>
      <c r="F351" t="inlineStr">
        <is>
          <t>VÄRMLANDS LÄN</t>
        </is>
      </c>
      <c r="G351" t="inlineStr">
        <is>
          <t>KRISTINEHAMN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36792-2023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45154</v>
      </c>
      <c r="E352" s="1" t="n">
        <v>46273</v>
      </c>
      <c r="F352" t="inlineStr">
        <is>
          <t>VÄRMLANDS LÄN</t>
        </is>
      </c>
      <c r="G352" t="inlineStr">
        <is>
          <t>KRISTINEHAMN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46273</v>
      </c>
      <c r="F353" t="inlineStr">
        <is>
          <t>VÄRMLANDS LÄN</t>
        </is>
      </c>
      <c r="G353" t="inlineStr">
        <is>
          <t>KRISTINEHAMN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45098</v>
      </c>
      <c r="E354" s="1" t="n">
        <v>46273</v>
      </c>
      <c r="F354" t="inlineStr">
        <is>
          <t>VÄRMLANDS LÄN</t>
        </is>
      </c>
      <c r="G354" t="inlineStr">
        <is>
          <t>KRISTINEHAMN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45701</v>
      </c>
      <c r="E355" s="1" t="n">
        <v>46273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Naturvårdsverket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68526-2021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44526</v>
      </c>
      <c r="E356" s="1" t="n">
        <v>46273</v>
      </c>
      <c r="F356" t="inlineStr">
        <is>
          <t>VÄRMLANDS LÄN</t>
        </is>
      </c>
      <c r="G356" t="inlineStr">
        <is>
          <t>KRISTINEHAMN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68530-2021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44526</v>
      </c>
      <c r="E357" s="1" t="n">
        <v>46273</v>
      </c>
      <c r="F357" t="inlineStr">
        <is>
          <t>VÄRMLANDS LÄN</t>
        </is>
      </c>
      <c r="G357" t="inlineStr">
        <is>
          <t>KRISTINEHAMN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46273</v>
      </c>
      <c r="F358" t="inlineStr">
        <is>
          <t>VÄRMLANDS LÄN</t>
        </is>
      </c>
      <c r="G358" t="inlineStr">
        <is>
          <t>KRISTINEHAMN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44595</v>
      </c>
      <c r="E359" s="1" t="n">
        <v>46273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Kommuner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44595</v>
      </c>
      <c r="E360" s="1" t="n">
        <v>46273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45243</v>
      </c>
      <c r="E361" s="1" t="n">
        <v>46273</v>
      </c>
      <c r="F361" t="inlineStr">
        <is>
          <t>VÄRMLANDS LÄN</t>
        </is>
      </c>
      <c r="G361" t="inlineStr">
        <is>
          <t>KRISTINEHAMN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46273</v>
      </c>
      <c r="F362" t="inlineStr">
        <is>
          <t>VÄRMLANDS LÄN</t>
        </is>
      </c>
      <c r="G362" t="inlineStr">
        <is>
          <t>KRISTINEHAMN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46273</v>
      </c>
      <c r="F363" t="inlineStr">
        <is>
          <t>VÄRMLANDS LÄN</t>
        </is>
      </c>
      <c r="G363" t="inlineStr">
        <is>
          <t>KRISTINEHAMN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45322</v>
      </c>
      <c r="E364" s="1" t="n">
        <v>46273</v>
      </c>
      <c r="F364" t="inlineStr">
        <is>
          <t>VÄRMLANDS LÄN</t>
        </is>
      </c>
      <c r="G364" t="inlineStr">
        <is>
          <t>KRISTINEHAMN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46273</v>
      </c>
      <c r="F365" t="inlineStr">
        <is>
          <t>VÄRMLANDS LÄN</t>
        </is>
      </c>
      <c r="G365" t="inlineStr">
        <is>
          <t>KRISTINEHAMN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44978</v>
      </c>
      <c r="E366" s="1" t="n">
        <v>46273</v>
      </c>
      <c r="F366" t="inlineStr">
        <is>
          <t>VÄRMLANDS LÄN</t>
        </is>
      </c>
      <c r="G366" t="inlineStr">
        <is>
          <t>KRISTINEHAMN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28152-2022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44746</v>
      </c>
      <c r="E367" s="1" t="n">
        <v>46273</v>
      </c>
      <c r="F367" t="inlineStr">
        <is>
          <t>VÄRMLANDS LÄN</t>
        </is>
      </c>
      <c r="G367" t="inlineStr">
        <is>
          <t>KRISTINEHAMN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45639</v>
      </c>
      <c r="E368" s="1" t="n">
        <v>46273</v>
      </c>
      <c r="F368" t="inlineStr">
        <is>
          <t>VÄRMLANDS LÄN</t>
        </is>
      </c>
      <c r="G368" t="inlineStr">
        <is>
          <t>KRISTINEHAMN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45450</v>
      </c>
      <c r="E369" s="1" t="n">
        <v>46273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Kommuner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22896-2023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45072</v>
      </c>
      <c r="E370" s="1" t="n">
        <v>46273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46273</v>
      </c>
      <c r="F371" t="inlineStr">
        <is>
          <t>VÄRMLANDS LÄN</t>
        </is>
      </c>
      <c r="G371" t="inlineStr">
        <is>
          <t>KRISTINEHAMN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44972</v>
      </c>
      <c r="E372" s="1" t="n">
        <v>46273</v>
      </c>
      <c r="F372" t="inlineStr">
        <is>
          <t>VÄRMLANDS LÄN</t>
        </is>
      </c>
      <c r="G372" t="inlineStr">
        <is>
          <t>KRISTINEHAMN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21861-2023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45068</v>
      </c>
      <c r="E373" s="1" t="n">
        <v>46273</v>
      </c>
      <c r="F373" t="inlineStr">
        <is>
          <t>VÄRMLANDS LÄN</t>
        </is>
      </c>
      <c r="G373" t="inlineStr">
        <is>
          <t>KRISTINEHAMN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45202</v>
      </c>
      <c r="E374" s="1" t="n">
        <v>46273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15406-2024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45401</v>
      </c>
      <c r="E375" s="1" t="n">
        <v>46273</v>
      </c>
      <c r="F375" t="inlineStr">
        <is>
          <t>VÄRMLANDS LÄN</t>
        </is>
      </c>
      <c r="G375" t="inlineStr">
        <is>
          <t>KRISTINEHAMN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34891-2023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45141</v>
      </c>
      <c r="E376" s="1" t="n">
        <v>46273</v>
      </c>
      <c r="F376" t="inlineStr">
        <is>
          <t>VÄRMLANDS LÄN</t>
        </is>
      </c>
      <c r="G376" t="inlineStr">
        <is>
          <t>KRISTINEHAMN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46273</v>
      </c>
      <c r="F377" t="inlineStr">
        <is>
          <t>VÄRMLANDS LÄN</t>
        </is>
      </c>
      <c r="G377" t="inlineStr">
        <is>
          <t>KRISTINEHAMN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46273</v>
      </c>
      <c r="F378" t="inlineStr">
        <is>
          <t>VÄRMLANDS LÄN</t>
        </is>
      </c>
      <c r="G378" t="inlineStr">
        <is>
          <t>KRISTINEHAMN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46273</v>
      </c>
      <c r="F379" t="inlineStr">
        <is>
          <t>VÄRMLANDS LÄN</t>
        </is>
      </c>
      <c r="G379" t="inlineStr">
        <is>
          <t>KRISTINEHAMN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46273</v>
      </c>
      <c r="F380" t="inlineStr">
        <is>
          <t>VÄRMLANDS LÄN</t>
        </is>
      </c>
      <c r="G380" t="inlineStr">
        <is>
          <t>KRISTINEHAMN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45167</v>
      </c>
      <c r="E381" s="1" t="n">
        <v>46273</v>
      </c>
      <c r="F381" t="inlineStr">
        <is>
          <t>VÄRMLANDS LÄN</t>
        </is>
      </c>
      <c r="G381" t="inlineStr">
        <is>
          <t>KRISTINEHAMN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45323</v>
      </c>
      <c r="E382" s="1" t="n">
        <v>46273</v>
      </c>
      <c r="F382" t="inlineStr">
        <is>
          <t>VÄRMLANDS LÄN</t>
        </is>
      </c>
      <c r="G382" t="inlineStr">
        <is>
          <t>KRISTINEHAMN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44985</v>
      </c>
      <c r="E383" s="1" t="n">
        <v>46273</v>
      </c>
      <c r="F383" t="inlineStr">
        <is>
          <t>VÄRMLANDS LÄN</t>
        </is>
      </c>
      <c r="G383" t="inlineStr">
        <is>
          <t>KRISTINEHAMN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44991</v>
      </c>
      <c r="E384" s="1" t="n">
        <v>46273</v>
      </c>
      <c r="F384" t="inlineStr">
        <is>
          <t>VÄRMLANDS LÄN</t>
        </is>
      </c>
      <c r="G384" t="inlineStr">
        <is>
          <t>KRISTINEHAMN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45631</v>
      </c>
      <c r="E385" s="1" t="n">
        <v>46273</v>
      </c>
      <c r="F385" t="inlineStr">
        <is>
          <t>VÄRMLANDS LÄN</t>
        </is>
      </c>
      <c r="G385" t="inlineStr">
        <is>
          <t>KRISTINEHAMN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27531-2022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46273</v>
      </c>
      <c r="F386" t="inlineStr">
        <is>
          <t>VÄRMLANDS LÄN</t>
        </is>
      </c>
      <c r="G386" t="inlineStr">
        <is>
          <t>KRISTINEHAMN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45705</v>
      </c>
      <c r="E387" s="1" t="n">
        <v>46273</v>
      </c>
      <c r="F387" t="inlineStr">
        <is>
          <t>VÄRMLANDS LÄN</t>
        </is>
      </c>
      <c r="G387" t="inlineStr">
        <is>
          <t>KRISTINEHAMN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46273</v>
      </c>
      <c r="F388" t="inlineStr">
        <is>
          <t>VÄRMLANDS LÄN</t>
        </is>
      </c>
      <c r="G388" t="inlineStr">
        <is>
          <t>KRISTINEHAMN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45202</v>
      </c>
      <c r="E389" s="1" t="n">
        <v>46273</v>
      </c>
      <c r="F389" t="inlineStr">
        <is>
          <t>VÄRMLANDS LÄN</t>
        </is>
      </c>
      <c r="G389" t="inlineStr">
        <is>
          <t>KRISTINEHAMN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51700-2023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46273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Bergvik skog väst AB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45379</v>
      </c>
      <c r="E391" s="1" t="n">
        <v>46273</v>
      </c>
      <c r="F391" t="inlineStr">
        <is>
          <t>VÄRMLANDS LÄN</t>
        </is>
      </c>
      <c r="G391" t="inlineStr">
        <is>
          <t>KRISTINEHAMN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59203-2024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46273</v>
      </c>
      <c r="F392" t="inlineStr">
        <is>
          <t>VÄRMLANDS LÄN</t>
        </is>
      </c>
      <c r="G392" t="inlineStr">
        <is>
          <t>KRISTINEHAMN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45679</v>
      </c>
      <c r="E393" s="1" t="n">
        <v>46273</v>
      </c>
      <c r="F393" t="inlineStr">
        <is>
          <t>VÄRMLANDS LÄN</t>
        </is>
      </c>
      <c r="G393" t="inlineStr">
        <is>
          <t>KRISTINEHAMN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46273</v>
      </c>
      <c r="F394" t="inlineStr">
        <is>
          <t>VÄRMLANDS LÄN</t>
        </is>
      </c>
      <c r="G394" t="inlineStr">
        <is>
          <t>KRISTINEHAMN</t>
        </is>
      </c>
      <c r="I394" t="n">
        <v>8.699999999999999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46273</v>
      </c>
      <c r="F395" t="inlineStr">
        <is>
          <t>VÄRMLANDS LÄN</t>
        </is>
      </c>
      <c r="G395" t="inlineStr">
        <is>
          <t>KRISTINEHAMN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21602-2025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45783</v>
      </c>
      <c r="E396" s="1" t="n">
        <v>46273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46273</v>
      </c>
      <c r="F397" t="inlineStr">
        <is>
          <t>VÄRMLANDS LÄN</t>
        </is>
      </c>
      <c r="G397" t="inlineStr">
        <is>
          <t>KRISTINEHAMN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46273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46273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45792</v>
      </c>
      <c r="E400" s="1" t="n">
        <v>46273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36774-2022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44805</v>
      </c>
      <c r="E401" s="1" t="n">
        <v>46273</v>
      </c>
      <c r="F401" t="inlineStr">
        <is>
          <t>VÄRMLANDS LÄN</t>
        </is>
      </c>
      <c r="G401" t="inlineStr">
        <is>
          <t>KRISTINEHAMN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23510-2025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45792</v>
      </c>
      <c r="E402" s="1" t="n">
        <v>46273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46273</v>
      </c>
      <c r="F403" t="inlineStr">
        <is>
          <t>VÄRMLANDS LÄN</t>
        </is>
      </c>
      <c r="G403" t="inlineStr">
        <is>
          <t>KRISTINEHAMN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65055-2023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45282</v>
      </c>
      <c r="E404" s="1" t="n">
        <v>46273</v>
      </c>
      <c r="F404" t="inlineStr">
        <is>
          <t>VÄRMLANDS LÄN</t>
        </is>
      </c>
      <c r="G404" t="inlineStr">
        <is>
          <t>KRISTINEHAMN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45407</v>
      </c>
      <c r="E405" s="1" t="n">
        <v>46273</v>
      </c>
      <c r="F405" t="inlineStr">
        <is>
          <t>VÄRMLANDS LÄN</t>
        </is>
      </c>
      <c r="G405" t="inlineStr">
        <is>
          <t>KRISTINEHAMN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45674</v>
      </c>
      <c r="E406" s="1" t="n">
        <v>46273</v>
      </c>
      <c r="F406" t="inlineStr">
        <is>
          <t>VÄRMLANDS LÄN</t>
        </is>
      </c>
      <c r="G406" t="inlineStr">
        <is>
          <t>KRISTINEHAMN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45700</v>
      </c>
      <c r="E407" s="1" t="n">
        <v>46273</v>
      </c>
      <c r="F407" t="inlineStr">
        <is>
          <t>VÄRMLANDS LÄN</t>
        </is>
      </c>
      <c r="G407" t="inlineStr">
        <is>
          <t>KRISTINEHAMN</t>
        </is>
      </c>
      <c r="I407" t="n">
        <v>11.2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46273</v>
      </c>
      <c r="F408" t="inlineStr">
        <is>
          <t>VÄRMLANDS LÄN</t>
        </is>
      </c>
      <c r="G408" t="inlineStr">
        <is>
          <t>KRISTINEHAMN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45012-2024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45575</v>
      </c>
      <c r="E409" s="1" t="n">
        <v>46273</v>
      </c>
      <c r="F409" t="inlineStr">
        <is>
          <t>VÄRMLANDS LÄN</t>
        </is>
      </c>
      <c r="G409" t="inlineStr">
        <is>
          <t>KRISTINEHAMN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45798</v>
      </c>
      <c r="E410" s="1" t="n">
        <v>46273</v>
      </c>
      <c r="F410" t="inlineStr">
        <is>
          <t>VÄRMLANDS LÄN</t>
        </is>
      </c>
      <c r="G410" t="inlineStr">
        <is>
          <t>KRISTINEHAMN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46273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25484-2025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45802</v>
      </c>
      <c r="E412" s="1" t="n">
        <v>46273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Naturvårdsverket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46273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46273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45810</v>
      </c>
      <c r="E415" s="1" t="n">
        <v>46273</v>
      </c>
      <c r="F415" t="inlineStr">
        <is>
          <t>VÄRMLANDS LÄN</t>
        </is>
      </c>
      <c r="G415" t="inlineStr">
        <is>
          <t>KRISTINEHAMN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26871-2025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45810</v>
      </c>
      <c r="E416" s="1" t="n">
        <v>46273</v>
      </c>
      <c r="F416" t="inlineStr">
        <is>
          <t>VÄRMLANDS LÄN</t>
        </is>
      </c>
      <c r="G416" t="inlineStr">
        <is>
          <t>KRISTINEHAMN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45812</v>
      </c>
      <c r="E417" s="1" t="n">
        <v>46273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45812</v>
      </c>
      <c r="E418" s="1" t="n">
        <v>46273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45820</v>
      </c>
      <c r="E419" s="1" t="n">
        <v>46273</v>
      </c>
      <c r="F419" t="inlineStr">
        <is>
          <t>VÄRMLANDS LÄN</t>
        </is>
      </c>
      <c r="G419" t="inlineStr">
        <is>
          <t>KRISTINEHAMN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45364</v>
      </c>
      <c r="E420" s="1" t="n">
        <v>46273</v>
      </c>
      <c r="F420" t="inlineStr">
        <is>
          <t>VÄRMLANDS LÄN</t>
        </is>
      </c>
      <c r="G420" t="inlineStr">
        <is>
          <t>KRISTINEHAMN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46273</v>
      </c>
      <c r="F421" t="inlineStr">
        <is>
          <t>VÄRMLANDS LÄN</t>
        </is>
      </c>
      <c r="G421" t="inlineStr">
        <is>
          <t>KRISTINEHAMN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12261-2024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45378</v>
      </c>
      <c r="E422" s="1" t="n">
        <v>46273</v>
      </c>
      <c r="F422" t="inlineStr">
        <is>
          <t>VÄRMLANDS LÄN</t>
        </is>
      </c>
      <c r="G422" t="inlineStr">
        <is>
          <t>KRISTINEHAMN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46273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45364</v>
      </c>
      <c r="E424" s="1" t="n">
        <v>46273</v>
      </c>
      <c r="F424" t="inlineStr">
        <is>
          <t>VÄRMLANDS LÄN</t>
        </is>
      </c>
      <c r="G424" t="inlineStr">
        <is>
          <t>KRISTINEHAMN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46273</v>
      </c>
      <c r="F425" t="inlineStr">
        <is>
          <t>VÄRMLANDS LÄN</t>
        </is>
      </c>
      <c r="G425" t="inlineStr">
        <is>
          <t>KRISTINEHAMN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45833</v>
      </c>
      <c r="E426" s="1" t="n">
        <v>46273</v>
      </c>
      <c r="F426" t="inlineStr">
        <is>
          <t>VÄRMLANDS LÄN</t>
        </is>
      </c>
      <c r="G426" t="inlineStr">
        <is>
          <t>KRISTINEHAMN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46273</v>
      </c>
      <c r="F427" t="inlineStr">
        <is>
          <t>VÄRMLANDS LÄN</t>
        </is>
      </c>
      <c r="G427" t="inlineStr">
        <is>
          <t>KRISTINEHAMN</t>
        </is>
      </c>
      <c r="I427" t="n">
        <v>20.1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45832</v>
      </c>
      <c r="E428" s="1" t="n">
        <v>46273</v>
      </c>
      <c r="F428" t="inlineStr">
        <is>
          <t>VÄRMLANDS LÄN</t>
        </is>
      </c>
      <c r="G428" t="inlineStr">
        <is>
          <t>KRISTINEHAMN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46273</v>
      </c>
      <c r="F429" t="inlineStr">
        <is>
          <t>VÄRMLANDS LÄN</t>
        </is>
      </c>
      <c r="G429" t="inlineStr">
        <is>
          <t>KRISTINEHAMN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46273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21384-2025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45782</v>
      </c>
      <c r="E431" s="1" t="n">
        <v>46273</v>
      </c>
      <c r="F431" t="inlineStr">
        <is>
          <t>VÄRMLANDS LÄN</t>
        </is>
      </c>
      <c r="G431" t="inlineStr">
        <is>
          <t>KRISTINEHAMN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44965</v>
      </c>
      <c r="E432" s="1" t="n">
        <v>46273</v>
      </c>
      <c r="F432" t="inlineStr">
        <is>
          <t>VÄRMLANDS LÄN</t>
        </is>
      </c>
      <c r="G432" t="inlineStr">
        <is>
          <t>KRISTINEHAMN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45876</v>
      </c>
      <c r="E433" s="1" t="n">
        <v>46273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37267-2025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45876</v>
      </c>
      <c r="E434" s="1" t="n">
        <v>46273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1219-2020</t>
        </is>
      </c>
      <c r="B435" t="inlineStr">
        <is>
          <t>samrådsanmälan</t>
        </is>
      </c>
      <c r="C435" t="n">
        <v/>
      </c>
      <c r="D435" s="1" t="n">
        <v>43980</v>
      </c>
      <c r="E435" s="1" t="n">
        <v>46273</v>
      </c>
      <c r="F435" t="inlineStr">
        <is>
          <t>VÄRMLANDS LÄN</t>
        </is>
      </c>
      <c r="G435" t="inlineStr">
        <is>
          <t>KRISTINEHAMN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1815-2022</t>
        </is>
      </c>
      <c r="B436" t="inlineStr">
        <is>
          <t>samrådsanmälan</t>
        </is>
      </c>
      <c r="C436" t="inlineStr">
        <is>
          <t>Åtgärd i nyckelbiotop</t>
        </is>
      </c>
      <c r="D436" s="1" t="n">
        <v>44657</v>
      </c>
      <c r="E436" s="1" t="n">
        <v>46273</v>
      </c>
      <c r="F436" t="inlineStr">
        <is>
          <t>VÄRMLANDS LÄN</t>
        </is>
      </c>
      <c r="G436" t="inlineStr">
        <is>
          <t>KRISTINEHAMN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46273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2393-2022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44690</v>
      </c>
      <c r="E438" s="1" t="n">
        <v>46273</v>
      </c>
      <c r="F438" t="inlineStr">
        <is>
          <t>VÄRMLANDS LÄN</t>
        </is>
      </c>
      <c r="G438" t="inlineStr">
        <is>
          <t>KRISTINEHAMN</t>
        </is>
      </c>
      <c r="I438" t="n">
        <v>51.7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4147-2023</t>
        </is>
      </c>
      <c r="B439" t="inlineStr">
        <is>
          <t>samrådsanmälan</t>
        </is>
      </c>
      <c r="C439" t="inlineStr">
        <is>
          <t>Skogsgödsling</t>
        </is>
      </c>
      <c r="D439" s="1" t="n">
        <v>45247</v>
      </c>
      <c r="E439" s="1" t="n">
        <v>46273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4149-2023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46273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9.5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2254-2023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45103</v>
      </c>
      <c r="E441" s="1" t="n">
        <v>46273</v>
      </c>
      <c r="F441" t="inlineStr">
        <is>
          <t>VÄRMLANDS LÄN</t>
        </is>
      </c>
      <c r="G441" t="inlineStr">
        <is>
          <t>KRISTINEHAMN</t>
        </is>
      </c>
      <c r="I441" t="n">
        <v>51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1899-2024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46273</v>
      </c>
      <c r="F442" t="inlineStr">
        <is>
          <t>VÄRMLANDS LÄN</t>
        </is>
      </c>
      <c r="G442" t="inlineStr">
        <is>
          <t>KRISTINEHAMN</t>
        </is>
      </c>
      <c r="I442" t="n">
        <v>21.4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2301-2024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45463</v>
      </c>
      <c r="E443" s="1" t="n">
        <v>46273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28.1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2553-2024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46273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46273</v>
      </c>
      <c r="F445" t="inlineStr">
        <is>
          <t>VÄRMLANDS LÄN</t>
        </is>
      </c>
      <c r="G445" t="inlineStr">
        <is>
          <t>KRISTINEHAMN</t>
        </is>
      </c>
      <c r="I445" t="n">
        <v>53.7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1903-2024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46273</v>
      </c>
      <c r="F446" t="inlineStr">
        <is>
          <t>VÄRMLANDS LÄN</t>
        </is>
      </c>
      <c r="G446" t="inlineStr">
        <is>
          <t>KRISTINEHAMN</t>
        </is>
      </c>
      <c r="I446" t="n">
        <v>104.3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717-2023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44985</v>
      </c>
      <c r="E447" s="1" t="n">
        <v>46273</v>
      </c>
      <c r="F447" t="inlineStr">
        <is>
          <t>VÄRMLANDS LÄN</t>
        </is>
      </c>
      <c r="G447" t="inlineStr">
        <is>
          <t>KRISTINEHAMN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1412-2024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45414</v>
      </c>
      <c r="E448" s="1" t="n">
        <v>46273</v>
      </c>
      <c r="F448" t="inlineStr">
        <is>
          <t>VÄRMLANDS LÄN</t>
        </is>
      </c>
      <c r="G448" t="inlineStr">
        <is>
          <t>KRISTINEHAMN</t>
        </is>
      </c>
      <c r="I448" t="n">
        <v>42.9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1900-2024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46273</v>
      </c>
      <c r="F449" t="inlineStr">
        <is>
          <t>VÄRMLANDS LÄN</t>
        </is>
      </c>
      <c r="G449" t="inlineStr">
        <is>
          <t>KRISTINEHAMN</t>
        </is>
      </c>
      <c r="I449" t="n">
        <v>63.5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3374-2024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46273</v>
      </c>
      <c r="F450" t="inlineStr">
        <is>
          <t>VÄRMLANDS LÄN</t>
        </is>
      </c>
      <c r="G450" t="inlineStr">
        <is>
          <t>KRISTINEHAMN</t>
        </is>
      </c>
      <c r="I450" t="n">
        <v>18.3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2464-2023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45118</v>
      </c>
      <c r="E451" s="1" t="n">
        <v>46273</v>
      </c>
      <c r="F451" t="inlineStr">
        <is>
          <t>VÄRMLANDS LÄN</t>
        </is>
      </c>
      <c r="G451" t="inlineStr">
        <is>
          <t>KRISTINEHAMN</t>
        </is>
      </c>
      <c r="I451" t="n">
        <v>42.3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4146-2023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46273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3007-2024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45512</v>
      </c>
      <c r="E453" s="1" t="n">
        <v>46273</v>
      </c>
      <c r="F453" t="inlineStr">
        <is>
          <t>VÄRMLANDS LÄN</t>
        </is>
      </c>
      <c r="G453" t="inlineStr">
        <is>
          <t>KRISTINEHAMN</t>
        </is>
      </c>
      <c r="I453" t="n">
        <v>56.9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45783</v>
      </c>
      <c r="E454" s="1" t="n">
        <v>46273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1546-2025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45792</v>
      </c>
      <c r="E455" s="1" t="n">
        <v>46273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1698-2025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45805</v>
      </c>
      <c r="E456" s="1" t="n">
        <v>46273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121-2026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46040</v>
      </c>
      <c r="E457" s="1" t="n">
        <v>46273</v>
      </c>
      <c r="F457" t="inlineStr">
        <is>
          <t>VÄRMLANDS LÄN</t>
        </is>
      </c>
      <c r="G457" t="inlineStr">
        <is>
          <t>KRISTINEHAMN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865-2026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46106</v>
      </c>
      <c r="E458" s="1" t="n">
        <v>46273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>
      <c r="A459" t="inlineStr">
        <is>
          <t>S 99-2026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46036</v>
      </c>
      <c r="E459" s="1" t="n">
        <v>46273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Naturvårdsverket</t>
        </is>
      </c>
      <c r="I459" t="n">
        <v>80.8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2026-09-08T02:11:08Z</dcterms:created>
  <dcterms:modified xmlns:dcterms="http://purl.org/dc/terms/" xmlns:xsi="http://www.w3.org/2001/XMLSchema-instance" xsi:type="dcterms:W3CDTF">2026-09-08T02:11:08Z</dcterms:modified>
</cp:coreProperties>
</file>