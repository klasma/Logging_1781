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46252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46252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46252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28394-2025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45819</v>
      </c>
      <c r="E19" s="1" t="n">
        <v>46252</v>
      </c>
      <c r="F19" t="inlineStr">
        <is>
          <t>VÄRMLANDS LÄN</t>
        </is>
      </c>
      <c r="G19" t="inlineStr">
        <is>
          <t>KRISTINEHAMN</t>
        </is>
      </c>
      <c r="I19" t="n">
        <v>1.4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vårtrattskivling</t>
        </is>
      </c>
      <c r="W19">
        <f>HYPERLINK("https://klasma.github.io/Logging_1781/artfynd/A 28394-2025 artfynd.xlsx", "A 28394-2025")</f>
        <v/>
      </c>
      <c r="X19">
        <f>HYPERLINK("https://klasma.github.io/Logging_1781/kartor/A 28394-2025 karta.png", "A 28394-2025")</f>
        <v/>
      </c>
      <c r="Y19">
        <f>HYPERLINK("https://klasma.github.io/Logging_1781/kartor_geotiff/A 28394-2025 georefererad karta.tif", "A 28394-2025")</f>
        <v/>
      </c>
      <c r="AA19">
        <f>HYPERLINK("https://klasma.github.io/Logging_1781/klagomål/A 28394-2025 FSC-klagomål.docx", "A 28394-2025")</f>
        <v/>
      </c>
      <c r="AB19">
        <f>HYPERLINK("https://klasma.github.io/Logging_1781/klagomålsmail/A 28394-2025 FSC-klagomål mail.docx", "A 28394-2025")</f>
        <v/>
      </c>
      <c r="AC19">
        <f>HYPERLINK("https://klasma.github.io/Logging_1781/tillsyn/A 28394-2025 tillsynsbegäran.docx", "A 28394-2025")</f>
        <v/>
      </c>
      <c r="AD19">
        <f>HYPERLINK("https://klasma.github.io/Logging_1781/tillsynsmail/A 28394-2025 tillsynsbegäran mail.docx", "A 28394-2025")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46252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13025-2023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46252</v>
      </c>
      <c r="F21" t="inlineStr">
        <is>
          <t>VÄRMLANDS LÄN</t>
        </is>
      </c>
      <c r="G21" t="inlineStr">
        <is>
          <t>KRISTINEHAMN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Kamjordstjärna</t>
        </is>
      </c>
      <c r="W21">
        <f>HYPERLINK("https://klasma.github.io/Logging_1781/artfynd/A 13025-2023 artfynd.xlsx", "A 13025-2023")</f>
        <v/>
      </c>
      <c r="X21">
        <f>HYPERLINK("https://klasma.github.io/Logging_1781/kartor/A 13025-2023 karta.png", "A 13025-2023")</f>
        <v/>
      </c>
      <c r="Y21">
        <f>HYPERLINK("https://klasma.github.io/Logging_1781/kartor_geotiff/A 13025-2023 georefererad karta.tif", "A 13025-2023")</f>
        <v/>
      </c>
      <c r="AA21">
        <f>HYPERLINK("https://klasma.github.io/Logging_1781/klagomål/A 13025-2023 FSC-klagomål.docx", "A 13025-2023")</f>
        <v/>
      </c>
      <c r="AB21">
        <f>HYPERLINK("https://klasma.github.io/Logging_1781/klagomålsmail/A 13025-2023 FSC-klagomål mail.docx", "A 13025-2023")</f>
        <v/>
      </c>
      <c r="AC21">
        <f>HYPERLINK("https://klasma.github.io/Logging_1781/tillsyn/A 13025-2023 tillsynsbegäran.docx", "A 13025-2023")</f>
        <v/>
      </c>
      <c r="AD21">
        <f>HYPERLINK("https://klasma.github.io/Logging_1781/tillsynsmail/A 13025-2023 tillsynsbegäran mail.docx", "A 13025-2023")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46252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12593-2024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45380</v>
      </c>
      <c r="E23" s="1" t="n">
        <v>46252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Bombmurkla</t>
        </is>
      </c>
      <c r="W23">
        <f>HYPERLINK("https://klasma.github.io/Logging_1781/artfynd/A 12593-2024 artfynd.xlsx", "A 12593-2024")</f>
        <v/>
      </c>
      <c r="X23">
        <f>HYPERLINK("https://klasma.github.io/Logging_1781/kartor/A 12593-2024 karta.png", "A 12593-2024")</f>
        <v/>
      </c>
      <c r="Y23">
        <f>HYPERLINK("https://klasma.github.io/Logging_1781/kartor_geotiff/A 12593-2024 georefererad karta.tif", "A 12593-2024")</f>
        <v/>
      </c>
      <c r="AA23">
        <f>HYPERLINK("https://klasma.github.io/Logging_1781/klagomål/A 12593-2024 FSC-klagomål.docx", "A 12593-2024")</f>
        <v/>
      </c>
      <c r="AB23">
        <f>HYPERLINK("https://klasma.github.io/Logging_1781/klagomålsmail/A 12593-2024 FSC-klagomål mail.docx", "A 12593-2024")</f>
        <v/>
      </c>
      <c r="AC23">
        <f>HYPERLINK("https://klasma.github.io/Logging_1781/tillsyn/A 12593-2024 tillsynsbegäran.docx", "A 12593-2024")</f>
        <v/>
      </c>
      <c r="AD23">
        <f>HYPERLINK("https://klasma.github.io/Logging_1781/tillsynsmail/A 12593-2024 tillsynsbegäran mail.docx", "A 12593-2024")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46252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46252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46252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46252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46252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45122-2022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44843</v>
      </c>
      <c r="E29" s="1" t="n">
        <v>46252</v>
      </c>
      <c r="F29" t="inlineStr">
        <is>
          <t>VÄRMLANDS LÄN</t>
        </is>
      </c>
      <c r="G29" t="inlineStr">
        <is>
          <t>KRISTINEHAMN</t>
        </is>
      </c>
      <c r="I29" t="n">
        <v>3.3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Dvärglin</t>
        </is>
      </c>
      <c r="W29">
        <f>HYPERLINK("https://klasma.github.io/Logging_1781/artfynd/A 45122-2022 artfynd.xlsx", "A 45122-2022")</f>
        <v/>
      </c>
      <c r="X29">
        <f>HYPERLINK("https://klasma.github.io/Logging_1781/kartor/A 45122-2022 karta.png", "A 45122-2022")</f>
        <v/>
      </c>
      <c r="Y29">
        <f>HYPERLINK("https://klasma.github.io/Logging_1781/kartor_geotiff/A 45122-2022 georefererad karta.tif", "A 45122-2022")</f>
        <v/>
      </c>
      <c r="AA29">
        <f>HYPERLINK("https://klasma.github.io/Logging_1781/klagomål/A 45122-2022 FSC-klagomål.docx", "A 45122-2022")</f>
        <v/>
      </c>
      <c r="AB29">
        <f>HYPERLINK("https://klasma.github.io/Logging_1781/klagomålsmail/A 45122-2022 FSC-klagomål mail.docx", "A 45122-2022")</f>
        <v/>
      </c>
      <c r="AC29">
        <f>HYPERLINK("https://klasma.github.io/Logging_1781/tillsyn/A 45122-2022 tillsynsbegäran.docx", "A 45122-2022")</f>
        <v/>
      </c>
      <c r="AD29">
        <f>HYPERLINK("https://klasma.github.io/Logging_1781/tillsynsmail/A 45122-2022 tillsynsbegäran mail.docx", "A 45122-2022")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46252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46252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46252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46252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46252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46252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46252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46252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46252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46252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46252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46252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46252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46252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46252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46252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46252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46252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46252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46252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46252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46252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46252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46252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46252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46252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46252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46252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46252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46252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46252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46252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46252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46252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46252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46252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46252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46252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46252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46252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46252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46252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46252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46252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46252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46252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46252</v>
      </c>
      <c r="F88" t="inlineStr">
        <is>
          <t>VÄRMLANDS LÄN</t>
        </is>
      </c>
      <c r="G88" t="inlineStr">
        <is>
          <t>KRISTINEHAMN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46252</v>
      </c>
      <c r="F89" t="inlineStr">
        <is>
          <t>VÄRMLANDS LÄN</t>
        </is>
      </c>
      <c r="G89" t="inlineStr">
        <is>
          <t>KRISTINEHAMN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46252</v>
      </c>
      <c r="F90" t="inlineStr">
        <is>
          <t>VÄRMLANDS LÄN</t>
        </is>
      </c>
      <c r="G90" t="inlineStr">
        <is>
          <t>KRISTINEHAMN</t>
        </is>
      </c>
      <c r="H90" t="inlineStr">
        <is>
          <t>Sveaskog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46252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45076</v>
      </c>
      <c r="E92" s="1" t="n">
        <v>46252</v>
      </c>
      <c r="F92" t="inlineStr">
        <is>
          <t>VÄRMLANDS LÄN</t>
        </is>
      </c>
      <c r="G92" t="inlineStr">
        <is>
          <t>KRISTINEHAMN</t>
        </is>
      </c>
      <c r="I92" t="n">
        <v>15.9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46252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46252</v>
      </c>
      <c r="F94" t="inlineStr">
        <is>
          <t>VÄRMLANDS LÄN</t>
        </is>
      </c>
      <c r="G94" t="inlineStr">
        <is>
          <t>KRISTINEHAMN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45079</v>
      </c>
      <c r="E95" s="1" t="n">
        <v>46252</v>
      </c>
      <c r="F95" t="inlineStr">
        <is>
          <t>VÄRMLANDS LÄN</t>
        </is>
      </c>
      <c r="G95" t="inlineStr">
        <is>
          <t>KRISTINEHAMN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46252</v>
      </c>
      <c r="F96" t="inlineStr">
        <is>
          <t>VÄRMLANDS LÄN</t>
        </is>
      </c>
      <c r="G96" t="inlineStr">
        <is>
          <t>KRISTINEHAMN</t>
        </is>
      </c>
      <c r="H96" t="inlineStr">
        <is>
          <t>Kommuner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46252</v>
      </c>
      <c r="F97" t="inlineStr">
        <is>
          <t>VÄRMLANDS LÄN</t>
        </is>
      </c>
      <c r="G97" t="inlineStr">
        <is>
          <t>KRISTINEHAMN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44707</v>
      </c>
      <c r="E98" s="1" t="n">
        <v>46252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45366</v>
      </c>
      <c r="E99" s="1" t="n">
        <v>46252</v>
      </c>
      <c r="F99" t="inlineStr">
        <is>
          <t>VÄRMLANDS LÄN</t>
        </is>
      </c>
      <c r="G99" t="inlineStr">
        <is>
          <t>KRISTINEHAMN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46252</v>
      </c>
      <c r="F100" t="inlineStr">
        <is>
          <t>VÄRMLANDS LÄN</t>
        </is>
      </c>
      <c r="G100" t="inlineStr">
        <is>
          <t>KRISTINEHAMN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44497</v>
      </c>
      <c r="E101" s="1" t="n">
        <v>46252</v>
      </c>
      <c r="F101" t="inlineStr">
        <is>
          <t>VÄRMLANDS LÄN</t>
        </is>
      </c>
      <c r="G101" t="inlineStr">
        <is>
          <t>KRISTINEHAMN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46252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46252</v>
      </c>
      <c r="F103" t="inlineStr">
        <is>
          <t>VÄRMLANDS LÄN</t>
        </is>
      </c>
      <c r="G103" t="inlineStr">
        <is>
          <t>KRISTINEHAMN</t>
        </is>
      </c>
      <c r="I103" t="n">
        <v>11.3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46252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46252</v>
      </c>
      <c r="F105" t="inlineStr">
        <is>
          <t>VÄRMLANDS LÄN</t>
        </is>
      </c>
      <c r="G105" t="inlineStr">
        <is>
          <t>KRISTINEHAMN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45364</v>
      </c>
      <c r="E106" s="1" t="n">
        <v>46252</v>
      </c>
      <c r="F106" t="inlineStr">
        <is>
          <t>VÄRMLANDS LÄN</t>
        </is>
      </c>
      <c r="G106" t="inlineStr">
        <is>
          <t>KRISTINEHAMN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45364</v>
      </c>
      <c r="E107" s="1" t="n">
        <v>46252</v>
      </c>
      <c r="F107" t="inlineStr">
        <is>
          <t>VÄRMLANDS LÄN</t>
        </is>
      </c>
      <c r="G107" t="inlineStr">
        <is>
          <t>KRISTINEHAMN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44448</v>
      </c>
      <c r="E108" s="1" t="n">
        <v>46252</v>
      </c>
      <c r="F108" t="inlineStr">
        <is>
          <t>VÄRMLANDS LÄN</t>
        </is>
      </c>
      <c r="G108" t="inlineStr">
        <is>
          <t>KRISTINEHAMN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46252</v>
      </c>
      <c r="F109" t="inlineStr">
        <is>
          <t>VÄRMLANDS LÄN</t>
        </is>
      </c>
      <c r="G109" t="inlineStr">
        <is>
          <t>KRISTINEHAMN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46252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Kommuner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46252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45379</v>
      </c>
      <c r="E112" s="1" t="n">
        <v>46252</v>
      </c>
      <c r="F112" t="inlineStr">
        <is>
          <t>VÄRMLANDS LÄN</t>
        </is>
      </c>
      <c r="G112" t="inlineStr">
        <is>
          <t>KRISTINEHAMN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46252</v>
      </c>
      <c r="F113" t="inlineStr">
        <is>
          <t>VÄRMLANDS LÄN</t>
        </is>
      </c>
      <c r="G113" t="inlineStr">
        <is>
          <t>KRISTINEHAMN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46252</v>
      </c>
      <c r="F114" t="inlineStr">
        <is>
          <t>VÄRMLANDS LÄN</t>
        </is>
      </c>
      <c r="G114" t="inlineStr">
        <is>
          <t>KRISTINEHAMN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46252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46252</v>
      </c>
      <c r="F116" t="inlineStr">
        <is>
          <t>VÄRMLANDS LÄN</t>
        </is>
      </c>
      <c r="G116" t="inlineStr">
        <is>
          <t>KRISTINEHAMN</t>
        </is>
      </c>
      <c r="I116" t="n">
        <v>20.1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46252</v>
      </c>
      <c r="F117" t="inlineStr">
        <is>
          <t>VÄRMLANDS LÄN</t>
        </is>
      </c>
      <c r="G117" t="inlineStr">
        <is>
          <t>KRISTINEHAMN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46252</v>
      </c>
      <c r="F118" t="inlineStr">
        <is>
          <t>VÄRMLANDS LÄN</t>
        </is>
      </c>
      <c r="G118" t="inlineStr">
        <is>
          <t>KRISTINEHAMN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46252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44473</v>
      </c>
      <c r="E120" s="1" t="n">
        <v>46252</v>
      </c>
      <c r="F120" t="inlineStr">
        <is>
          <t>VÄRMLANDS LÄN</t>
        </is>
      </c>
      <c r="G120" t="inlineStr">
        <is>
          <t>KRISTINEHAMN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46252</v>
      </c>
      <c r="F121" t="inlineStr">
        <is>
          <t>VÄRMLANDS LÄN</t>
        </is>
      </c>
      <c r="G121" t="inlineStr">
        <is>
          <t>KRISTINEHAMN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46252</v>
      </c>
      <c r="F122" t="inlineStr">
        <is>
          <t>VÄRMLANDS LÄN</t>
        </is>
      </c>
      <c r="G122" t="inlineStr">
        <is>
          <t>KRISTINEHAMN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45563-2022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44841</v>
      </c>
      <c r="E123" s="1" t="n">
        <v>46252</v>
      </c>
      <c r="F123" t="inlineStr">
        <is>
          <t>VÄRMLANDS LÄN</t>
        </is>
      </c>
      <c r="G123" t="inlineStr">
        <is>
          <t>KRISTINEHAMN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45361</v>
      </c>
      <c r="E124" s="1" t="n">
        <v>46252</v>
      </c>
      <c r="F124" t="inlineStr">
        <is>
          <t>VÄRMLANDS LÄN</t>
        </is>
      </c>
      <c r="G124" t="inlineStr">
        <is>
          <t>KRISTINEHAMN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21702-2024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45442</v>
      </c>
      <c r="E125" s="1" t="n">
        <v>46252</v>
      </c>
      <c r="F125" t="inlineStr">
        <is>
          <t>VÄRMLANDS LÄN</t>
        </is>
      </c>
      <c r="G125" t="inlineStr">
        <is>
          <t>KRISTINEHAMN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45081</v>
      </c>
      <c r="E126" s="1" t="n">
        <v>46252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46252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48416-2021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46252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46252</v>
      </c>
      <c r="F129" t="inlineStr">
        <is>
          <t>VÄRMLANDS LÄN</t>
        </is>
      </c>
      <c r="G129" t="inlineStr">
        <is>
          <t>KRISTINEHAMN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46252</v>
      </c>
      <c r="F130" t="inlineStr">
        <is>
          <t>VÄRMLANDS LÄN</t>
        </is>
      </c>
      <c r="G130" t="inlineStr">
        <is>
          <t>KRISTINEHAMN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46252</v>
      </c>
      <c r="F131" t="inlineStr">
        <is>
          <t>VÄRMLANDS LÄN</t>
        </is>
      </c>
      <c r="G131" t="inlineStr">
        <is>
          <t>KRISTINEHAMN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46252</v>
      </c>
      <c r="F132" t="inlineStr">
        <is>
          <t>VÄRMLANDS LÄN</t>
        </is>
      </c>
      <c r="G132" t="inlineStr">
        <is>
          <t>KRISTINEHAMN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68505-2021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46252</v>
      </c>
      <c r="F133" t="inlineStr">
        <is>
          <t>VÄRMLANDS LÄN</t>
        </is>
      </c>
      <c r="G133" t="inlineStr">
        <is>
          <t>KRISTINEHAMN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46252</v>
      </c>
      <c r="F134" t="inlineStr">
        <is>
          <t>VÄRMLANDS LÄN</t>
        </is>
      </c>
      <c r="G134" t="inlineStr">
        <is>
          <t>KRISTINEHAMN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45095</v>
      </c>
      <c r="E135" s="1" t="n">
        <v>46252</v>
      </c>
      <c r="F135" t="inlineStr">
        <is>
          <t>VÄRMLANDS LÄN</t>
        </is>
      </c>
      <c r="G135" t="inlineStr">
        <is>
          <t>KRISTINEHAMN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45392</v>
      </c>
      <c r="E136" s="1" t="n">
        <v>46252</v>
      </c>
      <c r="F136" t="inlineStr">
        <is>
          <t>VÄRMLANDS LÄN</t>
        </is>
      </c>
      <c r="G136" t="inlineStr">
        <is>
          <t>KRISTINEHAMN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44974</v>
      </c>
      <c r="E137" s="1" t="n">
        <v>46252</v>
      </c>
      <c r="F137" t="inlineStr">
        <is>
          <t>VÄRMLANDS LÄN</t>
        </is>
      </c>
      <c r="G137" t="inlineStr">
        <is>
          <t>KRISTINEHAMN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46252</v>
      </c>
      <c r="F138" t="inlineStr">
        <is>
          <t>VÄRMLANDS LÄN</t>
        </is>
      </c>
      <c r="G138" t="inlineStr">
        <is>
          <t>KRISTINEHAMN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46252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Kommuner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68526-2021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44526</v>
      </c>
      <c r="E140" s="1" t="n">
        <v>46252</v>
      </c>
      <c r="F140" t="inlineStr">
        <is>
          <t>VÄRMLANDS LÄN</t>
        </is>
      </c>
      <c r="G140" t="inlineStr">
        <is>
          <t>KRISTINEHAMN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44526</v>
      </c>
      <c r="E141" s="1" t="n">
        <v>46252</v>
      </c>
      <c r="F141" t="inlineStr">
        <is>
          <t>VÄRMLANDS LÄN</t>
        </is>
      </c>
      <c r="G141" t="inlineStr">
        <is>
          <t>KRISTINEHAMN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46252</v>
      </c>
      <c r="F142" t="inlineStr">
        <is>
          <t>VÄRMLANDS LÄN</t>
        </is>
      </c>
      <c r="G142" t="inlineStr">
        <is>
          <t>KRISTINEHAMN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46252</v>
      </c>
      <c r="F143" t="inlineStr">
        <is>
          <t>VÄRMLANDS LÄN</t>
        </is>
      </c>
      <c r="G143" t="inlineStr">
        <is>
          <t>KRISTINEHAMN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46252</v>
      </c>
      <c r="F144" t="inlineStr">
        <is>
          <t>VÄRMLANDS LÄN</t>
        </is>
      </c>
      <c r="G144" t="inlineStr">
        <is>
          <t>KRISTINEHAMN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46252</v>
      </c>
      <c r="F145" t="inlineStr">
        <is>
          <t>VÄRMLANDS LÄN</t>
        </is>
      </c>
      <c r="G145" t="inlineStr">
        <is>
          <t>KRISTINEHAMN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46252</v>
      </c>
      <c r="F146" t="inlineStr">
        <is>
          <t>VÄRMLANDS LÄN</t>
        </is>
      </c>
      <c r="G146" t="inlineStr">
        <is>
          <t>KRISTINEHAMN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46252</v>
      </c>
      <c r="F147" t="inlineStr">
        <is>
          <t>VÄRMLANDS LÄN</t>
        </is>
      </c>
      <c r="G147" t="inlineStr">
        <is>
          <t>KRISTINEHAMN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46252</v>
      </c>
      <c r="F148" t="inlineStr">
        <is>
          <t>VÄRMLANDS LÄN</t>
        </is>
      </c>
      <c r="G148" t="inlineStr">
        <is>
          <t>KRISTINEHAMN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44923</v>
      </c>
      <c r="E149" s="1" t="n">
        <v>46252</v>
      </c>
      <c r="F149" t="inlineStr">
        <is>
          <t>VÄRMLANDS LÄN</t>
        </is>
      </c>
      <c r="G149" t="inlineStr">
        <is>
          <t>KRISTINEHAMN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44972</v>
      </c>
      <c r="E150" s="1" t="n">
        <v>46252</v>
      </c>
      <c r="F150" t="inlineStr">
        <is>
          <t>VÄRMLANDS LÄN</t>
        </is>
      </c>
      <c r="G150" t="inlineStr">
        <is>
          <t>KRISTINEHAMN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46252</v>
      </c>
      <c r="F151" t="inlineStr">
        <is>
          <t>VÄRMLANDS LÄN</t>
        </is>
      </c>
      <c r="G151" t="inlineStr">
        <is>
          <t>KRISTINEHAMN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46252</v>
      </c>
      <c r="F152" t="inlineStr">
        <is>
          <t>VÄRMLANDS LÄN</t>
        </is>
      </c>
      <c r="G152" t="inlineStr">
        <is>
          <t>KRISTINEHAMN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9394-2024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46252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46252</v>
      </c>
      <c r="F154" t="inlineStr">
        <is>
          <t>VÄRMLANDS LÄN</t>
        </is>
      </c>
      <c r="G154" t="inlineStr">
        <is>
          <t>KRISTINEHAMN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46252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46252</v>
      </c>
      <c r="F156" t="inlineStr">
        <is>
          <t>VÄRMLANDS LÄN</t>
        </is>
      </c>
      <c r="G156" t="inlineStr">
        <is>
          <t>KRISTINEHAMN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46252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Kommuner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46252</v>
      </c>
      <c r="F158" t="inlineStr">
        <is>
          <t>VÄRMLANDS LÄN</t>
        </is>
      </c>
      <c r="G158" t="inlineStr">
        <is>
          <t>KRISTINEHAMN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46252</v>
      </c>
      <c r="F159" t="inlineStr">
        <is>
          <t>VÄRMLANDS LÄN</t>
        </is>
      </c>
      <c r="G159" t="inlineStr">
        <is>
          <t>KRISTINEHAMN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46252</v>
      </c>
      <c r="F160" t="inlineStr">
        <is>
          <t>VÄRMLANDS LÄN</t>
        </is>
      </c>
      <c r="G160" t="inlineStr">
        <is>
          <t>KRISTINEHAMN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46252</v>
      </c>
      <c r="F161" t="inlineStr">
        <is>
          <t>VÄRMLANDS LÄN</t>
        </is>
      </c>
      <c r="G161" t="inlineStr">
        <is>
          <t>KRISTINEHAMN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46252</v>
      </c>
      <c r="F162" t="inlineStr">
        <is>
          <t>VÄRMLANDS LÄN</t>
        </is>
      </c>
      <c r="G162" t="inlineStr">
        <is>
          <t>KRISTINEHAMN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46252</v>
      </c>
      <c r="F163" t="inlineStr">
        <is>
          <t>VÄRMLANDS LÄN</t>
        </is>
      </c>
      <c r="G163" t="inlineStr">
        <is>
          <t>KRISTINEHAMN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46252</v>
      </c>
      <c r="F164" t="inlineStr">
        <is>
          <t>VÄRMLANDS LÄN</t>
        </is>
      </c>
      <c r="G164" t="inlineStr">
        <is>
          <t>KRISTINEHAMN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46252</v>
      </c>
      <c r="F165" t="inlineStr">
        <is>
          <t>VÄRMLANDS LÄN</t>
        </is>
      </c>
      <c r="G165" t="inlineStr">
        <is>
          <t>KRISTINEHAMN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46252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46252</v>
      </c>
      <c r="F167" t="inlineStr">
        <is>
          <t>VÄRMLANDS LÄN</t>
        </is>
      </c>
      <c r="G167" t="inlineStr">
        <is>
          <t>KRISTINEHAMN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46252</v>
      </c>
      <c r="F168" t="inlineStr">
        <is>
          <t>VÄRMLANDS LÄN</t>
        </is>
      </c>
      <c r="G168" t="inlineStr">
        <is>
          <t>KRISTINEHAMN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46252</v>
      </c>
      <c r="F169" t="inlineStr">
        <is>
          <t>VÄRMLANDS LÄN</t>
        </is>
      </c>
      <c r="G169" t="inlineStr">
        <is>
          <t>KRISTINEHAMN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46252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46252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46252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46252</v>
      </c>
      <c r="F173" t="inlineStr">
        <is>
          <t>VÄRMLANDS LÄN</t>
        </is>
      </c>
      <c r="G173" t="inlineStr">
        <is>
          <t>KRISTINEHAMN</t>
        </is>
      </c>
      <c r="I173" t="n">
        <v>8.699999999999999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46252</v>
      </c>
      <c r="F174" t="inlineStr">
        <is>
          <t>VÄRMLANDS LÄN</t>
        </is>
      </c>
      <c r="G174" t="inlineStr">
        <is>
          <t>KRISTINEHAMN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45447</v>
      </c>
      <c r="E175" s="1" t="n">
        <v>46252</v>
      </c>
      <c r="F175" t="inlineStr">
        <is>
          <t>VÄRMLANDS LÄN</t>
        </is>
      </c>
      <c r="G175" t="inlineStr">
        <is>
          <t>KRISTINEHAMN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46252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46252</v>
      </c>
      <c r="F177" t="inlineStr">
        <is>
          <t>VÄRMLANDS LÄN</t>
        </is>
      </c>
      <c r="G177" t="inlineStr">
        <is>
          <t>KRISTINEHAMN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45662</v>
      </c>
      <c r="E178" s="1" t="n">
        <v>46252</v>
      </c>
      <c r="F178" t="inlineStr">
        <is>
          <t>VÄRMLANDS LÄN</t>
        </is>
      </c>
      <c r="G178" t="inlineStr">
        <is>
          <t>KRISTINEHAMN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46252</v>
      </c>
      <c r="F179" t="inlineStr">
        <is>
          <t>VÄRMLANDS LÄN</t>
        </is>
      </c>
      <c r="G179" t="inlineStr">
        <is>
          <t>KRISTINEHAMN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46252</v>
      </c>
      <c r="F180" t="inlineStr">
        <is>
          <t>VÄRMLANDS LÄN</t>
        </is>
      </c>
      <c r="G180" t="inlineStr">
        <is>
          <t>KRISTINEHAMN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45461</v>
      </c>
      <c r="E181" s="1" t="n">
        <v>46252</v>
      </c>
      <c r="F181" t="inlineStr">
        <is>
          <t>VÄRMLANDS LÄN</t>
        </is>
      </c>
      <c r="G181" t="inlineStr">
        <is>
          <t>KRISTINEHAMN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46252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45313</v>
      </c>
      <c r="E183" s="1" t="n">
        <v>46252</v>
      </c>
      <c r="F183" t="inlineStr">
        <is>
          <t>VÄRMLANDS LÄN</t>
        </is>
      </c>
      <c r="G183" t="inlineStr">
        <is>
          <t>KRISTINEHAMN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45876</v>
      </c>
      <c r="E184" s="1" t="n">
        <v>46252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44595</v>
      </c>
      <c r="E185" s="1" t="n">
        <v>46252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Kommuner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46252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Kommuner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46252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46252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46252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Naturvårdsverket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45302</v>
      </c>
      <c r="E190" s="1" t="n">
        <v>46252</v>
      </c>
      <c r="F190" t="inlineStr">
        <is>
          <t>VÄRMLANDS LÄN</t>
        </is>
      </c>
      <c r="G190" t="inlineStr">
        <is>
          <t>KRISTINEHAMN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46252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44855</v>
      </c>
      <c r="E192" s="1" t="n">
        <v>46252</v>
      </c>
      <c r="F192" t="inlineStr">
        <is>
          <t>VÄRMLANDS LÄN</t>
        </is>
      </c>
      <c r="G192" t="inlineStr">
        <is>
          <t>KRISTINEHAMN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46252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46252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46252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45636</v>
      </c>
      <c r="E196" s="1" t="n">
        <v>46252</v>
      </c>
      <c r="F196" t="inlineStr">
        <is>
          <t>VÄRMLANDS LÄN</t>
        </is>
      </c>
      <c r="G196" t="inlineStr">
        <is>
          <t>KRISTINEHAMN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47951-2021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44448</v>
      </c>
      <c r="E197" s="1" t="n">
        <v>46252</v>
      </c>
      <c r="F197" t="inlineStr">
        <is>
          <t>VÄRMLANDS LÄN</t>
        </is>
      </c>
      <c r="G197" t="inlineStr">
        <is>
          <t>KRISTINEHAMN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45044</v>
      </c>
      <c r="E198" s="1" t="n">
        <v>46252</v>
      </c>
      <c r="F198" t="inlineStr">
        <is>
          <t>VÄRMLANDS LÄN</t>
        </is>
      </c>
      <c r="G198" t="inlineStr">
        <is>
          <t>KRISTINEHAMN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46252</v>
      </c>
      <c r="F199" t="inlineStr">
        <is>
          <t>VÄRMLANDS LÄN</t>
        </is>
      </c>
      <c r="G199" t="inlineStr">
        <is>
          <t>KRISTINEHAMN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45478</v>
      </c>
      <c r="E200" s="1" t="n">
        <v>46252</v>
      </c>
      <c r="F200" t="inlineStr">
        <is>
          <t>VÄRMLANDS LÄN</t>
        </is>
      </c>
      <c r="G200" t="inlineStr">
        <is>
          <t>KRISTINEHAMN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46252</v>
      </c>
      <c r="F201" t="inlineStr">
        <is>
          <t>VÄRMLANDS LÄN</t>
        </is>
      </c>
      <c r="G201" t="inlineStr">
        <is>
          <t>KRISTINEHAMN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46252</v>
      </c>
      <c r="F202" t="inlineStr">
        <is>
          <t>VÄRMLANDS LÄN</t>
        </is>
      </c>
      <c r="G202" t="inlineStr">
        <is>
          <t>KRISTINEHAMN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46252</v>
      </c>
      <c r="F203" t="inlineStr">
        <is>
          <t>VÄRMLANDS LÄN</t>
        </is>
      </c>
      <c r="G203" t="inlineStr">
        <is>
          <t>KRISTINEHAMN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46252</v>
      </c>
      <c r="F204" t="inlineStr">
        <is>
          <t>VÄRMLANDS LÄN</t>
        </is>
      </c>
      <c r="G204" t="inlineStr">
        <is>
          <t>KRISTINEHAMN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46252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46252</v>
      </c>
      <c r="F206" t="inlineStr">
        <is>
          <t>VÄRMLANDS LÄN</t>
        </is>
      </c>
      <c r="G206" t="inlineStr">
        <is>
          <t>KRISTINEHAMN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46252</v>
      </c>
      <c r="F207" t="inlineStr">
        <is>
          <t>VÄRMLANDS LÄN</t>
        </is>
      </c>
      <c r="G207" t="inlineStr">
        <is>
          <t>KRISTINEHAMN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56315-2025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45974</v>
      </c>
      <c r="E208" s="1" t="n">
        <v>46252</v>
      </c>
      <c r="F208" t="inlineStr">
        <is>
          <t>VÄRMLANDS LÄN</t>
        </is>
      </c>
      <c r="G208" t="inlineStr">
        <is>
          <t>KRISTINEHAMN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44746</v>
      </c>
      <c r="E209" s="1" t="n">
        <v>46252</v>
      </c>
      <c r="F209" t="inlineStr">
        <is>
          <t>VÄRMLANDS LÄN</t>
        </is>
      </c>
      <c r="G209" t="inlineStr">
        <is>
          <t>KRISTINEHAMN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50174-2024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46252</v>
      </c>
      <c r="F210" t="inlineStr">
        <is>
          <t>VÄRMLANDS LÄN</t>
        </is>
      </c>
      <c r="G210" t="inlineStr">
        <is>
          <t>KRISTINEHAMN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46252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46252</v>
      </c>
      <c r="F212" t="inlineStr">
        <is>
          <t>VÄRMLANDS LÄN</t>
        </is>
      </c>
      <c r="G212" t="inlineStr">
        <is>
          <t>KRISTINEHAMN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44941</v>
      </c>
      <c r="E213" s="1" t="n">
        <v>46252</v>
      </c>
      <c r="F213" t="inlineStr">
        <is>
          <t>VÄRMLANDS LÄN</t>
        </is>
      </c>
      <c r="G213" t="inlineStr">
        <is>
          <t>KRISTINEHAMN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46252</v>
      </c>
      <c r="F214" t="inlineStr">
        <is>
          <t>VÄRMLANDS LÄN</t>
        </is>
      </c>
      <c r="G214" t="inlineStr">
        <is>
          <t>KRISTINEHAMN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46252</v>
      </c>
      <c r="F215" t="inlineStr">
        <is>
          <t>VÄRMLANDS LÄN</t>
        </is>
      </c>
      <c r="G215" t="inlineStr">
        <is>
          <t>KRISTINEHAMN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46252</v>
      </c>
      <c r="F216" t="inlineStr">
        <is>
          <t>VÄRMLANDS LÄN</t>
        </is>
      </c>
      <c r="G216" t="inlineStr">
        <is>
          <t>KRISTINEHAMN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46252</v>
      </c>
      <c r="F217" t="inlineStr">
        <is>
          <t>VÄRMLANDS LÄN</t>
        </is>
      </c>
      <c r="G217" t="inlineStr">
        <is>
          <t>KRISTINEHAMN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46252</v>
      </c>
      <c r="F218" t="inlineStr">
        <is>
          <t>VÄRMLANDS LÄN</t>
        </is>
      </c>
      <c r="G218" t="inlineStr">
        <is>
          <t>KRISTINEHAMN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46252</v>
      </c>
      <c r="F219" t="inlineStr">
        <is>
          <t>VÄRMLANDS LÄN</t>
        </is>
      </c>
      <c r="G219" t="inlineStr">
        <is>
          <t>KRISTINEHAMN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44742</v>
      </c>
      <c r="E220" s="1" t="n">
        <v>46252</v>
      </c>
      <c r="F220" t="inlineStr">
        <is>
          <t>VÄRMLANDS LÄN</t>
        </is>
      </c>
      <c r="G220" t="inlineStr">
        <is>
          <t>KRISTINEHAMN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46252</v>
      </c>
      <c r="F221" t="inlineStr">
        <is>
          <t>VÄRMLANDS LÄN</t>
        </is>
      </c>
      <c r="G221" t="inlineStr">
        <is>
          <t>KRISTINEHAMN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45450</v>
      </c>
      <c r="E222" s="1" t="n">
        <v>46252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46252</v>
      </c>
      <c r="F223" t="inlineStr">
        <is>
          <t>VÄRMLANDS LÄN</t>
        </is>
      </c>
      <c r="G223" t="inlineStr">
        <is>
          <t>KRISTINEHAMN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46252</v>
      </c>
      <c r="F224" t="inlineStr">
        <is>
          <t>VÄRMLANDS LÄN</t>
        </is>
      </c>
      <c r="G224" t="inlineStr">
        <is>
          <t>KRISTINEHAMN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45370</v>
      </c>
      <c r="E225" s="1" t="n">
        <v>46252</v>
      </c>
      <c r="F225" t="inlineStr">
        <is>
          <t>VÄRMLANDS LÄN</t>
        </is>
      </c>
      <c r="G225" t="inlineStr">
        <is>
          <t>KRISTINEHAMN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45000</v>
      </c>
      <c r="E226" s="1" t="n">
        <v>46252</v>
      </c>
      <c r="F226" t="inlineStr">
        <is>
          <t>VÄRMLANDS LÄN</t>
        </is>
      </c>
      <c r="G226" t="inlineStr">
        <is>
          <t>KRISTINEHAMN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46252</v>
      </c>
      <c r="F227" t="inlineStr">
        <is>
          <t>VÄRMLANDS LÄN</t>
        </is>
      </c>
      <c r="G227" t="inlineStr">
        <is>
          <t>KRISTINEHAMN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46252</v>
      </c>
      <c r="F228" t="inlineStr">
        <is>
          <t>VÄRMLANDS LÄN</t>
        </is>
      </c>
      <c r="G228" t="inlineStr">
        <is>
          <t>KRISTINEHAMN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46252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46252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46252</v>
      </c>
      <c r="F231" t="inlineStr">
        <is>
          <t>VÄRMLANDS LÄN</t>
        </is>
      </c>
      <c r="G231" t="inlineStr">
        <is>
          <t>KRISTINEHAMN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46252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46252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45110</v>
      </c>
      <c r="E235" s="1" t="n">
        <v>46252</v>
      </c>
      <c r="F235" t="inlineStr">
        <is>
          <t>VÄRMLANDS LÄN</t>
        </is>
      </c>
      <c r="G235" t="inlineStr">
        <is>
          <t>KRISTINEHAMN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46252</v>
      </c>
      <c r="F236" t="inlineStr">
        <is>
          <t>VÄRMLANDS LÄN</t>
        </is>
      </c>
      <c r="G236" t="inlineStr">
        <is>
          <t>KRISTINEHAMN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46252</v>
      </c>
      <c r="F237" t="inlineStr">
        <is>
          <t>VÄRMLANDS LÄN</t>
        </is>
      </c>
      <c r="G237" t="inlineStr">
        <is>
          <t>KRISTINEHAMN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46252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46252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46252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Bergvik skog väst AB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46252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46252</v>
      </c>
      <c r="F242" t="inlineStr">
        <is>
          <t>VÄRMLANDS LÄN</t>
        </is>
      </c>
      <c r="G242" t="inlineStr">
        <is>
          <t>KRISTINEHAMN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46252</v>
      </c>
      <c r="F243" t="inlineStr">
        <is>
          <t>VÄRMLANDS LÄN</t>
        </is>
      </c>
      <c r="G243" t="inlineStr">
        <is>
          <t>KRISTINEHAMN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19447-2024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46252</v>
      </c>
      <c r="F244" t="inlineStr">
        <is>
          <t>VÄRMLANDS LÄN</t>
        </is>
      </c>
      <c r="G244" t="inlineStr">
        <is>
          <t>KRISTINEHAMN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46252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45678</v>
      </c>
      <c r="E246" s="1" t="n">
        <v>46252</v>
      </c>
      <c r="F246" t="inlineStr">
        <is>
          <t>VÄRMLANDS LÄN</t>
        </is>
      </c>
      <c r="G246" t="inlineStr">
        <is>
          <t>KRISTINEHAMN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46252</v>
      </c>
      <c r="F247" t="inlineStr">
        <is>
          <t>VÄRMLANDS LÄN</t>
        </is>
      </c>
      <c r="G247" t="inlineStr">
        <is>
          <t>KRISTINEHAMN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46252</v>
      </c>
      <c r="F248" t="inlineStr">
        <is>
          <t>VÄRMLANDS LÄN</t>
        </is>
      </c>
      <c r="G248" t="inlineStr">
        <is>
          <t>KRISTINEHAMN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46252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Kommuner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46252</v>
      </c>
      <c r="F250" t="inlineStr">
        <is>
          <t>VÄRMLANDS LÄN</t>
        </is>
      </c>
      <c r="G250" t="inlineStr">
        <is>
          <t>KRISTINEHAMN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41857-2023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45176</v>
      </c>
      <c r="E251" s="1" t="n">
        <v>46252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45456</v>
      </c>
      <c r="E252" s="1" t="n">
        <v>46252</v>
      </c>
      <c r="F252" t="inlineStr">
        <is>
          <t>VÄRMLANDS LÄN</t>
        </is>
      </c>
      <c r="G252" t="inlineStr">
        <is>
          <t>KRISTINEHAMN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46252</v>
      </c>
      <c r="F253" t="inlineStr">
        <is>
          <t>VÄRMLANDS LÄN</t>
        </is>
      </c>
      <c r="G253" t="inlineStr">
        <is>
          <t>KRISTINEHAMN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46252</v>
      </c>
      <c r="F254" t="inlineStr">
        <is>
          <t>VÄRMLANDS LÄN</t>
        </is>
      </c>
      <c r="G254" t="inlineStr">
        <is>
          <t>KRISTINEHAMN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45243</v>
      </c>
      <c r="E255" s="1" t="n">
        <v>46252</v>
      </c>
      <c r="F255" t="inlineStr">
        <is>
          <t>VÄRMLANDS LÄN</t>
        </is>
      </c>
      <c r="G255" t="inlineStr">
        <is>
          <t>KRISTINEHAMN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46252</v>
      </c>
      <c r="F256" t="inlineStr">
        <is>
          <t>VÄRMLANDS LÄN</t>
        </is>
      </c>
      <c r="G256" t="inlineStr">
        <is>
          <t>KRISTINEHAMN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45686</v>
      </c>
      <c r="E257" s="1" t="n">
        <v>46252</v>
      </c>
      <c r="F257" t="inlineStr">
        <is>
          <t>VÄRMLANDS LÄN</t>
        </is>
      </c>
      <c r="G257" t="inlineStr">
        <is>
          <t>KRISTINEHAMN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45302</v>
      </c>
      <c r="E258" s="1" t="n">
        <v>46252</v>
      </c>
      <c r="F258" t="inlineStr">
        <is>
          <t>VÄRMLANDS LÄN</t>
        </is>
      </c>
      <c r="G258" t="inlineStr">
        <is>
          <t>KRISTINEHAMN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23704-2022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46252</v>
      </c>
      <c r="F259" t="inlineStr">
        <is>
          <t>VÄRMLANDS LÄN</t>
        </is>
      </c>
      <c r="G259" t="inlineStr">
        <is>
          <t>KRISTINEHAMN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44722</v>
      </c>
      <c r="E260" s="1" t="n">
        <v>46252</v>
      </c>
      <c r="F260" t="inlineStr">
        <is>
          <t>VÄRMLANDS LÄN</t>
        </is>
      </c>
      <c r="G260" t="inlineStr">
        <is>
          <t>KRISTINEHAMN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45666</v>
      </c>
      <c r="E261" s="1" t="n">
        <v>46252</v>
      </c>
      <c r="F261" t="inlineStr">
        <is>
          <t>VÄRMLANDS LÄN</t>
        </is>
      </c>
      <c r="G261" t="inlineStr">
        <is>
          <t>KRISTINEHAMN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45002</v>
      </c>
      <c r="E262" s="1" t="n">
        <v>46252</v>
      </c>
      <c r="F262" t="inlineStr">
        <is>
          <t>VÄRMLANDS LÄN</t>
        </is>
      </c>
      <c r="G262" t="inlineStr">
        <is>
          <t>KRISTINEHAMN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46252</v>
      </c>
      <c r="F263" t="inlineStr">
        <is>
          <t>VÄRMLANDS LÄN</t>
        </is>
      </c>
      <c r="G263" t="inlineStr">
        <is>
          <t>KRISTINEHAMN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46252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45167</v>
      </c>
      <c r="E265" s="1" t="n">
        <v>46252</v>
      </c>
      <c r="F265" t="inlineStr">
        <is>
          <t>VÄRMLANDS LÄN</t>
        </is>
      </c>
      <c r="G265" t="inlineStr">
        <is>
          <t>KRISTINEHAMN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46252</v>
      </c>
      <c r="F266" t="inlineStr">
        <is>
          <t>VÄRMLANDS LÄN</t>
        </is>
      </c>
      <c r="G266" t="inlineStr">
        <is>
          <t>KRISTINEHAMN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46252</v>
      </c>
      <c r="F267" t="inlineStr">
        <is>
          <t>VÄRMLANDS LÄN</t>
        </is>
      </c>
      <c r="G267" t="inlineStr">
        <is>
          <t>KRISTINEHAMN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46252</v>
      </c>
      <c r="F268" t="inlineStr">
        <is>
          <t>VÄRMLANDS LÄN</t>
        </is>
      </c>
      <c r="G268" t="inlineStr">
        <is>
          <t>KRISTINEHAMN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46252</v>
      </c>
      <c r="F269" t="inlineStr">
        <is>
          <t>VÄRMLANDS LÄN</t>
        </is>
      </c>
      <c r="G269" t="inlineStr">
        <is>
          <t>KRISTINEHAMN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44734</v>
      </c>
      <c r="E270" s="1" t="n">
        <v>46252</v>
      </c>
      <c r="F270" t="inlineStr">
        <is>
          <t>VÄRMLANDS LÄN</t>
        </is>
      </c>
      <c r="G270" t="inlineStr">
        <is>
          <t>KRISTINEHAMN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46252</v>
      </c>
      <c r="F271" t="inlineStr">
        <is>
          <t>VÄRMLANDS LÄN</t>
        </is>
      </c>
      <c r="G271" t="inlineStr">
        <is>
          <t>KRISTINEHAMN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45313</v>
      </c>
      <c r="E272" s="1" t="n">
        <v>46252</v>
      </c>
      <c r="F272" t="inlineStr">
        <is>
          <t>VÄRMLANDS LÄN</t>
        </is>
      </c>
      <c r="G272" t="inlineStr">
        <is>
          <t>KRISTINEHAMN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45647</v>
      </c>
      <c r="E273" s="1" t="n">
        <v>46252</v>
      </c>
      <c r="F273" t="inlineStr">
        <is>
          <t>VÄRMLANDS LÄN</t>
        </is>
      </c>
      <c r="G273" t="inlineStr">
        <is>
          <t>KRISTINEHAMN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45302</v>
      </c>
      <c r="E274" s="1" t="n">
        <v>46252</v>
      </c>
      <c r="F274" t="inlineStr">
        <is>
          <t>VÄRMLANDS LÄN</t>
        </is>
      </c>
      <c r="G274" t="inlineStr">
        <is>
          <t>KRISTINEHAMN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44473</v>
      </c>
      <c r="E275" s="1" t="n">
        <v>46252</v>
      </c>
      <c r="F275" t="inlineStr">
        <is>
          <t>VÄRMLANDS LÄN</t>
        </is>
      </c>
      <c r="G275" t="inlineStr">
        <is>
          <t>KRISTINEHAMN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46252</v>
      </c>
      <c r="F276" t="inlineStr">
        <is>
          <t>VÄRMLANDS LÄN</t>
        </is>
      </c>
      <c r="G276" t="inlineStr">
        <is>
          <t>KRISTINEHAMN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46252</v>
      </c>
      <c r="F277" t="inlineStr">
        <is>
          <t>VÄRMLANDS LÄN</t>
        </is>
      </c>
      <c r="G277" t="inlineStr">
        <is>
          <t>KRISTINEHAMN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46252</v>
      </c>
      <c r="F278" t="inlineStr">
        <is>
          <t>VÄRMLANDS LÄN</t>
        </is>
      </c>
      <c r="G278" t="inlineStr">
        <is>
          <t>KRISTINEHAMN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46252</v>
      </c>
      <c r="F279" t="inlineStr">
        <is>
          <t>VÄRMLANDS LÄN</t>
        </is>
      </c>
      <c r="G279" t="inlineStr">
        <is>
          <t>KRISTINEHAMN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46252</v>
      </c>
      <c r="F280" t="inlineStr">
        <is>
          <t>VÄRMLANDS LÄN</t>
        </is>
      </c>
      <c r="G280" t="inlineStr">
        <is>
          <t>KRISTINEHAMN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46252</v>
      </c>
      <c r="F281" t="inlineStr">
        <is>
          <t>VÄRMLANDS LÄN</t>
        </is>
      </c>
      <c r="G281" t="inlineStr">
        <is>
          <t>KRISTINEHAMN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46252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13459-2024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45387</v>
      </c>
      <c r="E283" s="1" t="n">
        <v>46252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45770</v>
      </c>
      <c r="E284" s="1" t="n">
        <v>46252</v>
      </c>
      <c r="F284" t="inlineStr">
        <is>
          <t>VÄRMLANDS LÄN</t>
        </is>
      </c>
      <c r="G284" t="inlineStr">
        <is>
          <t>KRISTINEHAMN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46252</v>
      </c>
      <c r="F285" t="inlineStr">
        <is>
          <t>VÄRMLANDS LÄN</t>
        </is>
      </c>
      <c r="G285" t="inlineStr">
        <is>
          <t>KRISTINEHAMN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46252</v>
      </c>
      <c r="F286" t="inlineStr">
        <is>
          <t>VÄRMLANDS LÄN</t>
        </is>
      </c>
      <c r="G286" t="inlineStr">
        <is>
          <t>KRISTINEHAMN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46252</v>
      </c>
      <c r="F287" t="inlineStr">
        <is>
          <t>VÄRMLANDS LÄN</t>
        </is>
      </c>
      <c r="G287" t="inlineStr">
        <is>
          <t>KRISTINEHAMN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46252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45442</v>
      </c>
      <c r="E289" s="1" t="n">
        <v>46252</v>
      </c>
      <c r="F289" t="inlineStr">
        <is>
          <t>VÄRMLANDS LÄN</t>
        </is>
      </c>
      <c r="G289" t="inlineStr">
        <is>
          <t>KRISTINEHAMN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45226</v>
      </c>
      <c r="E290" s="1" t="n">
        <v>46252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46252</v>
      </c>
      <c r="F291" t="inlineStr">
        <is>
          <t>VÄRMLANDS LÄN</t>
        </is>
      </c>
      <c r="G291" t="inlineStr">
        <is>
          <t>KRISTINEHAMN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46252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46252</v>
      </c>
      <c r="F293" t="inlineStr">
        <is>
          <t>VÄRMLANDS LÄN</t>
        </is>
      </c>
      <c r="G293" t="inlineStr">
        <is>
          <t>KRISTINEHAMN</t>
        </is>
      </c>
      <c r="I293" t="n">
        <v>19.4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45208</v>
      </c>
      <c r="E294" s="1" t="n">
        <v>46252</v>
      </c>
      <c r="F294" t="inlineStr">
        <is>
          <t>VÄRMLANDS LÄN</t>
        </is>
      </c>
      <c r="G294" t="inlineStr">
        <is>
          <t>KRISTINEHAMN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45260</v>
      </c>
      <c r="E295" s="1" t="n">
        <v>46252</v>
      </c>
      <c r="F295" t="inlineStr">
        <is>
          <t>VÄRMLANDS LÄN</t>
        </is>
      </c>
      <c r="G295" t="inlineStr">
        <is>
          <t>KRISTINEHAMN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46252</v>
      </c>
      <c r="F296" t="inlineStr">
        <is>
          <t>VÄRMLANDS LÄN</t>
        </is>
      </c>
      <c r="G296" t="inlineStr">
        <is>
          <t>KRISTINEHAMN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46252</v>
      </c>
      <c r="F297" t="inlineStr">
        <is>
          <t>VÄRMLANDS LÄN</t>
        </is>
      </c>
      <c r="G297" t="inlineStr">
        <is>
          <t>KRISTINEHAMN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46252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6259-2026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46051</v>
      </c>
      <c r="E299" s="1" t="n">
        <v>46252</v>
      </c>
      <c r="F299" t="inlineStr">
        <is>
          <t>VÄRMLANDS LÄN</t>
        </is>
      </c>
      <c r="G299" t="inlineStr">
        <is>
          <t>KRISTINEHAMN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55003-2021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44474</v>
      </c>
      <c r="E300" s="1" t="n">
        <v>46252</v>
      </c>
      <c r="F300" t="inlineStr">
        <is>
          <t>VÄRMLANDS LÄN</t>
        </is>
      </c>
      <c r="G300" t="inlineStr">
        <is>
          <t>KRISTINEHAMN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45379</v>
      </c>
      <c r="E301" s="1" t="n">
        <v>46252</v>
      </c>
      <c r="F301" t="inlineStr">
        <is>
          <t>VÄRMLANDS LÄN</t>
        </is>
      </c>
      <c r="G301" t="inlineStr">
        <is>
          <t>KRISTINEHAMN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45379</v>
      </c>
      <c r="E302" s="1" t="n">
        <v>46252</v>
      </c>
      <c r="F302" t="inlineStr">
        <is>
          <t>VÄRMLANDS LÄN</t>
        </is>
      </c>
      <c r="G302" t="inlineStr">
        <is>
          <t>KRISTINEHAMN</t>
        </is>
      </c>
      <c r="I302" t="n">
        <v>12.6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44656</v>
      </c>
      <c r="E303" s="1" t="n">
        <v>46252</v>
      </c>
      <c r="F303" t="inlineStr">
        <is>
          <t>VÄRMLANDS LÄN</t>
        </is>
      </c>
      <c r="G303" t="inlineStr">
        <is>
          <t>KRISTINEHAMN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45203</v>
      </c>
      <c r="E304" s="1" t="n">
        <v>46252</v>
      </c>
      <c r="F304" t="inlineStr">
        <is>
          <t>VÄRMLANDS LÄN</t>
        </is>
      </c>
      <c r="G304" t="inlineStr">
        <is>
          <t>KRISTINEHAMN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44431</v>
      </c>
      <c r="E305" s="1" t="n">
        <v>46252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46037</v>
      </c>
      <c r="E306" s="1" t="n">
        <v>46252</v>
      </c>
      <c r="F306" t="inlineStr">
        <is>
          <t>VÄRMLANDS LÄN</t>
        </is>
      </c>
      <c r="G306" t="inlineStr">
        <is>
          <t>KRISTINEHAMN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49335-2021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44454</v>
      </c>
      <c r="E307" s="1" t="n">
        <v>46252</v>
      </c>
      <c r="F307" t="inlineStr">
        <is>
          <t>VÄRMLANDS LÄN</t>
        </is>
      </c>
      <c r="G307" t="inlineStr">
        <is>
          <t>KRISTINEHAMN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54690-2022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44883</v>
      </c>
      <c r="E308" s="1" t="n">
        <v>46252</v>
      </c>
      <c r="F308" t="inlineStr">
        <is>
          <t>VÄRMLANDS LÄN</t>
        </is>
      </c>
      <c r="G308" t="inlineStr">
        <is>
          <t>KRISTINEHAMN</t>
        </is>
      </c>
      <c r="I308" t="n">
        <v>11.1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46230</v>
      </c>
      <c r="E309" s="1" t="n">
        <v>46252</v>
      </c>
      <c r="F309" t="inlineStr">
        <is>
          <t>VÄRMLANDS LÄN</t>
        </is>
      </c>
      <c r="G309" t="inlineStr">
        <is>
          <t>KRISTINEHAMN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46252</v>
      </c>
      <c r="F310" t="inlineStr">
        <is>
          <t>VÄRMLANDS LÄN</t>
        </is>
      </c>
      <c r="G310" t="inlineStr">
        <is>
          <t>KRISTINEHAMN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22896-2023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45072</v>
      </c>
      <c r="E311" s="1" t="n">
        <v>46252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46252</v>
      </c>
      <c r="F312" t="inlineStr">
        <is>
          <t>VÄRMLANDS LÄN</t>
        </is>
      </c>
      <c r="G312" t="inlineStr">
        <is>
          <t>KRISTINEHAMN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46252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46252</v>
      </c>
      <c r="F314" t="inlineStr">
        <is>
          <t>VÄRMLANDS LÄN</t>
        </is>
      </c>
      <c r="G314" t="inlineStr">
        <is>
          <t>KRISTINEHAMN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44851</v>
      </c>
      <c r="E315" s="1" t="n">
        <v>46252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Kommuner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46252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46252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46252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46252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46252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46252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46252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44637</v>
      </c>
      <c r="E324" s="1" t="n">
        <v>46252</v>
      </c>
      <c r="F324" t="inlineStr">
        <is>
          <t>VÄRMLANDS LÄN</t>
        </is>
      </c>
      <c r="G324" t="inlineStr">
        <is>
          <t>KRISTINEHAMN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45690-2021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44441</v>
      </c>
      <c r="E325" s="1" t="n">
        <v>46252</v>
      </c>
      <c r="F325" t="inlineStr">
        <is>
          <t>VÄRMLANDS LÄN</t>
        </is>
      </c>
      <c r="G325" t="inlineStr">
        <is>
          <t>KRISTINEHAMN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46252</v>
      </c>
      <c r="F326" t="inlineStr">
        <is>
          <t>VÄRMLANDS LÄN</t>
        </is>
      </c>
      <c r="G326" t="inlineStr">
        <is>
          <t>KRISTINEHAMN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45513</v>
      </c>
      <c r="E327" s="1" t="n">
        <v>46252</v>
      </c>
      <c r="F327" t="inlineStr">
        <is>
          <t>VÄRMLANDS LÄN</t>
        </is>
      </c>
      <c r="G327" t="inlineStr">
        <is>
          <t>KRISTINEHAMN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46252</v>
      </c>
      <c r="F328" t="inlineStr">
        <is>
          <t>VÄRMLANDS LÄN</t>
        </is>
      </c>
      <c r="G328" t="inlineStr">
        <is>
          <t>KRISTINEHAMN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46252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46252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46252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46252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46252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46252</v>
      </c>
      <c r="F334" t="inlineStr">
        <is>
          <t>VÄRMLANDS LÄN</t>
        </is>
      </c>
      <c r="G334" t="inlineStr">
        <is>
          <t>KRISTINEHAMN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46252</v>
      </c>
      <c r="F335" t="inlineStr">
        <is>
          <t>VÄRMLANDS LÄN</t>
        </is>
      </c>
      <c r="G335" t="inlineStr">
        <is>
          <t>KRISTINEHAMN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46252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15646-2026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46106</v>
      </c>
      <c r="E337" s="1" t="n">
        <v>46252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46252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62453-2022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44924</v>
      </c>
      <c r="E339" s="1" t="n">
        <v>46252</v>
      </c>
      <c r="F339" t="inlineStr">
        <is>
          <t>VÄRMLANDS LÄN</t>
        </is>
      </c>
      <c r="G339" t="inlineStr">
        <is>
          <t>KRISTINEHAMN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45201</v>
      </c>
      <c r="E340" s="1" t="n">
        <v>46252</v>
      </c>
      <c r="F340" t="inlineStr">
        <is>
          <t>VÄRMLANDS LÄN</t>
        </is>
      </c>
      <c r="G340" t="inlineStr">
        <is>
          <t>KRISTINEHAMN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46252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46252</v>
      </c>
      <c r="F342" t="inlineStr">
        <is>
          <t>VÄRMLANDS LÄN</t>
        </is>
      </c>
      <c r="G342" t="inlineStr">
        <is>
          <t>KRISTINEHAMN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45377</v>
      </c>
      <c r="E343" s="1" t="n">
        <v>46252</v>
      </c>
      <c r="F343" t="inlineStr">
        <is>
          <t>VÄRMLANDS LÄN</t>
        </is>
      </c>
      <c r="G343" t="inlineStr">
        <is>
          <t>KRISTINEHAMN</t>
        </is>
      </c>
      <c r="I343" t="n">
        <v>13.2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46252</v>
      </c>
      <c r="F344" t="inlineStr">
        <is>
          <t>VÄRMLANDS LÄN</t>
        </is>
      </c>
      <c r="G344" t="inlineStr">
        <is>
          <t>KRISTINEHAMN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46252</v>
      </c>
      <c r="F345" t="inlineStr">
        <is>
          <t>VÄRMLANDS LÄN</t>
        </is>
      </c>
      <c r="G345" t="inlineStr">
        <is>
          <t>KRISTINEHAMN</t>
        </is>
      </c>
      <c r="I345" t="n">
        <v>19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46252</v>
      </c>
      <c r="F346" t="inlineStr">
        <is>
          <t>VÄRMLANDS LÄN</t>
        </is>
      </c>
      <c r="G346" t="inlineStr">
        <is>
          <t>KRISTINEHAMN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46252</v>
      </c>
      <c r="F347" t="inlineStr">
        <is>
          <t>VÄRMLANDS LÄN</t>
        </is>
      </c>
      <c r="G347" t="inlineStr">
        <is>
          <t>KRISTINEHAMN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45656</v>
      </c>
      <c r="E348" s="1" t="n">
        <v>46252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59144-2021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46252</v>
      </c>
      <c r="F349" t="inlineStr">
        <is>
          <t>VÄRMLANDS LÄN</t>
        </is>
      </c>
      <c r="G349" t="inlineStr">
        <is>
          <t>KRISTINEHAMN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45323</v>
      </c>
      <c r="E350" s="1" t="n">
        <v>46252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46252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32821-2023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45112</v>
      </c>
      <c r="E352" s="1" t="n">
        <v>46252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46252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46252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46252</v>
      </c>
      <c r="F355" t="inlineStr">
        <is>
          <t>VÄRMLANDS LÄN</t>
        </is>
      </c>
      <c r="G355" t="inlineStr">
        <is>
          <t>KRISTINEHAMN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32821-2023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45112</v>
      </c>
      <c r="E356" s="1" t="n">
        <v>46252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46252</v>
      </c>
      <c r="F357" t="inlineStr">
        <is>
          <t>VÄRMLANDS LÄN</t>
        </is>
      </c>
      <c r="G357" t="inlineStr">
        <is>
          <t>KRISTINEHAMN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46252</v>
      </c>
      <c r="F358" t="inlineStr">
        <is>
          <t>VÄRMLANDS LÄN</t>
        </is>
      </c>
      <c r="G358" t="inlineStr">
        <is>
          <t>KRISTINEHAMN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44722</v>
      </c>
      <c r="E359" s="1" t="n">
        <v>46252</v>
      </c>
      <c r="F359" t="inlineStr">
        <is>
          <t>VÄRMLANDS LÄN</t>
        </is>
      </c>
      <c r="G359" t="inlineStr">
        <is>
          <t>KRISTINEHAMN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46252</v>
      </c>
      <c r="F360" t="inlineStr">
        <is>
          <t>VÄRMLANDS LÄN</t>
        </is>
      </c>
      <c r="G360" t="inlineStr">
        <is>
          <t>KRISTINEHAMN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45685</v>
      </c>
      <c r="E361" s="1" t="n">
        <v>46252</v>
      </c>
      <c r="F361" t="inlineStr">
        <is>
          <t>VÄRMLANDS LÄN</t>
        </is>
      </c>
      <c r="G361" t="inlineStr">
        <is>
          <t>KRISTINEHAMN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46252</v>
      </c>
      <c r="F362" t="inlineStr">
        <is>
          <t>VÄRMLANDS LÄN</t>
        </is>
      </c>
      <c r="G362" t="inlineStr">
        <is>
          <t>KRISTINEHAMN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45705</v>
      </c>
      <c r="E363" s="1" t="n">
        <v>46252</v>
      </c>
      <c r="F363" t="inlineStr">
        <is>
          <t>VÄRMLANDS LÄN</t>
        </is>
      </c>
      <c r="G363" t="inlineStr">
        <is>
          <t>KRISTINEHAMN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46252</v>
      </c>
      <c r="F364" t="inlineStr">
        <is>
          <t>VÄRMLANDS LÄN</t>
        </is>
      </c>
      <c r="G364" t="inlineStr">
        <is>
          <t>KRISTINEHAMN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46252</v>
      </c>
      <c r="F365" t="inlineStr">
        <is>
          <t>VÄRMLANDS LÄN</t>
        </is>
      </c>
      <c r="G365" t="inlineStr">
        <is>
          <t>KRISTINEHAMN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46252</v>
      </c>
      <c r="F366" t="inlineStr">
        <is>
          <t>VÄRMLANDS LÄN</t>
        </is>
      </c>
      <c r="G366" t="inlineStr">
        <is>
          <t>KRISTINEHAMN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70126-2021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44533</v>
      </c>
      <c r="E367" s="1" t="n">
        <v>46252</v>
      </c>
      <c r="F367" t="inlineStr">
        <is>
          <t>VÄRMLANDS LÄN</t>
        </is>
      </c>
      <c r="G367" t="inlineStr">
        <is>
          <t>KRISTINEHAMN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46252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44847</v>
      </c>
      <c r="E369" s="1" t="n">
        <v>46252</v>
      </c>
      <c r="F369" t="inlineStr">
        <is>
          <t>VÄRMLANDS LÄN</t>
        </is>
      </c>
      <c r="G369" t="inlineStr">
        <is>
          <t>KRISTINEHAMN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46252</v>
      </c>
      <c r="F370" t="inlineStr">
        <is>
          <t>VÄRMLANDS LÄN</t>
        </is>
      </c>
      <c r="G370" t="inlineStr">
        <is>
          <t>KRISTINEHAMN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45081</v>
      </c>
      <c r="E371" s="1" t="n">
        <v>46252</v>
      </c>
      <c r="F371" t="inlineStr">
        <is>
          <t>VÄRMLANDS LÄN</t>
        </is>
      </c>
      <c r="G371" t="inlineStr">
        <is>
          <t>KRISTINEHAMN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46252</v>
      </c>
      <c r="F372" t="inlineStr">
        <is>
          <t>VÄRMLANDS LÄN</t>
        </is>
      </c>
      <c r="G372" t="inlineStr">
        <is>
          <t>KRISTINEHAMN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46252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46252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Naturvårdsverket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46252</v>
      </c>
      <c r="F375" t="inlineStr">
        <is>
          <t>VÄRMLANDS LÄN</t>
        </is>
      </c>
      <c r="G375" t="inlineStr">
        <is>
          <t>KRISTINEHAMN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46252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46252</v>
      </c>
      <c r="F377" t="inlineStr">
        <is>
          <t>VÄRMLANDS LÄN</t>
        </is>
      </c>
      <c r="G377" t="inlineStr">
        <is>
          <t>KRISTINEHAMN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46252</v>
      </c>
      <c r="F378" t="inlineStr">
        <is>
          <t>VÄRMLANDS LÄN</t>
        </is>
      </c>
      <c r="G378" t="inlineStr">
        <is>
          <t>KRISTINEHAMN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46252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Bergvik skog väst AB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46252</v>
      </c>
      <c r="F380" t="inlineStr">
        <is>
          <t>VÄRMLANDS LÄN</t>
        </is>
      </c>
      <c r="G380" t="inlineStr">
        <is>
          <t>KRISTINEHAMN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46252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Naturvårdsverket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56522-2021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44480</v>
      </c>
      <c r="E382" s="1" t="n">
        <v>46252</v>
      </c>
      <c r="F382" t="inlineStr">
        <is>
          <t>VÄRMLANDS LÄN</t>
        </is>
      </c>
      <c r="G382" t="inlineStr">
        <is>
          <t>KRISTINEHAMN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46252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Naturvårdsverket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46252</v>
      </c>
      <c r="F384" t="inlineStr">
        <is>
          <t>VÄRMLANDS LÄN</t>
        </is>
      </c>
      <c r="G384" t="inlineStr">
        <is>
          <t>KRISTINEHAMN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46252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46252</v>
      </c>
      <c r="F386" t="inlineStr">
        <is>
          <t>VÄRMLANDS LÄN</t>
        </is>
      </c>
      <c r="G386" t="inlineStr">
        <is>
          <t>KRISTINEHAMN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46252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46252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45344</v>
      </c>
      <c r="E389" s="1" t="n">
        <v>46252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Naturvårdsverket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46252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45127</v>
      </c>
      <c r="E391" s="1" t="n">
        <v>46252</v>
      </c>
      <c r="F391" t="inlineStr">
        <is>
          <t>VÄRMLANDS LÄN</t>
        </is>
      </c>
      <c r="G391" t="inlineStr">
        <is>
          <t>KRISTINEHAMN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65050-2023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45282</v>
      </c>
      <c r="E392" s="1" t="n">
        <v>46252</v>
      </c>
      <c r="F392" t="inlineStr">
        <is>
          <t>VÄRMLANDS LÄN</t>
        </is>
      </c>
      <c r="G392" t="inlineStr">
        <is>
          <t>KRISTINEHAMN</t>
        </is>
      </c>
      <c r="I392" t="n">
        <v>9.6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46252</v>
      </c>
      <c r="F393" t="inlineStr">
        <is>
          <t>VÄRMLANDS LÄN</t>
        </is>
      </c>
      <c r="G393" t="inlineStr">
        <is>
          <t>KRISTINEHAMN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46252</v>
      </c>
      <c r="F394" t="inlineStr">
        <is>
          <t>VÄRMLANDS LÄN</t>
        </is>
      </c>
      <c r="G394" t="inlineStr">
        <is>
          <t>KRISTINEHAMN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46252</v>
      </c>
      <c r="F395" t="inlineStr">
        <is>
          <t>VÄRMLANDS LÄN</t>
        </is>
      </c>
      <c r="G395" t="inlineStr">
        <is>
          <t>KRISTINEHAMN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46252</v>
      </c>
      <c r="F396" t="inlineStr">
        <is>
          <t>VÄRMLANDS LÄN</t>
        </is>
      </c>
      <c r="G396" t="inlineStr">
        <is>
          <t>KRISTINEHAMN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45118</v>
      </c>
      <c r="E397" s="1" t="n">
        <v>46252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45769</v>
      </c>
      <c r="E398" s="1" t="n">
        <v>46252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Kyrkan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45159</v>
      </c>
      <c r="E399" s="1" t="n">
        <v>46252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44888</v>
      </c>
      <c r="E400" s="1" t="n">
        <v>46252</v>
      </c>
      <c r="F400" t="inlineStr">
        <is>
          <t>VÄRMLANDS LÄN</t>
        </is>
      </c>
      <c r="G400" t="inlineStr">
        <is>
          <t>KRISTINEHAMN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46252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23707-2022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44722</v>
      </c>
      <c r="E402" s="1" t="n">
        <v>46252</v>
      </c>
      <c r="F402" t="inlineStr">
        <is>
          <t>VÄRMLANDS LÄN</t>
        </is>
      </c>
      <c r="G402" t="inlineStr">
        <is>
          <t>KRISTINEHAMN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45379</v>
      </c>
      <c r="E403" s="1" t="n">
        <v>46252</v>
      </c>
      <c r="F403" t="inlineStr">
        <is>
          <t>VÄRMLANDS LÄN</t>
        </is>
      </c>
      <c r="G403" t="inlineStr">
        <is>
          <t>KRISTINEHAMN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28834-2024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45478</v>
      </c>
      <c r="E404" s="1" t="n">
        <v>46252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46146</v>
      </c>
      <c r="E405" s="1" t="n">
        <v>46252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44770</v>
      </c>
      <c r="E406" s="1" t="n">
        <v>46252</v>
      </c>
      <c r="F406" t="inlineStr">
        <is>
          <t>VÄRMLANDS LÄN</t>
        </is>
      </c>
      <c r="G406" t="inlineStr">
        <is>
          <t>KRISTINEHAMN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46252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Naturvårdsverket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22060-2026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46149</v>
      </c>
      <c r="E408" s="1" t="n">
        <v>46252</v>
      </c>
      <c r="F408" t="inlineStr">
        <is>
          <t>VÄRMLANDS LÄN</t>
        </is>
      </c>
      <c r="G408" t="inlineStr">
        <is>
          <t>KRISTINEHAMN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46252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46252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21602-2025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45783</v>
      </c>
      <c r="E411" s="1" t="n">
        <v>46252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46252</v>
      </c>
      <c r="F412" t="inlineStr">
        <is>
          <t>VÄRMLANDS LÄN</t>
        </is>
      </c>
      <c r="G412" t="inlineStr">
        <is>
          <t>KRISTINEHAMN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6640-2024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45341</v>
      </c>
      <c r="E413" s="1" t="n">
        <v>46252</v>
      </c>
      <c r="F413" t="inlineStr">
        <is>
          <t>VÄRMLANDS LÄN</t>
        </is>
      </c>
      <c r="G413" t="inlineStr">
        <is>
          <t>KRISTINEHAMN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45569</v>
      </c>
      <c r="E414" s="1" t="n">
        <v>46252</v>
      </c>
      <c r="F414" t="inlineStr">
        <is>
          <t>VÄRMLANDS LÄN</t>
        </is>
      </c>
      <c r="G414" t="inlineStr">
        <is>
          <t>KRISTINEHAMN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46252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45341</v>
      </c>
      <c r="E416" s="1" t="n">
        <v>46252</v>
      </c>
      <c r="F416" t="inlineStr">
        <is>
          <t>VÄRMLANDS LÄN</t>
        </is>
      </c>
      <c r="G416" t="inlineStr">
        <is>
          <t>KRISTINEHAMN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45636</v>
      </c>
      <c r="E417" s="1" t="n">
        <v>46252</v>
      </c>
      <c r="F417" t="inlineStr">
        <is>
          <t>VÄRMLANDS LÄN</t>
        </is>
      </c>
      <c r="G417" t="inlineStr">
        <is>
          <t>KRISTINEHAMN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44805</v>
      </c>
      <c r="E418" s="1" t="n">
        <v>46252</v>
      </c>
      <c r="F418" t="inlineStr">
        <is>
          <t>VÄRMLANDS LÄN</t>
        </is>
      </c>
      <c r="G418" t="inlineStr">
        <is>
          <t>KRISTINEHAMN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46252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46252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23510-2025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45792</v>
      </c>
      <c r="E421" s="1" t="n">
        <v>46252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45792</v>
      </c>
      <c r="E422" s="1" t="n">
        <v>46252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46252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46252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45700</v>
      </c>
      <c r="E425" s="1" t="n">
        <v>46252</v>
      </c>
      <c r="F425" t="inlineStr">
        <is>
          <t>VÄRMLANDS LÄN</t>
        </is>
      </c>
      <c r="G425" t="inlineStr">
        <is>
          <t>KRISTINEHAMN</t>
        </is>
      </c>
      <c r="I425" t="n">
        <v>11.2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45686</v>
      </c>
      <c r="E426" s="1" t="n">
        <v>46252</v>
      </c>
      <c r="F426" t="inlineStr">
        <is>
          <t>VÄRMLANDS LÄN</t>
        </is>
      </c>
      <c r="G426" t="inlineStr">
        <is>
          <t>KRISTINEHAMN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45407</v>
      </c>
      <c r="E427" s="1" t="n">
        <v>46252</v>
      </c>
      <c r="F427" t="inlineStr">
        <is>
          <t>VÄRMLANDS LÄN</t>
        </is>
      </c>
      <c r="G427" t="inlineStr">
        <is>
          <t>KRISTINEHAMN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45674</v>
      </c>
      <c r="E428" s="1" t="n">
        <v>46252</v>
      </c>
      <c r="F428" t="inlineStr">
        <is>
          <t>VÄRMLANDS LÄN</t>
        </is>
      </c>
      <c r="G428" t="inlineStr">
        <is>
          <t>KRISTINEHAMN</t>
        </is>
      </c>
      <c r="I428" t="n">
        <v>9.699999999999999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46252</v>
      </c>
      <c r="F429" t="inlineStr">
        <is>
          <t>VÄRMLANDS LÄN</t>
        </is>
      </c>
      <c r="G429" t="inlineStr">
        <is>
          <t>KRISTINEHAMN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45799</v>
      </c>
      <c r="E430" s="1" t="n">
        <v>46252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45012-2024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45575</v>
      </c>
      <c r="E431" s="1" t="n">
        <v>46252</v>
      </c>
      <c r="F431" t="inlineStr">
        <is>
          <t>VÄRMLANDS LÄN</t>
        </is>
      </c>
      <c r="G431" t="inlineStr">
        <is>
          <t>KRISTINEHAMN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24570-2026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46170</v>
      </c>
      <c r="E432" s="1" t="n">
        <v>46252</v>
      </c>
      <c r="F432" t="inlineStr">
        <is>
          <t>VÄRMLANDS LÄN</t>
        </is>
      </c>
      <c r="G432" t="inlineStr">
        <is>
          <t>KRISTINEHAMN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45553</v>
      </c>
      <c r="E433" s="1" t="n">
        <v>46252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46252</v>
      </c>
      <c r="F434" t="inlineStr">
        <is>
          <t>VÄRMLANDS LÄN</t>
        </is>
      </c>
      <c r="G434" t="inlineStr">
        <is>
          <t>KRISTINEHAMN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45802</v>
      </c>
      <c r="E435" s="1" t="n">
        <v>46252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26192-2025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45805</v>
      </c>
      <c r="E436" s="1" t="n">
        <v>46252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46171</v>
      </c>
      <c r="E437" s="1" t="n">
        <v>46252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45805</v>
      </c>
      <c r="E438" s="1" t="n">
        <v>46252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45810</v>
      </c>
      <c r="E439" s="1" t="n">
        <v>46252</v>
      </c>
      <c r="F439" t="inlineStr">
        <is>
          <t>VÄRMLANDS LÄN</t>
        </is>
      </c>
      <c r="G439" t="inlineStr">
        <is>
          <t>KRISTINEHAMN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25258-2026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46175</v>
      </c>
      <c r="E440" s="1" t="n">
        <v>46252</v>
      </c>
      <c r="F440" t="inlineStr">
        <is>
          <t>VÄRMLANDS LÄN</t>
        </is>
      </c>
      <c r="G440" t="inlineStr">
        <is>
          <t>KRISTINEHAMN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1219-2020</t>
        </is>
      </c>
      <c r="B441" t="inlineStr">
        <is>
          <t>samrådsanmälan</t>
        </is>
      </c>
      <c r="C441" t="n">
        <v/>
      </c>
      <c r="D441" s="1" t="n">
        <v>43980</v>
      </c>
      <c r="E441" s="1" t="n">
        <v>46252</v>
      </c>
      <c r="F441" t="inlineStr">
        <is>
          <t>VÄRMLANDS LÄN</t>
        </is>
      </c>
      <c r="G441" t="inlineStr">
        <is>
          <t>KRISTINEHAMN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4147-2023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46252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4149-2023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46252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9.5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1815-2022</t>
        </is>
      </c>
      <c r="B444" t="inlineStr">
        <is>
          <t>samrådsanmälan</t>
        </is>
      </c>
      <c r="C444" t="inlineStr">
        <is>
          <t>Åtgärd i nyckelbiotop</t>
        </is>
      </c>
      <c r="D444" s="1" t="n">
        <v>44657</v>
      </c>
      <c r="E444" s="1" t="n">
        <v>46252</v>
      </c>
      <c r="F444" t="inlineStr">
        <is>
          <t>VÄRMLANDS LÄN</t>
        </is>
      </c>
      <c r="G444" t="inlineStr">
        <is>
          <t>KRISTINEHAMN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46252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2879-2022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44711</v>
      </c>
      <c r="E446" s="1" t="n">
        <v>46252</v>
      </c>
      <c r="F446" t="inlineStr">
        <is>
          <t>VÄRMLANDS LÄN</t>
        </is>
      </c>
      <c r="G446" t="inlineStr">
        <is>
          <t>KRISTINEHAMN</t>
        </is>
      </c>
      <c r="I446" t="n">
        <v>25.9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1899-2024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46252</v>
      </c>
      <c r="F447" t="inlineStr">
        <is>
          <t>VÄRMLANDS LÄN</t>
        </is>
      </c>
      <c r="G447" t="inlineStr">
        <is>
          <t>KRISTINEHAMN</t>
        </is>
      </c>
      <c r="I447" t="n">
        <v>21.4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2301-2024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45463</v>
      </c>
      <c r="E448" s="1" t="n">
        <v>46252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Bergvik skog väst AB</t>
        </is>
      </c>
      <c r="I448" t="n">
        <v>28.1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2553-2024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46252</v>
      </c>
      <c r="F449" t="inlineStr">
        <is>
          <t>VÄRMLANDS LÄN</t>
        </is>
      </c>
      <c r="G449" t="inlineStr">
        <is>
          <t>KRISTINEHAMN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46252</v>
      </c>
      <c r="F450" t="inlineStr">
        <is>
          <t>VÄRMLANDS LÄN</t>
        </is>
      </c>
      <c r="G450" t="inlineStr">
        <is>
          <t>KRISTINEHAMN</t>
        </is>
      </c>
      <c r="I450" t="n">
        <v>53.7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2393-2022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44690</v>
      </c>
      <c r="E451" s="1" t="n">
        <v>46252</v>
      </c>
      <c r="F451" t="inlineStr">
        <is>
          <t>VÄRMLANDS LÄN</t>
        </is>
      </c>
      <c r="G451" t="inlineStr">
        <is>
          <t>KRISTINEHAMN</t>
        </is>
      </c>
      <c r="I451" t="n">
        <v>51.7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1903-2024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46252</v>
      </c>
      <c r="F452" t="inlineStr">
        <is>
          <t>VÄRMLANDS LÄN</t>
        </is>
      </c>
      <c r="G452" t="inlineStr">
        <is>
          <t>KRISTINEHAMN</t>
        </is>
      </c>
      <c r="I452" t="n">
        <v>104.3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717-2023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44985</v>
      </c>
      <c r="E453" s="1" t="n">
        <v>46252</v>
      </c>
      <c r="F453" t="inlineStr">
        <is>
          <t>VÄRMLANDS LÄN</t>
        </is>
      </c>
      <c r="G453" t="inlineStr">
        <is>
          <t>KRISTINEHAMN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1412-2024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45414</v>
      </c>
      <c r="E454" s="1" t="n">
        <v>46252</v>
      </c>
      <c r="F454" t="inlineStr">
        <is>
          <t>VÄRMLANDS LÄN</t>
        </is>
      </c>
      <c r="G454" t="inlineStr">
        <is>
          <t>KRISTINEHAMN</t>
        </is>
      </c>
      <c r="I454" t="n">
        <v>42.9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1900-2024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45442</v>
      </c>
      <c r="E455" s="1" t="n">
        <v>46252</v>
      </c>
      <c r="F455" t="inlineStr">
        <is>
          <t>VÄRMLANDS LÄN</t>
        </is>
      </c>
      <c r="G455" t="inlineStr">
        <is>
          <t>KRISTINEHAMN</t>
        </is>
      </c>
      <c r="I455" t="n">
        <v>63.5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3374-2024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45533</v>
      </c>
      <c r="E456" s="1" t="n">
        <v>46252</v>
      </c>
      <c r="F456" t="inlineStr">
        <is>
          <t>VÄRMLANDS LÄN</t>
        </is>
      </c>
      <c r="G456" t="inlineStr">
        <is>
          <t>KRISTINEHAMN</t>
        </is>
      </c>
      <c r="I456" t="n">
        <v>18.3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45118</v>
      </c>
      <c r="E457" s="1" t="n">
        <v>46252</v>
      </c>
      <c r="F457" t="inlineStr">
        <is>
          <t>VÄRMLANDS LÄN</t>
        </is>
      </c>
      <c r="G457" t="inlineStr">
        <is>
          <t>KRISTINEHAMN</t>
        </is>
      </c>
      <c r="I457" t="n">
        <v>42.3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4146-2023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45247</v>
      </c>
      <c r="E458" s="1" t="n">
        <v>46252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3007-2024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45512</v>
      </c>
      <c r="E459" s="1" t="n">
        <v>46252</v>
      </c>
      <c r="F459" t="inlineStr">
        <is>
          <t>VÄRMLANDS LÄN</t>
        </is>
      </c>
      <c r="G459" t="inlineStr">
        <is>
          <t>KRISTINEHAMN</t>
        </is>
      </c>
      <c r="I459" t="n">
        <v>56.9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1418-2025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45783</v>
      </c>
      <c r="E460" s="1" t="n">
        <v>46252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1546-2025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45792</v>
      </c>
      <c r="E461" s="1" t="n">
        <v>46252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1698-2025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45805</v>
      </c>
      <c r="E462" s="1" t="n">
        <v>46252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121-2026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46040</v>
      </c>
      <c r="E463" s="1" t="n">
        <v>46252</v>
      </c>
      <c r="F463" t="inlineStr">
        <is>
          <t>VÄRMLANDS LÄN</t>
        </is>
      </c>
      <c r="G463" t="inlineStr">
        <is>
          <t>KRISTINEHAMN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865-2026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46106</v>
      </c>
      <c r="E464" s="1" t="n">
        <v>46252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Sveaskog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99-2026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46036</v>
      </c>
      <c r="E465" s="1" t="n">
        <v>46252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Naturvårdsverket</t>
        </is>
      </c>
      <c r="I465" t="n">
        <v>80.8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2026-08-18T01:46:59Z</dcterms:created>
  <dcterms:modified xmlns:dcterms="http://purl.org/dc/terms/" xmlns:xsi="http://www.w3.org/2001/XMLSchema-instance" xsi:type="dcterms:W3CDTF">2026-08-18T01:46:59Z</dcterms:modified>
</cp:coreProperties>
</file>