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46267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46267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46267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46267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46267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46267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46267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46267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46267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45122-2022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44843</v>
      </c>
      <c r="E25" s="1" t="n">
        <v>46267</v>
      </c>
      <c r="F25" t="inlineStr">
        <is>
          <t>VÄRMLANDS LÄN</t>
        </is>
      </c>
      <c r="G25" t="inlineStr">
        <is>
          <t>KRISTINEHAMN</t>
        </is>
      </c>
      <c r="I25" t="n">
        <v>3.3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Dvärglin</t>
        </is>
      </c>
      <c r="W25">
        <f>HYPERLINK("https://klasma.github.io/Logging_1781/artfynd/A 45122-2022 artfynd.xlsx", "A 45122-2022")</f>
        <v/>
      </c>
      <c r="X25">
        <f>HYPERLINK("https://klasma.github.io/Logging_1781/kartor/A 45122-2022 karta.png", "A 45122-2022")</f>
        <v/>
      </c>
      <c r="Y25">
        <f>HYPERLINK("https://klasma.github.io/Logging_1781/kartor_geotiff/A 45122-2022 georefererad karta.tif", "A 45122-2022")</f>
        <v/>
      </c>
      <c r="AA25">
        <f>HYPERLINK("https://klasma.github.io/Logging_1781/klagomål/A 45122-2022 FSC-klagomål.docx", "A 45122-2022")</f>
        <v/>
      </c>
      <c r="AB25">
        <f>HYPERLINK("https://klasma.github.io/Logging_1781/klagomålsmail/A 45122-2022 FSC-klagomål mail.docx", "A 45122-2022")</f>
        <v/>
      </c>
      <c r="AC25">
        <f>HYPERLINK("https://klasma.github.io/Logging_1781/tillsyn/A 45122-2022 tillsynsbegäran.docx", "A 45122-2022")</f>
        <v/>
      </c>
      <c r="AD25">
        <f>HYPERLINK("https://klasma.github.io/Logging_1781/tillsynsmail/A 45122-2022 tillsynsbegäran mail.docx", "A 45122-2022")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46267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46267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46267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13025-2023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46267</v>
      </c>
      <c r="F29" t="inlineStr">
        <is>
          <t>VÄRMLANDS LÄN</t>
        </is>
      </c>
      <c r="G29" t="inlineStr">
        <is>
          <t>KRISTINEHAMN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HYPERLINK("https://klasma.github.io/Logging_1781/artfynd/A 13025-2023 artfynd.xlsx", "A 13025-2023")</f>
        <v/>
      </c>
      <c r="X29">
        <f>HYPERLINK("https://klasma.github.io/Logging_1781/kartor/A 13025-2023 karta.png", "A 13025-2023")</f>
        <v/>
      </c>
      <c r="Y29">
        <f>HYPERLINK("https://klasma.github.io/Logging_1781/kartor_geotiff/A 13025-2023 georefererad karta.tif", "A 13025-2023")</f>
        <v/>
      </c>
      <c r="AA29">
        <f>HYPERLINK("https://klasma.github.io/Logging_1781/klagomål/A 13025-2023 FSC-klagomål.docx", "A 13025-2023")</f>
        <v/>
      </c>
      <c r="AB29">
        <f>HYPERLINK("https://klasma.github.io/Logging_1781/klagomålsmail/A 13025-2023 FSC-klagomål mail.docx", "A 13025-2023")</f>
        <v/>
      </c>
      <c r="AC29">
        <f>HYPERLINK("https://klasma.github.io/Logging_1781/tillsyn/A 13025-2023 tillsynsbegäran.docx", "A 13025-2023")</f>
        <v/>
      </c>
      <c r="AD29">
        <f>HYPERLINK("https://klasma.github.io/Logging_1781/tillsynsmail/A 13025-2023 tillsynsbegäran mail.docx", "A 13025-2023")</f>
        <v/>
      </c>
    </row>
    <row r="30" ht="15" customHeight="1">
      <c r="A30" t="inlineStr">
        <is>
          <t>A 14762-2026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46267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14762-2026 artfynd.xlsx", "A 14762-2026")</f>
        <v/>
      </c>
      <c r="X30">
        <f>HYPERLINK("https://klasma.github.io/Logging_1781/kartor/A 14762-2026 karta.png", "A 14762-2026")</f>
        <v/>
      </c>
      <c r="Y30">
        <f>HYPERLINK("https://klasma.github.io/Logging_1781/kartor_geotiff/A 14762-2026 georefererad karta.tif", "A 14762-2026")</f>
        <v/>
      </c>
      <c r="AA30">
        <f>HYPERLINK("https://klasma.github.io/Logging_1781/klagomål/A 14762-2026 FSC-klagomål.docx", "A 14762-2026")</f>
        <v/>
      </c>
      <c r="AB30">
        <f>HYPERLINK("https://klasma.github.io/Logging_1781/klagomålsmail/A 14762-2026 FSC-klagomål mail.docx", "A 14762-2026")</f>
        <v/>
      </c>
      <c r="AC30">
        <f>HYPERLINK("https://klasma.github.io/Logging_1781/tillsyn/A 14762-2026 tillsynsbegäran.docx", "A 14762-2026")</f>
        <v/>
      </c>
      <c r="AD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46267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46267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46267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46267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46267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46267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46267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46267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46267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46267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46267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46267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46267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46267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46267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46267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46267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46267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46267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46267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46267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46267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46267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46267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46267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46267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46267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46267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46267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46267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46267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46267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46267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46267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46267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46267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46267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46267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46267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46267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46267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46267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46267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46267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46267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46267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46267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46267</v>
      </c>
      <c r="F79" t="inlineStr">
        <is>
          <t>VÄRMLANDS LÄN</t>
        </is>
      </c>
      <c r="G79" t="inlineStr">
        <is>
          <t>KRISTINEHAMN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46267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46267</v>
      </c>
      <c r="F81" t="inlineStr">
        <is>
          <t>VÄRMLANDS LÄN</t>
        </is>
      </c>
      <c r="G81" t="inlineStr">
        <is>
          <t>KRISTINEHAMN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44591</v>
      </c>
      <c r="E82" s="1" t="n">
        <v>46267</v>
      </c>
      <c r="F82" t="inlineStr">
        <is>
          <t>VÄRMLANDS LÄN</t>
        </is>
      </c>
      <c r="G82" t="inlineStr">
        <is>
          <t>KRISTINEHAMN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46267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46267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46267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46267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44584</v>
      </c>
      <c r="E87" s="1" t="n">
        <v>46267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46267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44707</v>
      </c>
      <c r="E89" s="1" t="n">
        <v>46267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46267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46267</v>
      </c>
      <c r="F91" t="inlineStr">
        <is>
          <t>VÄRMLANDS LÄN</t>
        </is>
      </c>
      <c r="G91" t="inlineStr">
        <is>
          <t>KRISTINEHAMN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46267</v>
      </c>
      <c r="F92" t="inlineStr">
        <is>
          <t>VÄRMLANDS LÄN</t>
        </is>
      </c>
      <c r="G92" t="inlineStr">
        <is>
          <t>KRISTINEHAMN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46267</v>
      </c>
      <c r="F93" t="inlineStr">
        <is>
          <t>VÄRMLANDS LÄN</t>
        </is>
      </c>
      <c r="G93" t="inlineStr">
        <is>
          <t>KRISTINEHAMN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45202</v>
      </c>
      <c r="E94" s="1" t="n">
        <v>46267</v>
      </c>
      <c r="F94" t="inlineStr">
        <is>
          <t>VÄRMLANDS LÄN</t>
        </is>
      </c>
      <c r="G94" t="inlineStr">
        <is>
          <t>KRISTINEHAMN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46267</v>
      </c>
      <c r="F95" t="inlineStr">
        <is>
          <t>VÄRMLANDS LÄN</t>
        </is>
      </c>
      <c r="G95" t="inlineStr">
        <is>
          <t>KRISTINEHAMN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46267</v>
      </c>
      <c r="F96" t="inlineStr">
        <is>
          <t>VÄRMLANDS LÄN</t>
        </is>
      </c>
      <c r="G96" t="inlineStr">
        <is>
          <t>KRISTINEHAMN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46267</v>
      </c>
      <c r="F97" t="inlineStr">
        <is>
          <t>VÄRMLANDS LÄN</t>
        </is>
      </c>
      <c r="G97" t="inlineStr">
        <is>
          <t>KRISTINEHAMN</t>
        </is>
      </c>
      <c r="I97" t="n">
        <v>13.2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44770</v>
      </c>
      <c r="E98" s="1" t="n">
        <v>46267</v>
      </c>
      <c r="F98" t="inlineStr">
        <is>
          <t>VÄRMLANDS LÄN</t>
        </is>
      </c>
      <c r="G98" t="inlineStr">
        <is>
          <t>KRISTINEHAMN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46267</v>
      </c>
      <c r="F99" t="inlineStr">
        <is>
          <t>VÄRMLANDS LÄN</t>
        </is>
      </c>
      <c r="G99" t="inlineStr">
        <is>
          <t>KRISTINEHAMN</t>
        </is>
      </c>
      <c r="H99" t="inlineStr">
        <is>
          <t>Naturvårdsverket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45095</v>
      </c>
      <c r="E100" s="1" t="n">
        <v>46267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19447-2024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46267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46267</v>
      </c>
      <c r="F102" t="inlineStr">
        <is>
          <t>VÄRMLANDS LÄN</t>
        </is>
      </c>
      <c r="G102" t="inlineStr">
        <is>
          <t>KRISTINEHAMN</t>
        </is>
      </c>
      <c r="I102" t="n">
        <v>9.6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45447</v>
      </c>
      <c r="E103" s="1" t="n">
        <v>46267</v>
      </c>
      <c r="F103" t="inlineStr">
        <is>
          <t>VÄRMLANDS LÄN</t>
        </is>
      </c>
      <c r="G103" t="inlineStr">
        <is>
          <t>KRISTINEHAMN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46267</v>
      </c>
      <c r="F104" t="inlineStr">
        <is>
          <t>VÄRMLANDS LÄN</t>
        </is>
      </c>
      <c r="G104" t="inlineStr">
        <is>
          <t>KRISTINEHAMN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46267</v>
      </c>
      <c r="F105" t="inlineStr">
        <is>
          <t>VÄRMLANDS LÄN</t>
        </is>
      </c>
      <c r="G105" t="inlineStr">
        <is>
          <t>KRISTINEHAMN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46267</v>
      </c>
      <c r="F106" t="inlineStr">
        <is>
          <t>VÄRMLANDS LÄN</t>
        </is>
      </c>
      <c r="G106" t="inlineStr">
        <is>
          <t>KRISTINEHAMN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46267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46267</v>
      </c>
      <c r="F108" t="inlineStr">
        <is>
          <t>VÄRMLANDS LÄN</t>
        </is>
      </c>
      <c r="G108" t="inlineStr">
        <is>
          <t>KRISTINEHAMN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46267</v>
      </c>
      <c r="F109" t="inlineStr">
        <is>
          <t>VÄRMLANDS LÄN</t>
        </is>
      </c>
      <c r="G109" t="inlineStr">
        <is>
          <t>KRISTINEHAMN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46267</v>
      </c>
      <c r="F110" t="inlineStr">
        <is>
          <t>VÄRMLANDS LÄN</t>
        </is>
      </c>
      <c r="G110" t="inlineStr">
        <is>
          <t>KRISTINEHAMN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44941</v>
      </c>
      <c r="E111" s="1" t="n">
        <v>46267</v>
      </c>
      <c r="F111" t="inlineStr">
        <is>
          <t>VÄRMLANDS LÄN</t>
        </is>
      </c>
      <c r="G111" t="inlineStr">
        <is>
          <t>KRISTINEHAMN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46267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46267</v>
      </c>
      <c r="F113" t="inlineStr">
        <is>
          <t>VÄRMLANDS LÄN</t>
        </is>
      </c>
      <c r="G113" t="inlineStr">
        <is>
          <t>KRISTINEHAMN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46267</v>
      </c>
      <c r="F114" t="inlineStr">
        <is>
          <t>VÄRMLANDS LÄN</t>
        </is>
      </c>
      <c r="G114" t="inlineStr">
        <is>
          <t>KRISTINEHAMN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46267</v>
      </c>
      <c r="F115" t="inlineStr">
        <is>
          <t>VÄRMLANDS LÄN</t>
        </is>
      </c>
      <c r="G115" t="inlineStr">
        <is>
          <t>KRISTINEHAMN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45593</v>
      </c>
      <c r="E116" s="1" t="n">
        <v>46267</v>
      </c>
      <c r="F116" t="inlineStr">
        <is>
          <t>VÄRMLANDS LÄN</t>
        </is>
      </c>
      <c r="G116" t="inlineStr">
        <is>
          <t>KRISTINEHAMN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46267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Kommuner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46267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46267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46267</v>
      </c>
      <c r="F120" t="inlineStr">
        <is>
          <t>VÄRMLANDS LÄN</t>
        </is>
      </c>
      <c r="G120" t="inlineStr">
        <is>
          <t>KRISTINEHAMN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46267</v>
      </c>
      <c r="F121" t="inlineStr">
        <is>
          <t>VÄRMLANDS LÄN</t>
        </is>
      </c>
      <c r="G121" t="inlineStr">
        <is>
          <t>KRISTINEHAMN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45644</v>
      </c>
      <c r="E122" s="1" t="n">
        <v>46267</v>
      </c>
      <c r="F122" t="inlineStr">
        <is>
          <t>VÄRMLANDS LÄN</t>
        </is>
      </c>
      <c r="G122" t="inlineStr">
        <is>
          <t>KRISTINEHAMN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46267</v>
      </c>
      <c r="F123" t="inlineStr">
        <is>
          <t>VÄRMLANDS LÄN</t>
        </is>
      </c>
      <c r="G123" t="inlineStr">
        <is>
          <t>KRISTINEHAMN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46267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46267</v>
      </c>
      <c r="F125" t="inlineStr">
        <is>
          <t>VÄRMLANDS LÄN</t>
        </is>
      </c>
      <c r="G125" t="inlineStr">
        <is>
          <t>KRISTINEHAMN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46267</v>
      </c>
      <c r="F126" t="inlineStr">
        <is>
          <t>VÄRMLANDS LÄN</t>
        </is>
      </c>
      <c r="G126" t="inlineStr">
        <is>
          <t>KRISTINEHAMN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46267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46267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46267</v>
      </c>
      <c r="F129" t="inlineStr">
        <is>
          <t>VÄRMLANDS LÄN</t>
        </is>
      </c>
      <c r="G129" t="inlineStr">
        <is>
          <t>KRISTINEHAMN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46267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46267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44677</v>
      </c>
      <c r="E132" s="1" t="n">
        <v>46267</v>
      </c>
      <c r="F132" t="inlineStr">
        <is>
          <t>VÄRMLANDS LÄN</t>
        </is>
      </c>
      <c r="G132" t="inlineStr">
        <is>
          <t>KRISTINEHAMN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46267</v>
      </c>
      <c r="F133" t="inlineStr">
        <is>
          <t>VÄRMLANDS LÄN</t>
        </is>
      </c>
      <c r="G133" t="inlineStr">
        <is>
          <t>KRISTINEHAMN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45477</v>
      </c>
      <c r="E134" s="1" t="n">
        <v>46267</v>
      </c>
      <c r="F134" t="inlineStr">
        <is>
          <t>VÄRMLANDS LÄN</t>
        </is>
      </c>
      <c r="G134" t="inlineStr">
        <is>
          <t>KRISTINEHAMN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46267</v>
      </c>
      <c r="F135" t="inlineStr">
        <is>
          <t>VÄRMLANDS LÄN</t>
        </is>
      </c>
      <c r="G135" t="inlineStr">
        <is>
          <t>KRISTINEHAMN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46267</v>
      </c>
      <c r="F136" t="inlineStr">
        <is>
          <t>VÄRMLANDS LÄN</t>
        </is>
      </c>
      <c r="G136" t="inlineStr">
        <is>
          <t>KRISTINEHAMN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12261-2024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46267</v>
      </c>
      <c r="F137" t="inlineStr">
        <is>
          <t>VÄRMLANDS LÄN</t>
        </is>
      </c>
      <c r="G137" t="inlineStr">
        <is>
          <t>KRISTINEHAMN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46267</v>
      </c>
      <c r="F138" t="inlineStr">
        <is>
          <t>VÄRMLANDS LÄN</t>
        </is>
      </c>
      <c r="G138" t="inlineStr">
        <is>
          <t>KRISTINEHAMN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46267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46267</v>
      </c>
      <c r="F140" t="inlineStr">
        <is>
          <t>VÄRMLANDS LÄN</t>
        </is>
      </c>
      <c r="G140" t="inlineStr">
        <is>
          <t>KRISTINEHAMN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46267</v>
      </c>
      <c r="F141" t="inlineStr">
        <is>
          <t>VÄRMLANDS LÄN</t>
        </is>
      </c>
      <c r="G141" t="inlineStr">
        <is>
          <t>KRISTINEHAMN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46267</v>
      </c>
      <c r="F142" t="inlineStr">
        <is>
          <t>VÄRMLANDS LÄN</t>
        </is>
      </c>
      <c r="G142" t="inlineStr">
        <is>
          <t>KRISTINEHAMN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46267</v>
      </c>
      <c r="F143" t="inlineStr">
        <is>
          <t>VÄRMLANDS LÄN</t>
        </is>
      </c>
      <c r="G143" t="inlineStr">
        <is>
          <t>KRISTINEHAMN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46267</v>
      </c>
      <c r="F144" t="inlineStr">
        <is>
          <t>VÄRMLANDS LÄN</t>
        </is>
      </c>
      <c r="G144" t="inlineStr">
        <is>
          <t>KRISTINEHAMN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46267</v>
      </c>
      <c r="F145" t="inlineStr">
        <is>
          <t>VÄRMLANDS LÄN</t>
        </is>
      </c>
      <c r="G145" t="inlineStr">
        <is>
          <t>KRISTINEHAMN</t>
        </is>
      </c>
      <c r="I145" t="n">
        <v>20.1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46267</v>
      </c>
      <c r="F146" t="inlineStr">
        <is>
          <t>VÄRMLANDS LÄN</t>
        </is>
      </c>
      <c r="G146" t="inlineStr">
        <is>
          <t>KRISTINEHAMN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46267</v>
      </c>
      <c r="F147" t="inlineStr">
        <is>
          <t>VÄRMLANDS LÄN</t>
        </is>
      </c>
      <c r="G147" t="inlineStr">
        <is>
          <t>KRISTINEHAMN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46267</v>
      </c>
      <c r="F148" t="inlineStr">
        <is>
          <t>VÄRMLANDS LÄN</t>
        </is>
      </c>
      <c r="G148" t="inlineStr">
        <is>
          <t>KRISTINEHAMN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46267</v>
      </c>
      <c r="F149" t="inlineStr">
        <is>
          <t>VÄRMLANDS LÄN</t>
        </is>
      </c>
      <c r="G149" t="inlineStr">
        <is>
          <t>KRISTINEHAMN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46267</v>
      </c>
      <c r="F150" t="inlineStr">
        <is>
          <t>VÄRMLANDS LÄN</t>
        </is>
      </c>
      <c r="G150" t="inlineStr">
        <is>
          <t>KRISTINEHAMN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44637</v>
      </c>
      <c r="E151" s="1" t="n">
        <v>46267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46267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45453</v>
      </c>
      <c r="E153" s="1" t="n">
        <v>46267</v>
      </c>
      <c r="F153" t="inlineStr">
        <is>
          <t>VÄRMLANDS LÄN</t>
        </is>
      </c>
      <c r="G153" t="inlineStr">
        <is>
          <t>KRISTINEHAMN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46267</v>
      </c>
      <c r="F154" t="inlineStr">
        <is>
          <t>VÄRMLANDS LÄN</t>
        </is>
      </c>
      <c r="G154" t="inlineStr">
        <is>
          <t>KRISTINEHAMN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46267</v>
      </c>
      <c r="F155" t="inlineStr">
        <is>
          <t>VÄRMLANDS LÄN</t>
        </is>
      </c>
      <c r="G155" t="inlineStr">
        <is>
          <t>KRISTINEHAMN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45905</v>
      </c>
      <c r="E156" s="1" t="n">
        <v>46267</v>
      </c>
      <c r="F156" t="inlineStr">
        <is>
          <t>VÄRMLANDS LÄN</t>
        </is>
      </c>
      <c r="G156" t="inlineStr">
        <is>
          <t>KRISTINEHAMN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46267</v>
      </c>
      <c r="F157" t="inlineStr">
        <is>
          <t>VÄRMLANDS LÄN</t>
        </is>
      </c>
      <c r="G157" t="inlineStr">
        <is>
          <t>KRISTINEHAMN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46267</v>
      </c>
      <c r="F158" t="inlineStr">
        <is>
          <t>VÄRMLANDS LÄN</t>
        </is>
      </c>
      <c r="G158" t="inlineStr">
        <is>
          <t>KRISTINEHAMN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46267</v>
      </c>
      <c r="F159" t="inlineStr">
        <is>
          <t>VÄRMLANDS LÄN</t>
        </is>
      </c>
      <c r="G159" t="inlineStr">
        <is>
          <t>KRISTINEHAMN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44722</v>
      </c>
      <c r="E160" s="1" t="n">
        <v>46267</v>
      </c>
      <c r="F160" t="inlineStr">
        <is>
          <t>VÄRMLANDS LÄN</t>
        </is>
      </c>
      <c r="G160" t="inlineStr">
        <is>
          <t>KRISTINEHAMN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46267</v>
      </c>
      <c r="F161" t="inlineStr">
        <is>
          <t>VÄRMLANDS LÄN</t>
        </is>
      </c>
      <c r="G161" t="inlineStr">
        <is>
          <t>KRISTINEHAMN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46267</v>
      </c>
      <c r="F162" t="inlineStr">
        <is>
          <t>VÄRMLANDS LÄN</t>
        </is>
      </c>
      <c r="G162" t="inlineStr">
        <is>
          <t>KRISTINEHAMN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46267</v>
      </c>
      <c r="F163" t="inlineStr">
        <is>
          <t>VÄRMLANDS LÄN</t>
        </is>
      </c>
      <c r="G163" t="inlineStr">
        <is>
          <t>KRISTINEHAMN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46267</v>
      </c>
      <c r="F164" t="inlineStr">
        <is>
          <t>VÄRMLANDS LÄN</t>
        </is>
      </c>
      <c r="G164" t="inlineStr">
        <is>
          <t>KRISTINEHAMN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45361</v>
      </c>
      <c r="E165" s="1" t="n">
        <v>46267</v>
      </c>
      <c r="F165" t="inlineStr">
        <is>
          <t>VÄRMLANDS LÄN</t>
        </is>
      </c>
      <c r="G165" t="inlineStr">
        <is>
          <t>KRISTINEHAMN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46267</v>
      </c>
      <c r="F166" t="inlineStr">
        <is>
          <t>VÄRMLANDS LÄN</t>
        </is>
      </c>
      <c r="G166" t="inlineStr">
        <is>
          <t>KRISTINEHAMN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46051</v>
      </c>
      <c r="E167" s="1" t="n">
        <v>46267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46267</v>
      </c>
      <c r="F168" t="inlineStr">
        <is>
          <t>VÄRMLANDS LÄN</t>
        </is>
      </c>
      <c r="G168" t="inlineStr">
        <is>
          <t>KRISTINEHAMN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46267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46267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46267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45690-2021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46267</v>
      </c>
      <c r="F172" t="inlineStr">
        <is>
          <t>VÄRMLANDS LÄN</t>
        </is>
      </c>
      <c r="G172" t="inlineStr">
        <is>
          <t>KRISTINEHAMN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46267</v>
      </c>
      <c r="F173" t="inlineStr">
        <is>
          <t>VÄRMLANDS LÄN</t>
        </is>
      </c>
      <c r="G173" t="inlineStr">
        <is>
          <t>KRISTINEHAMN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46267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46267</v>
      </c>
      <c r="F175" t="inlineStr">
        <is>
          <t>VÄRMLANDS LÄN</t>
        </is>
      </c>
      <c r="G175" t="inlineStr">
        <is>
          <t>KRISTINEHAMN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44497</v>
      </c>
      <c r="E176" s="1" t="n">
        <v>46267</v>
      </c>
      <c r="F176" t="inlineStr">
        <is>
          <t>VÄRMLANDS LÄN</t>
        </is>
      </c>
      <c r="G176" t="inlineStr">
        <is>
          <t>KRISTINEHAMN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45662</v>
      </c>
      <c r="E177" s="1" t="n">
        <v>46267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46267</v>
      </c>
      <c r="F178" t="inlineStr">
        <is>
          <t>VÄRMLANDS LÄN</t>
        </is>
      </c>
      <c r="G178" t="inlineStr">
        <is>
          <t>KRISTINEHAMN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46267</v>
      </c>
      <c r="F179" t="inlineStr">
        <is>
          <t>VÄRMLANDS LÄN</t>
        </is>
      </c>
      <c r="G179" t="inlineStr">
        <is>
          <t>KRISTINEHAMN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45933</v>
      </c>
      <c r="E180" s="1" t="n">
        <v>46267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45141</v>
      </c>
      <c r="E181" s="1" t="n">
        <v>46267</v>
      </c>
      <c r="F181" t="inlineStr">
        <is>
          <t>VÄRMLANDS LÄN</t>
        </is>
      </c>
      <c r="G181" t="inlineStr">
        <is>
          <t>KRISTINEHAMN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46267</v>
      </c>
      <c r="F182" t="inlineStr">
        <is>
          <t>VÄRMLANDS LÄN</t>
        </is>
      </c>
      <c r="G182" t="inlineStr">
        <is>
          <t>KRISTINEHAMN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46267</v>
      </c>
      <c r="F183" t="inlineStr">
        <is>
          <t>VÄRMLANDS LÄN</t>
        </is>
      </c>
      <c r="G183" t="inlineStr">
        <is>
          <t>KRISTINEHAMN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46267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Naturvårdsverket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46267</v>
      </c>
      <c r="F185" t="inlineStr">
        <is>
          <t>VÄRMLANDS LÄN</t>
        </is>
      </c>
      <c r="G185" t="inlineStr">
        <is>
          <t>KRISTINEHAMN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46267</v>
      </c>
      <c r="F186" t="inlineStr">
        <is>
          <t>VÄRMLANDS LÄN</t>
        </is>
      </c>
      <c r="G186" t="inlineStr">
        <is>
          <t>KRISTINEHAMN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46267</v>
      </c>
      <c r="F187" t="inlineStr">
        <is>
          <t>VÄRMLANDS LÄN</t>
        </is>
      </c>
      <c r="G187" t="inlineStr">
        <is>
          <t>KRISTINEHAMN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45442</v>
      </c>
      <c r="E188" s="1" t="n">
        <v>46267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46267</v>
      </c>
      <c r="F189" t="inlineStr">
        <is>
          <t>VÄRMLANDS LÄN</t>
        </is>
      </c>
      <c r="G189" t="inlineStr">
        <is>
          <t>KRISTINEHAMN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46267</v>
      </c>
      <c r="F190" t="inlineStr">
        <is>
          <t>VÄRMLANDS LÄN</t>
        </is>
      </c>
      <c r="G190" t="inlineStr">
        <is>
          <t>KRISTINEHAMN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46267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45647</v>
      </c>
      <c r="E192" s="1" t="n">
        <v>46267</v>
      </c>
      <c r="F192" t="inlineStr">
        <is>
          <t>VÄRMLANDS LÄN</t>
        </is>
      </c>
      <c r="G192" t="inlineStr">
        <is>
          <t>KRISTINEHAMN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44473</v>
      </c>
      <c r="E193" s="1" t="n">
        <v>46267</v>
      </c>
      <c r="F193" t="inlineStr">
        <is>
          <t>VÄRMLANDS LÄN</t>
        </is>
      </c>
      <c r="G193" t="inlineStr">
        <is>
          <t>KRISTINEHAMN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46267</v>
      </c>
      <c r="F194" t="inlineStr">
        <is>
          <t>VÄRMLANDS LÄN</t>
        </is>
      </c>
      <c r="G194" t="inlineStr">
        <is>
          <t>KRISTINEHAMN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41857-2023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45176</v>
      </c>
      <c r="E195" s="1" t="n">
        <v>46267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45686</v>
      </c>
      <c r="E196" s="1" t="n">
        <v>46267</v>
      </c>
      <c r="F196" t="inlineStr">
        <is>
          <t>VÄRMLANDS LÄN</t>
        </is>
      </c>
      <c r="G196" t="inlineStr">
        <is>
          <t>KRISTINEHAMN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46267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46267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46267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56875-2022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46267</v>
      </c>
      <c r="F200" t="inlineStr">
        <is>
          <t>VÄRMLANDS LÄN</t>
        </is>
      </c>
      <c r="G200" t="inlineStr">
        <is>
          <t>KRISTINEHAMN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46267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70126-2021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44533</v>
      </c>
      <c r="E202" s="1" t="n">
        <v>46267</v>
      </c>
      <c r="F202" t="inlineStr">
        <is>
          <t>VÄRMLANDS LÄN</t>
        </is>
      </c>
      <c r="G202" t="inlineStr">
        <is>
          <t>KRISTINEHAMN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56315-2025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45974</v>
      </c>
      <c r="E203" s="1" t="n">
        <v>46267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46267</v>
      </c>
      <c r="F204" t="inlineStr">
        <is>
          <t>VÄRMLANDS LÄN</t>
        </is>
      </c>
      <c r="G204" t="inlineStr">
        <is>
          <t>KRISTINEHAMN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46267</v>
      </c>
      <c r="F205" t="inlineStr">
        <is>
          <t>VÄRMLANDS LÄN</t>
        </is>
      </c>
      <c r="G205" t="inlineStr">
        <is>
          <t>KRISTINEHAMN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46267</v>
      </c>
      <c r="F206" t="inlineStr">
        <is>
          <t>VÄRMLANDS LÄN</t>
        </is>
      </c>
      <c r="G206" t="inlineStr">
        <is>
          <t>KRISTINEHAMN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46083</v>
      </c>
      <c r="E207" s="1" t="n">
        <v>46267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46267</v>
      </c>
      <c r="F208" t="inlineStr">
        <is>
          <t>VÄRMLANDS LÄN</t>
        </is>
      </c>
      <c r="G208" t="inlineStr">
        <is>
          <t>KRISTINEHAMN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49335-2021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44454</v>
      </c>
      <c r="E209" s="1" t="n">
        <v>46267</v>
      </c>
      <c r="F209" t="inlineStr">
        <is>
          <t>VÄRMLANDS LÄN</t>
        </is>
      </c>
      <c r="G209" t="inlineStr">
        <is>
          <t>KRISTINEHAMN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46267</v>
      </c>
      <c r="F210" t="inlineStr">
        <is>
          <t>VÄRMLANDS LÄN</t>
        </is>
      </c>
      <c r="G210" t="inlineStr">
        <is>
          <t>KRISTINEHAMN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46267</v>
      </c>
      <c r="F211" t="inlineStr">
        <is>
          <t>VÄRMLANDS LÄN</t>
        </is>
      </c>
      <c r="G211" t="inlineStr">
        <is>
          <t>KRISTINEHAMN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54603-2021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46267</v>
      </c>
      <c r="F212" t="inlineStr">
        <is>
          <t>VÄRMLANDS LÄN</t>
        </is>
      </c>
      <c r="G212" t="inlineStr">
        <is>
          <t>KRISTINEHAMN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46267</v>
      </c>
      <c r="F213" t="inlineStr">
        <is>
          <t>VÄRMLANDS LÄN</t>
        </is>
      </c>
      <c r="G213" t="inlineStr">
        <is>
          <t>KRISTINEHAMN</t>
        </is>
      </c>
      <c r="I213" t="n">
        <v>15.9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68505-2021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46267</v>
      </c>
      <c r="F214" t="inlineStr">
        <is>
          <t>VÄRMLANDS LÄN</t>
        </is>
      </c>
      <c r="G214" t="inlineStr">
        <is>
          <t>KRISTINEHAMN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46267</v>
      </c>
      <c r="F215" t="inlineStr">
        <is>
          <t>VÄRMLANDS LÄN</t>
        </is>
      </c>
      <c r="G215" t="inlineStr">
        <is>
          <t>KRISTINEHAMN</t>
        </is>
      </c>
      <c r="I215" t="n">
        <v>19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46267</v>
      </c>
      <c r="F216" t="inlineStr">
        <is>
          <t>VÄRMLANDS LÄN</t>
        </is>
      </c>
      <c r="G216" t="inlineStr">
        <is>
          <t>KRISTINEHAMN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46267</v>
      </c>
      <c r="F217" t="inlineStr">
        <is>
          <t>VÄRMLANDS LÄN</t>
        </is>
      </c>
      <c r="G217" t="inlineStr">
        <is>
          <t>KRISTINEHAMN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46267</v>
      </c>
      <c r="F218" t="inlineStr">
        <is>
          <t>VÄRMLANDS LÄN</t>
        </is>
      </c>
      <c r="G218" t="inlineStr">
        <is>
          <t>KRISTINEHAMN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45081</v>
      </c>
      <c r="E219" s="1" t="n">
        <v>46267</v>
      </c>
      <c r="F219" t="inlineStr">
        <is>
          <t>VÄRMLANDS LÄN</t>
        </is>
      </c>
      <c r="G219" t="inlineStr">
        <is>
          <t>KRISTINEHAMN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45995</v>
      </c>
      <c r="E220" s="1" t="n">
        <v>46267</v>
      </c>
      <c r="F220" t="inlineStr">
        <is>
          <t>VÄRMLANDS LÄN</t>
        </is>
      </c>
      <c r="G220" t="inlineStr">
        <is>
          <t>KRISTINEHAMN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46267</v>
      </c>
      <c r="F221" t="inlineStr">
        <is>
          <t>VÄRMLANDS LÄN</t>
        </is>
      </c>
      <c r="G221" t="inlineStr">
        <is>
          <t>KRISTINEHAMN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46267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Bergvik skog väst AB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46267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46267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46267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46267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46267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46267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46267</v>
      </c>
      <c r="F229" t="inlineStr">
        <is>
          <t>VÄRMLANDS LÄN</t>
        </is>
      </c>
      <c r="G229" t="inlineStr">
        <is>
          <t>KRISTINEHAMN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45313</v>
      </c>
      <c r="E230" s="1" t="n">
        <v>46267</v>
      </c>
      <c r="F230" t="inlineStr">
        <is>
          <t>VÄRMLANDS LÄN</t>
        </is>
      </c>
      <c r="G230" t="inlineStr">
        <is>
          <t>KRISTINEHAMN</t>
        </is>
      </c>
      <c r="I230" t="n">
        <v>11.2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46267</v>
      </c>
      <c r="F231" t="inlineStr">
        <is>
          <t>VÄRMLANDS LÄN</t>
        </is>
      </c>
      <c r="G231" t="inlineStr">
        <is>
          <t>KRISTINEHAMN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46267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46267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46267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46267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46267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45081</v>
      </c>
      <c r="E237" s="1" t="n">
        <v>46267</v>
      </c>
      <c r="F237" t="inlineStr">
        <is>
          <t>VÄRMLANDS LÄN</t>
        </is>
      </c>
      <c r="G237" t="inlineStr">
        <is>
          <t>KRISTINEHAMN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46267</v>
      </c>
      <c r="F238" t="inlineStr">
        <is>
          <t>VÄRMLANDS LÄN</t>
        </is>
      </c>
      <c r="G238" t="inlineStr">
        <is>
          <t>KRISTINEHAMN</t>
        </is>
      </c>
      <c r="I238" t="n">
        <v>19.4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46267</v>
      </c>
      <c r="F239" t="inlineStr">
        <is>
          <t>VÄRMLANDS LÄN</t>
        </is>
      </c>
      <c r="G239" t="inlineStr">
        <is>
          <t>KRISTINEHAMN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46267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46267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46267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46267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Kommuner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46267</v>
      </c>
      <c r="F244" t="inlineStr">
        <is>
          <t>VÄRMLANDS LÄN</t>
        </is>
      </c>
      <c r="G244" t="inlineStr">
        <is>
          <t>KRISTINEHAMN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45379</v>
      </c>
      <c r="E245" s="1" t="n">
        <v>46267</v>
      </c>
      <c r="F245" t="inlineStr">
        <is>
          <t>VÄRMLANDS LÄN</t>
        </is>
      </c>
      <c r="G245" t="inlineStr">
        <is>
          <t>KRISTINEHAMN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46267</v>
      </c>
      <c r="F246" t="inlineStr">
        <is>
          <t>VÄRMLANDS LÄN</t>
        </is>
      </c>
      <c r="G246" t="inlineStr">
        <is>
          <t>KRISTINEHAMN</t>
        </is>
      </c>
      <c r="I246" t="n">
        <v>12.6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44985</v>
      </c>
      <c r="E247" s="1" t="n">
        <v>46267</v>
      </c>
      <c r="F247" t="inlineStr">
        <is>
          <t>VÄRMLANDS LÄN</t>
        </is>
      </c>
      <c r="G247" t="inlineStr">
        <is>
          <t>KRISTINEHAMN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46267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13459-2024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45387</v>
      </c>
      <c r="E249" s="1" t="n">
        <v>46267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Naturvårdsverket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46267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46267</v>
      </c>
      <c r="F251" t="inlineStr">
        <is>
          <t>VÄRMLANDS LÄN</t>
        </is>
      </c>
      <c r="G251" t="inlineStr">
        <is>
          <t>KRISTINEHAMN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46267</v>
      </c>
      <c r="F252" t="inlineStr">
        <is>
          <t>VÄRMLANDS LÄN</t>
        </is>
      </c>
      <c r="G252" t="inlineStr">
        <is>
          <t>KRISTINEHAMN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46267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46267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47091-2022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46267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Kommuner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46267</v>
      </c>
      <c r="F256" t="inlineStr">
        <is>
          <t>VÄRMLANDS LÄN</t>
        </is>
      </c>
      <c r="G256" t="inlineStr">
        <is>
          <t>KRISTINEHAMN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46267</v>
      </c>
      <c r="F257" t="inlineStr">
        <is>
          <t>VÄRMLANDS LÄN</t>
        </is>
      </c>
      <c r="G257" t="inlineStr">
        <is>
          <t>KRISTINEHAMN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46267</v>
      </c>
      <c r="F258" t="inlineStr">
        <is>
          <t>VÄRMLANDS LÄN</t>
        </is>
      </c>
      <c r="G258" t="inlineStr">
        <is>
          <t>KRISTINEHAMN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46267</v>
      </c>
      <c r="F259" t="inlineStr">
        <is>
          <t>VÄRMLANDS LÄN</t>
        </is>
      </c>
      <c r="G259" t="inlineStr">
        <is>
          <t>KRISTINEHAMN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46267</v>
      </c>
      <c r="F260" t="inlineStr">
        <is>
          <t>VÄRMLANDS LÄN</t>
        </is>
      </c>
      <c r="G260" t="inlineStr">
        <is>
          <t>KRISTINEHAMN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45000</v>
      </c>
      <c r="E261" s="1" t="n">
        <v>46267</v>
      </c>
      <c r="F261" t="inlineStr">
        <is>
          <t>VÄRMLANDS LÄN</t>
        </is>
      </c>
      <c r="G261" t="inlineStr">
        <is>
          <t>KRISTINEHAMN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46267</v>
      </c>
      <c r="F262" t="inlineStr">
        <is>
          <t>VÄRMLANDS LÄN</t>
        </is>
      </c>
      <c r="G262" t="inlineStr">
        <is>
          <t>KRISTINEHAMN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46267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46267</v>
      </c>
      <c r="F264" t="inlineStr">
        <is>
          <t>VÄRMLANDS LÄN</t>
        </is>
      </c>
      <c r="G264" t="inlineStr">
        <is>
          <t>KRISTINEHAMN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46267</v>
      </c>
      <c r="F265" t="inlineStr">
        <is>
          <t>VÄRMLANDS LÄN</t>
        </is>
      </c>
      <c r="G265" t="inlineStr">
        <is>
          <t>KRISTINEHAMN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46267</v>
      </c>
      <c r="F266" t="inlineStr">
        <is>
          <t>VÄRMLANDS LÄN</t>
        </is>
      </c>
      <c r="G266" t="inlineStr">
        <is>
          <t>KRISTINEHAMN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46106</v>
      </c>
      <c r="E267" s="1" t="n">
        <v>46267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46267</v>
      </c>
      <c r="F268" t="inlineStr">
        <is>
          <t>VÄRMLANDS LÄN</t>
        </is>
      </c>
      <c r="G268" t="inlineStr">
        <is>
          <t>KRISTINEHAMN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46267</v>
      </c>
      <c r="F269" t="inlineStr">
        <is>
          <t>VÄRMLANDS LÄN</t>
        </is>
      </c>
      <c r="G269" t="inlineStr">
        <is>
          <t>KRISTINEHAMN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46267</v>
      </c>
      <c r="F270" t="inlineStr">
        <is>
          <t>VÄRMLANDS LÄN</t>
        </is>
      </c>
      <c r="G270" t="inlineStr">
        <is>
          <t>KRISTINEHAMN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24146-2023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46267</v>
      </c>
      <c r="F271" t="inlineStr">
        <is>
          <t>VÄRMLANDS LÄN</t>
        </is>
      </c>
      <c r="G271" t="inlineStr">
        <is>
          <t>KRISTINEHAMN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45188</v>
      </c>
      <c r="E272" s="1" t="n">
        <v>46267</v>
      </c>
      <c r="F272" t="inlineStr">
        <is>
          <t>VÄRMLANDS LÄN</t>
        </is>
      </c>
      <c r="G272" t="inlineStr">
        <is>
          <t>KRISTINEHAMN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21702-2024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46267</v>
      </c>
      <c r="F273" t="inlineStr">
        <is>
          <t>VÄRMLANDS LÄN</t>
        </is>
      </c>
      <c r="G273" t="inlineStr">
        <is>
          <t>KRISTINEHAMN</t>
        </is>
      </c>
      <c r="I273" t="n">
        <v>14.9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46267</v>
      </c>
      <c r="F274" t="inlineStr">
        <is>
          <t>VÄRMLANDS LÄN</t>
        </is>
      </c>
      <c r="G274" t="inlineStr">
        <is>
          <t>KRISTINEHAMN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46267</v>
      </c>
      <c r="F275" t="inlineStr">
        <is>
          <t>VÄRMLANDS LÄN</t>
        </is>
      </c>
      <c r="G275" t="inlineStr">
        <is>
          <t>KRISTINEHAMN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46267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46267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46267</v>
      </c>
      <c r="F278" t="inlineStr">
        <is>
          <t>VÄRMLANDS LÄN</t>
        </is>
      </c>
      <c r="G278" t="inlineStr">
        <is>
          <t>KRISTINEHAMN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46267</v>
      </c>
      <c r="F279" t="inlineStr">
        <is>
          <t>VÄRMLANDS LÄN</t>
        </is>
      </c>
      <c r="G279" t="inlineStr">
        <is>
          <t>KRISTINEHAMN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46267</v>
      </c>
      <c r="F280" t="inlineStr">
        <is>
          <t>VÄRMLANDS LÄN</t>
        </is>
      </c>
      <c r="G280" t="inlineStr">
        <is>
          <t>KRISTINEHAMN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28834-2024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45478</v>
      </c>
      <c r="E281" s="1" t="n">
        <v>46267</v>
      </c>
      <c r="F281" t="inlineStr">
        <is>
          <t>VÄRMLANDS LÄN</t>
        </is>
      </c>
      <c r="G281" t="inlineStr">
        <is>
          <t>KRISTINEHAMN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32821-2023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45112</v>
      </c>
      <c r="E282" s="1" t="n">
        <v>46267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46267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46267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45112</v>
      </c>
      <c r="E285" s="1" t="n">
        <v>46267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46267</v>
      </c>
      <c r="F286" t="inlineStr">
        <is>
          <t>VÄRMLANDS LÄN</t>
        </is>
      </c>
      <c r="G286" t="inlineStr">
        <is>
          <t>KRISTINEHAMN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45450</v>
      </c>
      <c r="E287" s="1" t="n">
        <v>46267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Kommuner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46267</v>
      </c>
      <c r="F288" t="inlineStr">
        <is>
          <t>VÄRMLANDS LÄN</t>
        </is>
      </c>
      <c r="G288" t="inlineStr">
        <is>
          <t>KRISTINEHAMN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46267</v>
      </c>
      <c r="F289" t="inlineStr">
        <is>
          <t>VÄRMLANDS LÄN</t>
        </is>
      </c>
      <c r="G289" t="inlineStr">
        <is>
          <t>KRISTINEHAMN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46267</v>
      </c>
      <c r="F290" t="inlineStr">
        <is>
          <t>VÄRMLANDS LÄN</t>
        </is>
      </c>
      <c r="G290" t="inlineStr">
        <is>
          <t>KRISTINEHAMN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45313</v>
      </c>
      <c r="E291" s="1" t="n">
        <v>46267</v>
      </c>
      <c r="F291" t="inlineStr">
        <is>
          <t>VÄRMLANDS LÄN</t>
        </is>
      </c>
      <c r="G291" t="inlineStr">
        <is>
          <t>KRISTINEHAMN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38946-2025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46267</v>
      </c>
      <c r="F292" t="inlineStr">
        <is>
          <t>VÄRMLANDS LÄN</t>
        </is>
      </c>
      <c r="G292" t="inlineStr">
        <is>
          <t>KRISTINEHAMN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45456</v>
      </c>
      <c r="E293" s="1" t="n">
        <v>46267</v>
      </c>
      <c r="F293" t="inlineStr">
        <is>
          <t>VÄRMLANDS LÄN</t>
        </is>
      </c>
      <c r="G293" t="inlineStr">
        <is>
          <t>KRISTINEHAMN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45904</v>
      </c>
      <c r="E294" s="1" t="n">
        <v>46267</v>
      </c>
      <c r="F294" t="inlineStr">
        <is>
          <t>VÄRMLANDS LÄN</t>
        </is>
      </c>
      <c r="G294" t="inlineStr">
        <is>
          <t>KRISTINEHAMN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44812</v>
      </c>
      <c r="E295" s="1" t="n">
        <v>46267</v>
      </c>
      <c r="F295" t="inlineStr">
        <is>
          <t>VÄRMLANDS LÄN</t>
        </is>
      </c>
      <c r="G295" t="inlineStr">
        <is>
          <t>KRISTINEHAMN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46267</v>
      </c>
      <c r="F296" t="inlineStr">
        <is>
          <t>VÄRMLANDS LÄN</t>
        </is>
      </c>
      <c r="G296" t="inlineStr">
        <is>
          <t>KRISTINEHAMN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26042-2022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46267</v>
      </c>
      <c r="F297" t="inlineStr">
        <is>
          <t>VÄRMLANDS LÄN</t>
        </is>
      </c>
      <c r="G297" t="inlineStr">
        <is>
          <t>KRISTINEHAMN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46267</v>
      </c>
      <c r="F298" t="inlineStr">
        <is>
          <t>VÄRMLANDS LÄN</t>
        </is>
      </c>
      <c r="G298" t="inlineStr">
        <is>
          <t>KRISTINEHAMN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46267</v>
      </c>
      <c r="F299" t="inlineStr">
        <is>
          <t>VÄRMLANDS LÄN</t>
        </is>
      </c>
      <c r="G299" t="inlineStr">
        <is>
          <t>KRISTINEHAMN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46267</v>
      </c>
      <c r="F300" t="inlineStr">
        <is>
          <t>VÄRMLANDS LÄN</t>
        </is>
      </c>
      <c r="G300" t="inlineStr">
        <is>
          <t>KRISTINEHAMN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46267</v>
      </c>
      <c r="F301" t="inlineStr">
        <is>
          <t>VÄRMLANDS LÄN</t>
        </is>
      </c>
      <c r="G301" t="inlineStr">
        <is>
          <t>KRISTINEHAMN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46267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Bergvik skog väst AB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46267</v>
      </c>
      <c r="F303" t="inlineStr">
        <is>
          <t>VÄRMLANDS LÄN</t>
        </is>
      </c>
      <c r="G303" t="inlineStr">
        <is>
          <t>KRISTINEHAMN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46267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45666</v>
      </c>
      <c r="E305" s="1" t="n">
        <v>46267</v>
      </c>
      <c r="F305" t="inlineStr">
        <is>
          <t>VÄRMLANDS LÄN</t>
        </is>
      </c>
      <c r="G305" t="inlineStr">
        <is>
          <t>KRISTINEHAMN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26028-2025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46267</v>
      </c>
      <c r="F306" t="inlineStr">
        <is>
          <t>VÄRMLANDS LÄN</t>
        </is>
      </c>
      <c r="G306" t="inlineStr">
        <is>
          <t>KRISTINEHAMN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46267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47371-2023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46267</v>
      </c>
      <c r="F308" t="inlineStr">
        <is>
          <t>VÄRMLANDS LÄN</t>
        </is>
      </c>
      <c r="G308" t="inlineStr">
        <is>
          <t>KRISTINEHAMN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20102-2026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46267</v>
      </c>
      <c r="F309" t="inlineStr">
        <is>
          <t>VÄRMLANDS LÄN</t>
        </is>
      </c>
      <c r="G309" t="inlineStr">
        <is>
          <t>KRISTINEHAMN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46267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45769</v>
      </c>
      <c r="E311" s="1" t="n">
        <v>46267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45243</v>
      </c>
      <c r="E312" s="1" t="n">
        <v>46267</v>
      </c>
      <c r="F312" t="inlineStr">
        <is>
          <t>VÄRMLANDS LÄN</t>
        </is>
      </c>
      <c r="G312" t="inlineStr">
        <is>
          <t>KRISTINEHAMN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46267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46267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46267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Naturvårdsverket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45701</v>
      </c>
      <c r="E316" s="1" t="n">
        <v>46267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45127</v>
      </c>
      <c r="E317" s="1" t="n">
        <v>46267</v>
      </c>
      <c r="F317" t="inlineStr">
        <is>
          <t>VÄRMLANDS LÄN</t>
        </is>
      </c>
      <c r="G317" t="inlineStr">
        <is>
          <t>KRISTINEHAMN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46267</v>
      </c>
      <c r="F318" t="inlineStr">
        <is>
          <t>VÄRMLANDS LÄN</t>
        </is>
      </c>
      <c r="G318" t="inlineStr">
        <is>
          <t>KRISTINEHAMN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46267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45191</v>
      </c>
      <c r="E320" s="1" t="n">
        <v>46267</v>
      </c>
      <c r="F320" t="inlineStr">
        <is>
          <t>VÄRMLANDS LÄN</t>
        </is>
      </c>
      <c r="G320" t="inlineStr">
        <is>
          <t>KRISTINEHAMN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46267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48405-2023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45201</v>
      </c>
      <c r="E322" s="1" t="n">
        <v>46267</v>
      </c>
      <c r="F322" t="inlineStr">
        <is>
          <t>VÄRMLANDS LÄN</t>
        </is>
      </c>
      <c r="G322" t="inlineStr">
        <is>
          <t>KRISTINEHAMN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46267</v>
      </c>
      <c r="F323" t="inlineStr">
        <is>
          <t>VÄRMLANDS LÄN</t>
        </is>
      </c>
      <c r="G323" t="inlineStr">
        <is>
          <t>KRISTINEHAMN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46267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46267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46267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46267</v>
      </c>
      <c r="F327" t="inlineStr">
        <is>
          <t>VÄRMLANDS LÄN</t>
        </is>
      </c>
      <c r="G327" t="inlineStr">
        <is>
          <t>KRISTINEHAMN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46267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46267</v>
      </c>
      <c r="F329" t="inlineStr">
        <is>
          <t>VÄRMLANDS LÄN</t>
        </is>
      </c>
      <c r="G329" t="inlineStr">
        <is>
          <t>KRISTINEHAMN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46267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45344</v>
      </c>
      <c r="E331" s="1" t="n">
        <v>46267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44831</v>
      </c>
      <c r="E332" s="1" t="n">
        <v>46267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46150</v>
      </c>
      <c r="E333" s="1" t="n">
        <v>46267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46149</v>
      </c>
      <c r="E334" s="1" t="n">
        <v>46267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46267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21842-2026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46267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46267</v>
      </c>
      <c r="F337" t="inlineStr">
        <is>
          <t>VÄRMLANDS LÄN</t>
        </is>
      </c>
      <c r="G337" t="inlineStr">
        <is>
          <t>KRISTINEHAMN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56522-2021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44480</v>
      </c>
      <c r="E338" s="1" t="n">
        <v>46267</v>
      </c>
      <c r="F338" t="inlineStr">
        <is>
          <t>VÄRMLANDS LÄN</t>
        </is>
      </c>
      <c r="G338" t="inlineStr">
        <is>
          <t>KRISTINEHAMN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45303</v>
      </c>
      <c r="E339" s="1" t="n">
        <v>46267</v>
      </c>
      <c r="F339" t="inlineStr">
        <is>
          <t>VÄRMLANDS LÄN</t>
        </is>
      </c>
      <c r="G339" t="inlineStr">
        <is>
          <t>KRISTINEHAMN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46267</v>
      </c>
      <c r="F340" t="inlineStr">
        <is>
          <t>VÄRMLANDS LÄN</t>
        </is>
      </c>
      <c r="G340" t="inlineStr">
        <is>
          <t>KRISTINEHAMN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46267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46267</v>
      </c>
      <c r="F342" t="inlineStr">
        <is>
          <t>VÄRMLANDS LÄN</t>
        </is>
      </c>
      <c r="G342" t="inlineStr">
        <is>
          <t>KRISTINEHAMN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46267</v>
      </c>
      <c r="F343" t="inlineStr">
        <is>
          <t>VÄRMLANDS LÄN</t>
        </is>
      </c>
      <c r="G343" t="inlineStr">
        <is>
          <t>KRISTINEHAMN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46267</v>
      </c>
      <c r="F344" t="inlineStr">
        <is>
          <t>VÄRMLANDS LÄN</t>
        </is>
      </c>
      <c r="G344" t="inlineStr">
        <is>
          <t>KRISTINEHAMN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45569</v>
      </c>
      <c r="E345" s="1" t="n">
        <v>46267</v>
      </c>
      <c r="F345" t="inlineStr">
        <is>
          <t>VÄRMLANDS LÄN</t>
        </is>
      </c>
      <c r="G345" t="inlineStr">
        <is>
          <t>KRISTINEHAMN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46267</v>
      </c>
      <c r="F346" t="inlineStr">
        <is>
          <t>VÄRMLANDS LÄN</t>
        </is>
      </c>
      <c r="G346" t="inlineStr">
        <is>
          <t>KRISTINEHAMN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46267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Kommuner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45678</v>
      </c>
      <c r="E348" s="1" t="n">
        <v>46267</v>
      </c>
      <c r="F348" t="inlineStr">
        <is>
          <t>VÄRMLANDS LÄN</t>
        </is>
      </c>
      <c r="G348" t="inlineStr">
        <is>
          <t>KRISTINEHAMN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46267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47951-2021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44448</v>
      </c>
      <c r="E350" s="1" t="n">
        <v>46267</v>
      </c>
      <c r="F350" t="inlineStr">
        <is>
          <t>VÄRMLANDS LÄN</t>
        </is>
      </c>
      <c r="G350" t="inlineStr">
        <is>
          <t>KRISTINEHAMN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46267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13293-2024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45386</v>
      </c>
      <c r="E352" s="1" t="n">
        <v>46267</v>
      </c>
      <c r="F352" t="inlineStr">
        <is>
          <t>VÄRMLANDS LÄN</t>
        </is>
      </c>
      <c r="G352" t="inlineStr">
        <is>
          <t>KRISTINEHAMN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46267</v>
      </c>
      <c r="F353" t="inlineStr">
        <is>
          <t>VÄRMLANDS LÄN</t>
        </is>
      </c>
      <c r="G353" t="inlineStr">
        <is>
          <t>KRISTINEHAMN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46267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45477</v>
      </c>
      <c r="E355" s="1" t="n">
        <v>46267</v>
      </c>
      <c r="F355" t="inlineStr">
        <is>
          <t>VÄRMLANDS LÄN</t>
        </is>
      </c>
      <c r="G355" t="inlineStr">
        <is>
          <t>KRISTINEHAMN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24570-2026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46170</v>
      </c>
      <c r="E356" s="1" t="n">
        <v>46267</v>
      </c>
      <c r="F356" t="inlineStr">
        <is>
          <t>VÄRMLANDS LÄN</t>
        </is>
      </c>
      <c r="G356" t="inlineStr">
        <is>
          <t>KRISTINEHAMN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45268</v>
      </c>
      <c r="E357" s="1" t="n">
        <v>46267</v>
      </c>
      <c r="F357" t="inlineStr">
        <is>
          <t>VÄRMLANDS LÄN</t>
        </is>
      </c>
      <c r="G357" t="inlineStr">
        <is>
          <t>KRISTINEHAMN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44651</v>
      </c>
      <c r="E358" s="1" t="n">
        <v>46267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46267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45563-2022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44841</v>
      </c>
      <c r="E360" s="1" t="n">
        <v>46267</v>
      </c>
      <c r="F360" t="inlineStr">
        <is>
          <t>VÄRMLANDS LÄN</t>
        </is>
      </c>
      <c r="G360" t="inlineStr">
        <is>
          <t>KRISTINEHAMN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44741</v>
      </c>
      <c r="E361" s="1" t="n">
        <v>46267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46267</v>
      </c>
      <c r="F362" t="inlineStr">
        <is>
          <t>VÄRMLANDS LÄN</t>
        </is>
      </c>
      <c r="G362" t="inlineStr">
        <is>
          <t>KRISTINEHAMN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25258-2026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46175</v>
      </c>
      <c r="E363" s="1" t="n">
        <v>46267</v>
      </c>
      <c r="F363" t="inlineStr">
        <is>
          <t>VÄRMLANDS LÄN</t>
        </is>
      </c>
      <c r="G363" t="inlineStr">
        <is>
          <t>KRISTINEHAMN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47770-2023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45203</v>
      </c>
      <c r="E364" s="1" t="n">
        <v>46267</v>
      </c>
      <c r="F364" t="inlineStr">
        <is>
          <t>VÄRMLANDS LÄN</t>
        </is>
      </c>
      <c r="G364" t="inlineStr">
        <is>
          <t>KRISTINEHAMN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46267</v>
      </c>
      <c r="F365" t="inlineStr">
        <is>
          <t>VÄRMLANDS LÄN</t>
        </is>
      </c>
      <c r="G365" t="inlineStr">
        <is>
          <t>KRISTINEHAMN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2522-2026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46037</v>
      </c>
      <c r="E366" s="1" t="n">
        <v>46267</v>
      </c>
      <c r="F366" t="inlineStr">
        <is>
          <t>VÄRMLANDS LÄN</t>
        </is>
      </c>
      <c r="G366" t="inlineStr">
        <is>
          <t>KRISTINEHAMN</t>
        </is>
      </c>
      <c r="I366" t="n">
        <v>11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46267</v>
      </c>
      <c r="F367" t="inlineStr">
        <is>
          <t>VÄRMLANDS LÄN</t>
        </is>
      </c>
      <c r="G367" t="inlineStr">
        <is>
          <t>KRISTINEHAMN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58616-2021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44489</v>
      </c>
      <c r="E368" s="1" t="n">
        <v>46267</v>
      </c>
      <c r="F368" t="inlineStr">
        <is>
          <t>VÄRMLANDS LÄN</t>
        </is>
      </c>
      <c r="G368" t="inlineStr">
        <is>
          <t>KRISTINEHAMN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46267</v>
      </c>
      <c r="F369" t="inlineStr">
        <is>
          <t>VÄRMLANDS LÄN</t>
        </is>
      </c>
      <c r="G369" t="inlineStr">
        <is>
          <t>KRISTINEHAMN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45478</v>
      </c>
      <c r="E370" s="1" t="n">
        <v>46267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46267</v>
      </c>
      <c r="F371" t="inlineStr">
        <is>
          <t>VÄRMLANDS LÄN</t>
        </is>
      </c>
      <c r="G371" t="inlineStr">
        <is>
          <t>KRISTINEHAMN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31829-2026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46230</v>
      </c>
      <c r="E372" s="1" t="n">
        <v>46267</v>
      </c>
      <c r="F372" t="inlineStr">
        <is>
          <t>VÄRMLANDS LÄN</t>
        </is>
      </c>
      <c r="G372" t="inlineStr">
        <is>
          <t>KRISTINEHAMN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46267</v>
      </c>
      <c r="F373" t="inlineStr">
        <is>
          <t>VÄRMLANDS LÄN</t>
        </is>
      </c>
      <c r="G373" t="inlineStr">
        <is>
          <t>KRISTINEHAMN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27961-2023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46267</v>
      </c>
      <c r="F374" t="inlineStr">
        <is>
          <t>VÄRMLANDS LÄN</t>
        </is>
      </c>
      <c r="G374" t="inlineStr">
        <is>
          <t>KRISTINEHAMN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46267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Naturvårdsverket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68526-2021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44526</v>
      </c>
      <c r="E376" s="1" t="n">
        <v>46267</v>
      </c>
      <c r="F376" t="inlineStr">
        <is>
          <t>VÄRMLANDS LÄN</t>
        </is>
      </c>
      <c r="G376" t="inlineStr">
        <is>
          <t>KRISTINEHAMN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68530-2021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46267</v>
      </c>
      <c r="F377" t="inlineStr">
        <is>
          <t>VÄRMLANDS LÄN</t>
        </is>
      </c>
      <c r="G377" t="inlineStr">
        <is>
          <t>KRISTINEHAMN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46267</v>
      </c>
      <c r="F378" t="inlineStr">
        <is>
          <t>VÄRMLANDS LÄN</t>
        </is>
      </c>
      <c r="G378" t="inlineStr">
        <is>
          <t>KRISTINEHAMN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44595</v>
      </c>
      <c r="E379" s="1" t="n">
        <v>46267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Kommuner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44595</v>
      </c>
      <c r="E380" s="1" t="n">
        <v>46267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46267</v>
      </c>
      <c r="F381" t="inlineStr">
        <is>
          <t>VÄRMLANDS LÄN</t>
        </is>
      </c>
      <c r="G381" t="inlineStr">
        <is>
          <t>KRISTINEHAMN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45243</v>
      </c>
      <c r="E382" s="1" t="n">
        <v>46267</v>
      </c>
      <c r="F382" t="inlineStr">
        <is>
          <t>VÄRMLANDS LÄN</t>
        </is>
      </c>
      <c r="G382" t="inlineStr">
        <is>
          <t>KRISTINEHAMN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46267</v>
      </c>
      <c r="F383" t="inlineStr">
        <is>
          <t>VÄRMLANDS LÄN</t>
        </is>
      </c>
      <c r="G383" t="inlineStr">
        <is>
          <t>KRISTINEHAMN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45322</v>
      </c>
      <c r="E384" s="1" t="n">
        <v>46267</v>
      </c>
      <c r="F384" t="inlineStr">
        <is>
          <t>VÄRMLANDS LÄN</t>
        </is>
      </c>
      <c r="G384" t="inlineStr">
        <is>
          <t>KRISTINEHAMN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46267</v>
      </c>
      <c r="F385" t="inlineStr">
        <is>
          <t>VÄRMLANDS LÄN</t>
        </is>
      </c>
      <c r="G385" t="inlineStr">
        <is>
          <t>KRISTINEHAMN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46267</v>
      </c>
      <c r="F386" t="inlineStr">
        <is>
          <t>VÄRMLANDS LÄN</t>
        </is>
      </c>
      <c r="G386" t="inlineStr">
        <is>
          <t>KRISTINEHAMN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44746</v>
      </c>
      <c r="E387" s="1" t="n">
        <v>46267</v>
      </c>
      <c r="F387" t="inlineStr">
        <is>
          <t>VÄRMLANDS LÄN</t>
        </is>
      </c>
      <c r="G387" t="inlineStr">
        <is>
          <t>KRISTINEHAMN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45639</v>
      </c>
      <c r="E388" s="1" t="n">
        <v>46267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46267</v>
      </c>
      <c r="F389" t="inlineStr">
        <is>
          <t>VÄRMLANDS LÄN</t>
        </is>
      </c>
      <c r="G389" t="inlineStr">
        <is>
          <t>KRISTINEHAMN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45450</v>
      </c>
      <c r="E390" s="1" t="n">
        <v>46267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46267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22896-2023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45072</v>
      </c>
      <c r="E392" s="1" t="n">
        <v>46267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45167</v>
      </c>
      <c r="E393" s="1" t="n">
        <v>46267</v>
      </c>
      <c r="F393" t="inlineStr">
        <is>
          <t>VÄRMLANDS LÄN</t>
        </is>
      </c>
      <c r="G393" t="inlineStr">
        <is>
          <t>KRISTINEHAMN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44972</v>
      </c>
      <c r="E394" s="1" t="n">
        <v>46267</v>
      </c>
      <c r="F394" t="inlineStr">
        <is>
          <t>VÄRMLANDS LÄN</t>
        </is>
      </c>
      <c r="G394" t="inlineStr">
        <is>
          <t>KRISTINEHAMN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21861-2023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45068</v>
      </c>
      <c r="E395" s="1" t="n">
        <v>46267</v>
      </c>
      <c r="F395" t="inlineStr">
        <is>
          <t>VÄRMLANDS LÄN</t>
        </is>
      </c>
      <c r="G395" t="inlineStr">
        <is>
          <t>KRISTINEHAMN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45202</v>
      </c>
      <c r="E396" s="1" t="n">
        <v>46267</v>
      </c>
      <c r="F396" t="inlineStr">
        <is>
          <t>VÄRMLANDS LÄN</t>
        </is>
      </c>
      <c r="G396" t="inlineStr">
        <is>
          <t>KRISTINEHAMN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46267</v>
      </c>
      <c r="F397" t="inlineStr">
        <is>
          <t>VÄRMLANDS LÄN</t>
        </is>
      </c>
      <c r="G397" t="inlineStr">
        <is>
          <t>KRISTINEHAMN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34891-2023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45141</v>
      </c>
      <c r="E398" s="1" t="n">
        <v>46267</v>
      </c>
      <c r="F398" t="inlineStr">
        <is>
          <t>VÄRMLANDS LÄN</t>
        </is>
      </c>
      <c r="G398" t="inlineStr">
        <is>
          <t>KRISTINEHAMN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46267</v>
      </c>
      <c r="F399" t="inlineStr">
        <is>
          <t>VÄRMLANDS LÄN</t>
        </is>
      </c>
      <c r="G399" t="inlineStr">
        <is>
          <t>KRISTINEHAMN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46267</v>
      </c>
      <c r="F400" t="inlineStr">
        <is>
          <t>VÄRMLANDS LÄN</t>
        </is>
      </c>
      <c r="G400" t="inlineStr">
        <is>
          <t>KRISTINEHAMN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45315</v>
      </c>
      <c r="E401" s="1" t="n">
        <v>46267</v>
      </c>
      <c r="F401" t="inlineStr">
        <is>
          <t>VÄRMLANDS LÄN</t>
        </is>
      </c>
      <c r="G401" t="inlineStr">
        <is>
          <t>KRISTINEHAMN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46267</v>
      </c>
      <c r="F402" t="inlineStr">
        <is>
          <t>VÄRMLANDS LÄN</t>
        </is>
      </c>
      <c r="G402" t="inlineStr">
        <is>
          <t>KRISTINEHAMN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46267</v>
      </c>
      <c r="F403" t="inlineStr">
        <is>
          <t>VÄRMLANDS LÄN</t>
        </is>
      </c>
      <c r="G403" t="inlineStr">
        <is>
          <t>KRISTINEHAMN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45323</v>
      </c>
      <c r="E404" s="1" t="n">
        <v>46267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44985</v>
      </c>
      <c r="E405" s="1" t="n">
        <v>46267</v>
      </c>
      <c r="F405" t="inlineStr">
        <is>
          <t>VÄRMLANDS LÄN</t>
        </is>
      </c>
      <c r="G405" t="inlineStr">
        <is>
          <t>KRISTINEHAMN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46267</v>
      </c>
      <c r="F406" t="inlineStr">
        <is>
          <t>VÄRMLANDS LÄN</t>
        </is>
      </c>
      <c r="G406" t="inlineStr">
        <is>
          <t>KRISTINEHAMN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46267</v>
      </c>
      <c r="F407" t="inlineStr">
        <is>
          <t>VÄRMLANDS LÄN</t>
        </is>
      </c>
      <c r="G407" t="inlineStr">
        <is>
          <t>KRISTINEHAMN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27531-2022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44742</v>
      </c>
      <c r="E408" s="1" t="n">
        <v>46267</v>
      </c>
      <c r="F408" t="inlineStr">
        <is>
          <t>VÄRMLANDS LÄN</t>
        </is>
      </c>
      <c r="G408" t="inlineStr">
        <is>
          <t>KRISTINEHAMN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45705</v>
      </c>
      <c r="E409" s="1" t="n">
        <v>46267</v>
      </c>
      <c r="F409" t="inlineStr">
        <is>
          <t>VÄRMLANDS LÄN</t>
        </is>
      </c>
      <c r="G409" t="inlineStr">
        <is>
          <t>KRISTINEHAMN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46267</v>
      </c>
      <c r="F410" t="inlineStr">
        <is>
          <t>VÄRMLANDS LÄN</t>
        </is>
      </c>
      <c r="G410" t="inlineStr">
        <is>
          <t>KRISTINEHAMN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46267</v>
      </c>
      <c r="F411" t="inlineStr">
        <is>
          <t>VÄRMLANDS LÄN</t>
        </is>
      </c>
      <c r="G411" t="inlineStr">
        <is>
          <t>KRISTINEHAMN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46267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46267</v>
      </c>
      <c r="F413" t="inlineStr">
        <is>
          <t>VÄRMLANDS LÄN</t>
        </is>
      </c>
      <c r="G413" t="inlineStr">
        <is>
          <t>KRISTINEHAMN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46267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Bergvik skog väst AB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46267</v>
      </c>
      <c r="F415" t="inlineStr">
        <is>
          <t>VÄRMLANDS LÄN</t>
        </is>
      </c>
      <c r="G415" t="inlineStr">
        <is>
          <t>KRISTINEHAMN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45636</v>
      </c>
      <c r="E416" s="1" t="n">
        <v>46267</v>
      </c>
      <c r="F416" t="inlineStr">
        <is>
          <t>VÄRMLANDS LÄN</t>
        </is>
      </c>
      <c r="G416" t="inlineStr">
        <is>
          <t>KRISTINEHAMN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46213</v>
      </c>
      <c r="E417" s="1" t="n">
        <v>46267</v>
      </c>
      <c r="F417" t="inlineStr">
        <is>
          <t>VÄRMLANDS LÄN</t>
        </is>
      </c>
      <c r="G417" t="inlineStr">
        <is>
          <t>KRISTINEHAMN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45679</v>
      </c>
      <c r="E418" s="1" t="n">
        <v>46267</v>
      </c>
      <c r="F418" t="inlineStr">
        <is>
          <t>VÄRMLANDS LÄN</t>
        </is>
      </c>
      <c r="G418" t="inlineStr">
        <is>
          <t>KRISTINEHAMN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46267</v>
      </c>
      <c r="F419" t="inlineStr">
        <is>
          <t>VÄRMLANDS LÄN</t>
        </is>
      </c>
      <c r="G419" t="inlineStr">
        <is>
          <t>KRISTINEHAMN</t>
        </is>
      </c>
      <c r="I419" t="n">
        <v>8.699999999999999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45685</v>
      </c>
      <c r="E420" s="1" t="n">
        <v>46267</v>
      </c>
      <c r="F420" t="inlineStr">
        <is>
          <t>VÄRMLANDS LÄN</t>
        </is>
      </c>
      <c r="G420" t="inlineStr">
        <is>
          <t>KRISTINEHAMN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21602-2025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45783</v>
      </c>
      <c r="E421" s="1" t="n">
        <v>46267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46267</v>
      </c>
      <c r="F422" t="inlineStr">
        <is>
          <t>VÄRMLANDS LÄN</t>
        </is>
      </c>
      <c r="G422" t="inlineStr">
        <is>
          <t>KRISTINEHAMN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46267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46267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46267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36774-2022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44805</v>
      </c>
      <c r="E426" s="1" t="n">
        <v>46267</v>
      </c>
      <c r="F426" t="inlineStr">
        <is>
          <t>VÄRMLANDS LÄN</t>
        </is>
      </c>
      <c r="G426" t="inlineStr">
        <is>
          <t>KRISTINEHAMN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23510-2025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45792</v>
      </c>
      <c r="E427" s="1" t="n">
        <v>46267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46267</v>
      </c>
      <c r="F428" t="inlineStr">
        <is>
          <t>VÄRMLANDS LÄN</t>
        </is>
      </c>
      <c r="G428" t="inlineStr">
        <is>
          <t>KRISTINEHAMN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46267</v>
      </c>
      <c r="F429" t="inlineStr">
        <is>
          <t>VÄRMLANDS LÄN</t>
        </is>
      </c>
      <c r="G429" t="inlineStr">
        <is>
          <t>KRISTINEHAMN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45407</v>
      </c>
      <c r="E430" s="1" t="n">
        <v>46267</v>
      </c>
      <c r="F430" t="inlineStr">
        <is>
          <t>VÄRMLANDS LÄN</t>
        </is>
      </c>
      <c r="G430" t="inlineStr">
        <is>
          <t>KRISTINEHAMN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45674</v>
      </c>
      <c r="E431" s="1" t="n">
        <v>46267</v>
      </c>
      <c r="F431" t="inlineStr">
        <is>
          <t>VÄRMLANDS LÄN</t>
        </is>
      </c>
      <c r="G431" t="inlineStr">
        <is>
          <t>KRISTINEHAMN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46267</v>
      </c>
      <c r="F432" t="inlineStr">
        <is>
          <t>VÄRMLANDS LÄN</t>
        </is>
      </c>
      <c r="G432" t="inlineStr">
        <is>
          <t>KRISTINEHAMN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45553</v>
      </c>
      <c r="E433" s="1" t="n">
        <v>46267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45012-2024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45575</v>
      </c>
      <c r="E434" s="1" t="n">
        <v>46267</v>
      </c>
      <c r="F434" t="inlineStr">
        <is>
          <t>VÄRMLANDS LÄN</t>
        </is>
      </c>
      <c r="G434" t="inlineStr">
        <is>
          <t>KRISTINEHAMN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46267</v>
      </c>
      <c r="F435" t="inlineStr">
        <is>
          <t>VÄRMLANDS LÄN</t>
        </is>
      </c>
      <c r="G435" t="inlineStr">
        <is>
          <t>KRISTINEHAMN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45799</v>
      </c>
      <c r="E436" s="1" t="n">
        <v>46267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45802</v>
      </c>
      <c r="E437" s="1" t="n">
        <v>46267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1219-2020</t>
        </is>
      </c>
      <c r="B438" t="inlineStr">
        <is>
          <t>samrådsanmälan</t>
        </is>
      </c>
      <c r="C438" t="n">
        <v/>
      </c>
      <c r="D438" s="1" t="n">
        <v>43980</v>
      </c>
      <c r="E438" s="1" t="n">
        <v>46267</v>
      </c>
      <c r="F438" t="inlineStr">
        <is>
          <t>VÄRMLANDS LÄN</t>
        </is>
      </c>
      <c r="G438" t="inlineStr">
        <is>
          <t>KRISTINEHAMN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1815-2022</t>
        </is>
      </c>
      <c r="B439" t="inlineStr">
        <is>
          <t>samrådsanmälan</t>
        </is>
      </c>
      <c r="C439" t="inlineStr">
        <is>
          <t>Åtgärd i nyckelbiotop</t>
        </is>
      </c>
      <c r="D439" s="1" t="n">
        <v>44657</v>
      </c>
      <c r="E439" s="1" t="n">
        <v>46267</v>
      </c>
      <c r="F439" t="inlineStr">
        <is>
          <t>VÄRMLANDS LÄN</t>
        </is>
      </c>
      <c r="G439" t="inlineStr">
        <is>
          <t>KRISTINEHAMN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2879-2022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44711</v>
      </c>
      <c r="E440" s="1" t="n">
        <v>46267</v>
      </c>
      <c r="F440" t="inlineStr">
        <is>
          <t>VÄRMLANDS LÄN</t>
        </is>
      </c>
      <c r="G440" t="inlineStr">
        <is>
          <t>KRISTINEHAMN</t>
        </is>
      </c>
      <c r="I440" t="n">
        <v>25.9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2393-2022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44690</v>
      </c>
      <c r="E441" s="1" t="n">
        <v>46267</v>
      </c>
      <c r="F441" t="inlineStr">
        <is>
          <t>VÄRMLANDS LÄN</t>
        </is>
      </c>
      <c r="G441" t="inlineStr">
        <is>
          <t>KRISTINEHAMN</t>
        </is>
      </c>
      <c r="I441" t="n">
        <v>51.7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4147-2023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46267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4149-2023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46267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9.5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2254-2023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45103</v>
      </c>
      <c r="E444" s="1" t="n">
        <v>46267</v>
      </c>
      <c r="F444" t="inlineStr">
        <is>
          <t>VÄRMLANDS LÄN</t>
        </is>
      </c>
      <c r="G444" t="inlineStr">
        <is>
          <t>KRISTINEHAMN</t>
        </is>
      </c>
      <c r="I444" t="n">
        <v>51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1899-2024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46267</v>
      </c>
      <c r="F445" t="inlineStr">
        <is>
          <t>VÄRMLANDS LÄN</t>
        </is>
      </c>
      <c r="G445" t="inlineStr">
        <is>
          <t>KRISTINEHAMN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2301-2024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45463</v>
      </c>
      <c r="E446" s="1" t="n">
        <v>46267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28.1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2553-2024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46267</v>
      </c>
      <c r="F447" t="inlineStr">
        <is>
          <t>VÄRMLANDS LÄN</t>
        </is>
      </c>
      <c r="G447" t="inlineStr">
        <is>
          <t>KRISTINEHAMN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3378-2024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46267</v>
      </c>
      <c r="F448" t="inlineStr">
        <is>
          <t>VÄRMLANDS LÄN</t>
        </is>
      </c>
      <c r="G448" t="inlineStr">
        <is>
          <t>KRISTINEHAMN</t>
        </is>
      </c>
      <c r="I448" t="n">
        <v>53.7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1903-2024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46267</v>
      </c>
      <c r="F449" t="inlineStr">
        <is>
          <t>VÄRMLANDS LÄN</t>
        </is>
      </c>
      <c r="G449" t="inlineStr">
        <is>
          <t>KRISTINEHAMN</t>
        </is>
      </c>
      <c r="I449" t="n">
        <v>104.3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717-2023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44985</v>
      </c>
      <c r="E450" s="1" t="n">
        <v>46267</v>
      </c>
      <c r="F450" t="inlineStr">
        <is>
          <t>VÄRMLANDS LÄN</t>
        </is>
      </c>
      <c r="G450" t="inlineStr">
        <is>
          <t>KRISTINEHAMN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1412-2024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45414</v>
      </c>
      <c r="E451" s="1" t="n">
        <v>46267</v>
      </c>
      <c r="F451" t="inlineStr">
        <is>
          <t>VÄRMLANDS LÄN</t>
        </is>
      </c>
      <c r="G451" t="inlineStr">
        <is>
          <t>KRISTINEHAMN</t>
        </is>
      </c>
      <c r="I451" t="n">
        <v>42.9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1900-2024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46267</v>
      </c>
      <c r="F452" t="inlineStr">
        <is>
          <t>VÄRMLANDS LÄN</t>
        </is>
      </c>
      <c r="G452" t="inlineStr">
        <is>
          <t>KRISTINEHAMN</t>
        </is>
      </c>
      <c r="I452" t="n">
        <v>63.5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3374-2024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45533</v>
      </c>
      <c r="E453" s="1" t="n">
        <v>46267</v>
      </c>
      <c r="F453" t="inlineStr">
        <is>
          <t>VÄRMLANDS LÄN</t>
        </is>
      </c>
      <c r="G453" t="inlineStr">
        <is>
          <t>KRISTINEHAMN</t>
        </is>
      </c>
      <c r="I453" t="n">
        <v>18.3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2464-2023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45118</v>
      </c>
      <c r="E454" s="1" t="n">
        <v>46267</v>
      </c>
      <c r="F454" t="inlineStr">
        <is>
          <t>VÄRMLANDS LÄN</t>
        </is>
      </c>
      <c r="G454" t="inlineStr">
        <is>
          <t>KRISTINEHAMN</t>
        </is>
      </c>
      <c r="I454" t="n">
        <v>42.3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4146-2023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46267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Bergvik skog väst AB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3007-2024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45512</v>
      </c>
      <c r="E456" s="1" t="n">
        <v>46267</v>
      </c>
      <c r="F456" t="inlineStr">
        <is>
          <t>VÄRMLANDS LÄN</t>
        </is>
      </c>
      <c r="G456" t="inlineStr">
        <is>
          <t>KRISTINEHAMN</t>
        </is>
      </c>
      <c r="I456" t="n">
        <v>56.9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1418-2025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45783</v>
      </c>
      <c r="E457" s="1" t="n">
        <v>46267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1546-2025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45792</v>
      </c>
      <c r="E458" s="1" t="n">
        <v>46267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1698-2025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45805</v>
      </c>
      <c r="E459" s="1" t="n">
        <v>46267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121-2026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46040</v>
      </c>
      <c r="E460" s="1" t="n">
        <v>46267</v>
      </c>
      <c r="F460" t="inlineStr">
        <is>
          <t>VÄRMLANDS LÄN</t>
        </is>
      </c>
      <c r="G460" t="inlineStr">
        <is>
          <t>KRISTINEHAMN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865-2026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46106</v>
      </c>
      <c r="E461" s="1" t="n">
        <v>46267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99-2026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46036</v>
      </c>
      <c r="E462" s="1" t="n">
        <v>46267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Naturvårdsverket</t>
        </is>
      </c>
      <c r="I462" t="n">
        <v>80.8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2026-09-02T02:05:37Z</dcterms:created>
  <dcterms:modified xmlns:dcterms="http://purl.org/dc/terms/" xmlns:xsi="http://www.w3.org/2001/XMLSchema-instance" xsi:type="dcterms:W3CDTF">2026-09-02T02:05:37Z</dcterms:modified>
</cp:coreProperties>
</file>